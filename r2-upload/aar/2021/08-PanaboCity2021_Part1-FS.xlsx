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Y:\Files WADAS\AARS\Riziel\AAR\2021\Region11\28 eAAR_CY2021_PanaboCity_DavNor\final\"/>
    </mc:Choice>
  </mc:AlternateContent>
  <xr:revisionPtr revIDLastSave="0" documentId="13_ncr:1_{A0CF81AF-31A1-4F7D-937F-CE0D4B6497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FPO" sheetId="2" r:id="rId1"/>
    <sheet name="SFPER" sheetId="3" r:id="rId2"/>
    <sheet name="SCNAE" sheetId="4" r:id="rId3"/>
    <sheet name="SCF" sheetId="5" r:id="rId4"/>
    <sheet name="SCBAA" sheetId="6" r:id="rId5"/>
  </sheets>
  <definedNames>
    <definedName name="_xlnm.Print_Area" localSheetId="4">SCBAA!$A$1:$P$127</definedName>
    <definedName name="_xlnm.Print_Area" localSheetId="3">SCF!$A$1:$F$51</definedName>
    <definedName name="_xlnm.Print_Area" localSheetId="2">SCNAE!$A$1:$E$21</definedName>
    <definedName name="_xlnm.Print_Area" localSheetId="1">SFPER!$A$1:$E$33</definedName>
    <definedName name="_xlnm.Print_Area" localSheetId="0">SFPO!$A$1:$F$48</definedName>
    <definedName name="_xlnm.Print_Titles" localSheetId="4">SCBAA!$7:$9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3" l="1"/>
  <c r="P113" i="6" l="1"/>
  <c r="P42" i="6"/>
  <c r="P37" i="6"/>
  <c r="P38" i="6"/>
  <c r="P36" i="6"/>
  <c r="P34" i="6"/>
  <c r="P33" i="6"/>
  <c r="P32" i="6"/>
  <c r="P29" i="6"/>
  <c r="P28" i="6"/>
  <c r="P26" i="6"/>
  <c r="P24" i="6"/>
  <c r="P21" i="6"/>
  <c r="P20" i="6"/>
  <c r="P19" i="6"/>
  <c r="P16" i="6"/>
  <c r="P15" i="6"/>
  <c r="P14" i="6"/>
  <c r="D14" i="3" l="1"/>
  <c r="D16" i="3" s="1"/>
  <c r="D25" i="3" s="1"/>
  <c r="D30" i="3" s="1"/>
  <c r="D40" i="2"/>
  <c r="D23" i="2"/>
  <c r="D17" i="2"/>
  <c r="D28" i="2"/>
  <c r="D35" i="2" s="1"/>
  <c r="D41" i="2" l="1"/>
  <c r="F42" i="5"/>
  <c r="F39" i="5"/>
  <c r="F43" i="5" s="1"/>
  <c r="F34" i="5"/>
  <c r="F31" i="5"/>
  <c r="F35" i="5" s="1"/>
  <c r="F24" i="5"/>
  <c r="F27" i="5" s="1"/>
  <c r="F17" i="5"/>
  <c r="F45" i="5" l="1"/>
  <c r="O124" i="6"/>
  <c r="M124" i="6"/>
  <c r="K124" i="6"/>
  <c r="N122" i="6"/>
  <c r="J122" i="6"/>
  <c r="H122" i="6"/>
  <c r="P121" i="6"/>
  <c r="L121" i="6"/>
  <c r="P120" i="6"/>
  <c r="L120" i="6"/>
  <c r="P118" i="6"/>
  <c r="L118" i="6"/>
  <c r="P117" i="6"/>
  <c r="L117" i="6"/>
  <c r="P115" i="6"/>
  <c r="L115" i="6"/>
  <c r="L113" i="6"/>
  <c r="P111" i="6"/>
  <c r="L111" i="6"/>
  <c r="P109" i="6"/>
  <c r="L109" i="6"/>
  <c r="P107" i="6"/>
  <c r="L107" i="6"/>
  <c r="P105" i="6"/>
  <c r="L105" i="6"/>
  <c r="N102" i="6"/>
  <c r="H102" i="6"/>
  <c r="P101" i="6"/>
  <c r="L101" i="6"/>
  <c r="P100" i="6"/>
  <c r="L100" i="6"/>
  <c r="P99" i="6"/>
  <c r="L99" i="6"/>
  <c r="P98" i="6"/>
  <c r="L98" i="6"/>
  <c r="P97" i="6"/>
  <c r="L97" i="6"/>
  <c r="P96" i="6"/>
  <c r="L96" i="6"/>
  <c r="P94" i="6"/>
  <c r="L94" i="6"/>
  <c r="P93" i="6"/>
  <c r="L93" i="6"/>
  <c r="P90" i="6"/>
  <c r="L90" i="6"/>
  <c r="P89" i="6"/>
  <c r="L89" i="6"/>
  <c r="P87" i="6"/>
  <c r="L87" i="6"/>
  <c r="P86" i="6"/>
  <c r="L86" i="6"/>
  <c r="P84" i="6"/>
  <c r="L84" i="6"/>
  <c r="P83" i="6"/>
  <c r="L83" i="6"/>
  <c r="P81" i="6"/>
  <c r="P80" i="6"/>
  <c r="P78" i="6"/>
  <c r="L78" i="6"/>
  <c r="P75" i="6"/>
  <c r="L75" i="6"/>
  <c r="P74" i="6"/>
  <c r="L74" i="6"/>
  <c r="P73" i="6"/>
  <c r="L73" i="6"/>
  <c r="P71" i="6"/>
  <c r="L71" i="6"/>
  <c r="P70" i="6"/>
  <c r="L70" i="6"/>
  <c r="P69" i="6"/>
  <c r="L69" i="6"/>
  <c r="P67" i="6"/>
  <c r="L67" i="6"/>
  <c r="P66" i="6"/>
  <c r="L66" i="6"/>
  <c r="P65" i="6"/>
  <c r="L65" i="6"/>
  <c r="P63" i="6"/>
  <c r="L63" i="6"/>
  <c r="P62" i="6"/>
  <c r="L62" i="6"/>
  <c r="P61" i="6"/>
  <c r="L61" i="6"/>
  <c r="P59" i="6"/>
  <c r="L59" i="6"/>
  <c r="P58" i="6"/>
  <c r="L58" i="6"/>
  <c r="P57" i="6"/>
  <c r="L57" i="6"/>
  <c r="P55" i="6"/>
  <c r="L55" i="6"/>
  <c r="P54" i="6"/>
  <c r="L54" i="6"/>
  <c r="P53" i="6"/>
  <c r="L53" i="6"/>
  <c r="P51" i="6"/>
  <c r="L51" i="6"/>
  <c r="P50" i="6"/>
  <c r="L50" i="6"/>
  <c r="P49" i="6"/>
  <c r="L49" i="6"/>
  <c r="O45" i="6"/>
  <c r="M45" i="6"/>
  <c r="K45" i="6"/>
  <c r="I45" i="6"/>
  <c r="P44" i="6"/>
  <c r="L44" i="6"/>
  <c r="L42" i="6"/>
  <c r="P41" i="6"/>
  <c r="L41" i="6"/>
  <c r="P40" i="6"/>
  <c r="L40" i="6"/>
  <c r="P39" i="6"/>
  <c r="L38" i="6"/>
  <c r="L37" i="6"/>
  <c r="L36" i="6"/>
  <c r="L34" i="6"/>
  <c r="L33" i="6"/>
  <c r="L32" i="6"/>
  <c r="P30" i="6"/>
  <c r="L29" i="6"/>
  <c r="L26" i="6"/>
  <c r="L24" i="6"/>
  <c r="N22" i="6"/>
  <c r="J22" i="6"/>
  <c r="H22" i="6"/>
  <c r="L21" i="6"/>
  <c r="L20" i="6"/>
  <c r="L19" i="6"/>
  <c r="N17" i="6"/>
  <c r="J17" i="6"/>
  <c r="J43" i="6" s="1"/>
  <c r="H17" i="6"/>
  <c r="L16" i="6"/>
  <c r="L15" i="6"/>
  <c r="L14" i="6"/>
  <c r="F48" i="5"/>
  <c r="D42" i="5"/>
  <c r="D39" i="5"/>
  <c r="D34" i="5"/>
  <c r="D31" i="5"/>
  <c r="D24" i="5"/>
  <c r="D17" i="5"/>
  <c r="E14" i="4"/>
  <c r="H13" i="4"/>
  <c r="G13" i="4"/>
  <c r="H12" i="4"/>
  <c r="H10" i="4"/>
  <c r="H29" i="3"/>
  <c r="F29" i="3"/>
  <c r="H28" i="3"/>
  <c r="F28" i="3"/>
  <c r="H27" i="3"/>
  <c r="F27" i="3"/>
  <c r="E23" i="3"/>
  <c r="H23" i="3" s="1"/>
  <c r="F23" i="3"/>
  <c r="H22" i="3"/>
  <c r="F22" i="3"/>
  <c r="H21" i="3"/>
  <c r="F21" i="3"/>
  <c r="H20" i="3"/>
  <c r="F20" i="3"/>
  <c r="H19" i="3"/>
  <c r="F19" i="3"/>
  <c r="H15" i="3"/>
  <c r="F15" i="3"/>
  <c r="F14" i="3"/>
  <c r="H14" i="3"/>
  <c r="F13" i="3"/>
  <c r="E16" i="3"/>
  <c r="H12" i="3"/>
  <c r="F12" i="3"/>
  <c r="H11" i="3"/>
  <c r="F11" i="3"/>
  <c r="E40" i="2"/>
  <c r="H40" i="2" s="1"/>
  <c r="G40" i="2"/>
  <c r="H39" i="2"/>
  <c r="G39" i="2"/>
  <c r="H38" i="2"/>
  <c r="G38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E35" i="2"/>
  <c r="E23" i="2"/>
  <c r="H22" i="2"/>
  <c r="G22" i="2"/>
  <c r="H21" i="2"/>
  <c r="G21" i="2"/>
  <c r="H20" i="2"/>
  <c r="G20" i="2"/>
  <c r="E17" i="2"/>
  <c r="H17" i="2" s="1"/>
  <c r="G17" i="2"/>
  <c r="H16" i="2"/>
  <c r="G16" i="2"/>
  <c r="H15" i="2"/>
  <c r="G15" i="2"/>
  <c r="H14" i="2"/>
  <c r="G14" i="2"/>
  <c r="H13" i="2"/>
  <c r="G13" i="2"/>
  <c r="H12" i="2"/>
  <c r="G12" i="2"/>
  <c r="N43" i="6" l="1"/>
  <c r="N45" i="6" s="1"/>
  <c r="P17" i="6"/>
  <c r="L17" i="6"/>
  <c r="L43" i="6" s="1"/>
  <c r="H43" i="6"/>
  <c r="H45" i="6" s="1"/>
  <c r="D43" i="5"/>
  <c r="D35" i="5"/>
  <c r="E25" i="3"/>
  <c r="E30" i="3" s="1"/>
  <c r="D27" i="5"/>
  <c r="F54" i="5"/>
  <c r="D46" i="5"/>
  <c r="D24" i="2"/>
  <c r="N123" i="6"/>
  <c r="H123" i="6"/>
  <c r="L122" i="6"/>
  <c r="P122" i="6"/>
  <c r="P102" i="6"/>
  <c r="P22" i="6"/>
  <c r="J45" i="6"/>
  <c r="L22" i="6"/>
  <c r="G23" i="2"/>
  <c r="E41" i="2"/>
  <c r="H41" i="2" s="1"/>
  <c r="E24" i="2"/>
  <c r="H24" i="2" s="1"/>
  <c r="H25" i="3"/>
  <c r="H23" i="2"/>
  <c r="H13" i="3"/>
  <c r="L80" i="6"/>
  <c r="L102" i="6" s="1"/>
  <c r="J102" i="6"/>
  <c r="J123" i="6" s="1"/>
  <c r="H14" i="4"/>
  <c r="P43" i="6" l="1"/>
  <c r="P123" i="6"/>
  <c r="L45" i="6"/>
  <c r="P45" i="6"/>
  <c r="P124" i="6" s="1"/>
  <c r="L123" i="6"/>
  <c r="N124" i="6"/>
  <c r="H124" i="6"/>
  <c r="D45" i="5"/>
  <c r="D48" i="5" s="1"/>
  <c r="D54" i="5" s="1"/>
  <c r="G24" i="2"/>
  <c r="J124" i="6"/>
  <c r="F25" i="3"/>
  <c r="E16" i="4"/>
  <c r="H30" i="3"/>
  <c r="D16" i="4"/>
  <c r="F30" i="3"/>
  <c r="G41" i="2"/>
  <c r="L124" i="6" l="1"/>
  <c r="D17" i="4"/>
  <c r="G16" i="4"/>
  <c r="H16" i="4"/>
  <c r="E17" i="4"/>
  <c r="E18" i="4"/>
  <c r="D10" i="4" s="1"/>
  <c r="E44" i="2" l="1"/>
  <c r="D14" i="4"/>
  <c r="G10" i="4"/>
  <c r="H44" i="2" l="1"/>
  <c r="E45" i="2"/>
  <c r="D18" i="4"/>
  <c r="D44" i="2" s="1"/>
  <c r="G14" i="4"/>
  <c r="G44" i="2" l="1"/>
  <c r="D45" i="2"/>
  <c r="D49" i="2" s="1"/>
  <c r="E49" i="2"/>
  <c r="H45" i="2"/>
  <c r="G45" i="2" l="1"/>
</calcChain>
</file>

<file path=xl/sharedStrings.xml><?xml version="1.0" encoding="utf-8"?>
<sst xmlns="http://schemas.openxmlformats.org/spreadsheetml/2006/main" count="274" uniqueCount="185">
  <si>
    <t>City Government of Panabo</t>
  </si>
  <si>
    <t>Province of Davao del Norte</t>
  </si>
  <si>
    <t>STATEMENT OF FINANCIAL POSITION</t>
  </si>
  <si>
    <t>All Funds</t>
  </si>
  <si>
    <t>(In Philippine Peso)</t>
  </si>
  <si>
    <t>Note</t>
  </si>
  <si>
    <t>ASSETS</t>
  </si>
  <si>
    <t>Current Assets</t>
  </si>
  <si>
    <t xml:space="preserve">    Cash and Cash Equivalents</t>
  </si>
  <si>
    <t xml:space="preserve">    Investments</t>
  </si>
  <si>
    <t xml:space="preserve">    Receivables</t>
  </si>
  <si>
    <t xml:space="preserve">    Inventories</t>
  </si>
  <si>
    <t xml:space="preserve">    Prepayments and Deferred Charges</t>
  </si>
  <si>
    <t>Total Current Assets</t>
  </si>
  <si>
    <t xml:space="preserve">    Non-Current Assets</t>
  </si>
  <si>
    <t xml:space="preserve">    Property, Plant and Equipment </t>
  </si>
  <si>
    <t xml:space="preserve">    Biological Assets</t>
  </si>
  <si>
    <t xml:space="preserve">    Intangible Assets</t>
  </si>
  <si>
    <t>Total Non-Current Assets</t>
  </si>
  <si>
    <t>Total Assets</t>
  </si>
  <si>
    <t>LIABILITIES</t>
  </si>
  <si>
    <t>Current Liabilities</t>
  </si>
  <si>
    <t xml:space="preserve">    Financial Liabilities</t>
  </si>
  <si>
    <t xml:space="preserve">    Inter-Agency Payables</t>
  </si>
  <si>
    <t xml:space="preserve">    Intra-Agency Payables</t>
  </si>
  <si>
    <t xml:space="preserve">    Trust Liabilities</t>
  </si>
  <si>
    <t xml:space="preserve">    Provisions</t>
  </si>
  <si>
    <t xml:space="preserve">    Deferred Credits/Unearned Income</t>
  </si>
  <si>
    <t xml:space="preserve">    Other Payables</t>
  </si>
  <si>
    <t>Total Current Liabilities</t>
  </si>
  <si>
    <t>Non-Current Liabilities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</si>
  <si>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</si>
  <si>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</si>
  <si>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</si>
  <si>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</si>
  <si>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</si>
  <si>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(See accompanying Notes to Financial Statements.)</t>
  </si>
  <si>
    <t>STATEMENT OF FINANCIAL PERFORMANCE</t>
  </si>
  <si>
    <t>Note/s</t>
  </si>
  <si>
    <t xml:space="preserve">Revenue </t>
  </si>
  <si>
    <t xml:space="preserve">     Tax Revenue</t>
  </si>
  <si>
    <t>Share from Internal Revenue Collections</t>
  </si>
  <si>
    <t xml:space="preserve">     Other Shares from National Taxes</t>
  </si>
  <si>
    <t xml:space="preserve">     Service and Business Income</t>
  </si>
  <si>
    <t>21, 29</t>
  </si>
  <si>
    <t xml:space="preserve">     Shares, Grants and Donations</t>
  </si>
  <si>
    <t>Total Revenue</t>
  </si>
  <si>
    <t>Less: Current Operating Expenses</t>
  </si>
  <si>
    <t xml:space="preserve">      Personnel Services</t>
  </si>
  <si>
    <t>Maintenance &amp; Other Operating Expenses</t>
  </si>
  <si>
    <t xml:space="preserve">      Non-cash Expenses</t>
  </si>
  <si>
    <t xml:space="preserve">      Financial Expenses</t>
  </si>
  <si>
    <t>Current Operating Expenses</t>
  </si>
  <si>
    <t>Surplus (Deficit) from Current Operation</t>
  </si>
  <si>
    <t xml:space="preserve">      Add (Deduct): </t>
  </si>
  <si>
    <t>Transfers, Assistance and Subsidy From</t>
  </si>
  <si>
    <t xml:space="preserve">      Transfers, Assistance and Subsidy To</t>
  </si>
  <si>
    <t>30, 31</t>
  </si>
  <si>
    <t xml:space="preserve">      Miscellaneous Income</t>
  </si>
  <si>
    <t>Surplus(Deficit) for the period</t>
  </si>
  <si>
    <t>STATEMENT OF CHANGES IN NET ASSETS/EQUITY</t>
  </si>
  <si>
    <t xml:space="preserve">Balance at January 1 </t>
  </si>
  <si>
    <t>Add (Deduct):</t>
  </si>
  <si>
    <t>Changes in Accounting Policy</t>
  </si>
  <si>
    <t>Prior Period Errors</t>
  </si>
  <si>
    <t>Restated Balance</t>
  </si>
  <si>
    <t>Add (Deduct) Changes in net assets/equity during the year</t>
  </si>
  <si>
    <t>Surplus (Deficit) for the period</t>
  </si>
  <si>
    <t>Total changes during the year</t>
  </si>
  <si>
    <t>Balance at December 31</t>
  </si>
  <si>
    <t>STATEMENT OF CASH FLOWS</t>
  </si>
  <si>
    <t>Cash Flows from Operating Activities</t>
  </si>
  <si>
    <t>Cash Inflows</t>
  </si>
  <si>
    <t xml:space="preserve">     Collection from taxpayers</t>
  </si>
  <si>
    <t xml:space="preserve">     Share from Internal Revenue Allotment</t>
  </si>
  <si>
    <t xml:space="preserve">     Receipts from business/service income</t>
  </si>
  <si>
    <t xml:space="preserve">     Interest Income</t>
  </si>
  <si>
    <t xml:space="preserve">     Other Receipts</t>
  </si>
  <si>
    <t xml:space="preserve">    Total Cash Inflows</t>
  </si>
  <si>
    <t>Cash Outflows</t>
  </si>
  <si>
    <t>Payment of expenses</t>
  </si>
  <si>
    <t>Payments to suppliers and creditors</t>
  </si>
  <si>
    <t>Payments to employees</t>
  </si>
  <si>
    <t xml:space="preserve">    Interest Expense</t>
  </si>
  <si>
    <t xml:space="preserve">    Total Cash Outflows</t>
  </si>
  <si>
    <t>Less: Adjustments made to Cash Account:</t>
  </si>
  <si>
    <t>Adjustments due to double entry, staled checks &amp; inappropriate fund/SL</t>
  </si>
  <si>
    <t>Net Cash Flows from Operating Activities</t>
  </si>
  <si>
    <t>Cash Flow from Investing Activities</t>
  </si>
  <si>
    <t xml:space="preserve">Cash Inflows </t>
  </si>
  <si>
    <t xml:space="preserve">     Proceeds from Sale/Disposal of PPE</t>
  </si>
  <si>
    <t xml:space="preserve">     Total Cash Inflows</t>
  </si>
  <si>
    <t>Purchase/Construction of PPE</t>
  </si>
  <si>
    <t>Net Cash Flows from  Investing Activities</t>
  </si>
  <si>
    <t>Cash Flows from Financing Activities</t>
  </si>
  <si>
    <t>Proceeds from Domestic Loans</t>
  </si>
  <si>
    <t>Payment of Long-Term Liabilities</t>
  </si>
  <si>
    <t>Total Cash Provided by Operating, Investing</t>
  </si>
  <si>
    <t xml:space="preserve">               and Financing Activities</t>
  </si>
  <si>
    <t>Add: Cash at the Beginning of the year</t>
  </si>
  <si>
    <t>Adjustment to prior year cash balance</t>
  </si>
  <si>
    <t>Cash Balance at the End of the Year</t>
  </si>
  <si>
    <t xml:space="preserve"> </t>
  </si>
  <si>
    <t xml:space="preserve">City Government of Panabo </t>
  </si>
  <si>
    <t>STATEMENT OF COMPARISON OF BUDGET AND ACTUAL AMOUNTS</t>
  </si>
  <si>
    <t>PARTICULARS</t>
  </si>
  <si>
    <t xml:space="preserve">Budgeted </t>
  </si>
  <si>
    <t xml:space="preserve">Difference </t>
  </si>
  <si>
    <t>Amounts</t>
  </si>
  <si>
    <t>Original and</t>
  </si>
  <si>
    <t>Actual</t>
  </si>
  <si>
    <t xml:space="preserve">Final Budget </t>
  </si>
  <si>
    <t>Original</t>
  </si>
  <si>
    <t>Final</t>
  </si>
  <si>
    <t>and Actual</t>
  </si>
  <si>
    <t>Revenue</t>
  </si>
  <si>
    <t xml:space="preserve">A.  Local Sources </t>
  </si>
  <si>
    <t>1.  Tax Revenue</t>
  </si>
  <si>
    <t>a.  Tax Revenue - Property</t>
  </si>
  <si>
    <t>b. 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</si>
  <si>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</si>
  <si>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</si>
  <si>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</si>
  <si>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</si>
  <si>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</si>
  <si>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</si>
  <si>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</si>
  <si>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</si>
  <si>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1.  Share from the National Internal Revenue Taxes (IRA)</t>
  </si>
  <si>
    <t>2.  Share from GOCCs</t>
  </si>
  <si>
    <t>a. Share from PCSO</t>
  </si>
  <si>
    <t>3.  Other Shares from National Tax Collections</t>
  </si>
  <si>
    <t>a. Share from Ecozone</t>
  </si>
  <si>
    <t>b.  Share from National Wealth</t>
  </si>
  <si>
    <t>4. Other Receipts</t>
  </si>
  <si>
    <t>a.  Grants and Donations</t>
  </si>
  <si>
    <t>b.  Other Subsidy Income</t>
  </si>
  <si>
    <t>a.  Sale of Capital Assets</t>
  </si>
  <si>
    <t>b.  Sale of Investments</t>
  </si>
  <si>
    <t>c.  Proceeds from Collections of Loan Receivable</t>
  </si>
  <si>
    <t>C. Receipts from Borrowings</t>
  </si>
  <si>
    <t>a. Grants and Donations</t>
  </si>
  <si>
    <t>b. Other Subsidy Income</t>
  </si>
  <si>
    <t>Total Revenue and Receipts</t>
  </si>
  <si>
    <t>Continuing Appropriations</t>
  </si>
  <si>
    <t xml:space="preserve">Grand Total Revenue and Receipts </t>
  </si>
  <si>
    <t xml:space="preserve">Expenditures </t>
  </si>
  <si>
    <t>Current Aprropriations</t>
  </si>
  <si>
    <t>General Public Services</t>
  </si>
  <si>
    <t>Personnel Services</t>
  </si>
  <si>
    <t>Maintenance and Other Operating Expenses</t>
  </si>
  <si>
    <t>Capital Outlay</t>
  </si>
  <si>
    <t>Education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</si>
  <si>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</si>
  <si>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</si>
  <si>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</si>
  <si>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</si>
  <si>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</si>
  <si>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</si>
  <si>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</si>
  <si>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</si>
  <si>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</si>
  <si>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</si>
  <si>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</si>
  <si>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Share from National Wealth</t>
  </si>
  <si>
    <t>Allocation for Senior Citizens and PWD</t>
  </si>
  <si>
    <t>Others</t>
  </si>
  <si>
    <t>Aid to Barangays</t>
  </si>
  <si>
    <t>Confidential Fund</t>
  </si>
  <si>
    <t>2% Discretionary Fund</t>
  </si>
  <si>
    <t>MPBF</t>
  </si>
  <si>
    <t>Subsidy to Economic Enterprise/Special Accounts</t>
  </si>
  <si>
    <t>Subsidy to Other Funds</t>
  </si>
  <si>
    <t>Total Current Approrpiations</t>
  </si>
  <si>
    <t>Continuing Aprropriations</t>
  </si>
  <si>
    <t>Total Continuing Approrpiations</t>
  </si>
  <si>
    <t>Total Appropriations</t>
  </si>
  <si>
    <t xml:space="preserve">Surplus (Deficit) for the current period </t>
  </si>
  <si>
    <t xml:space="preserve">    Other Expenses</t>
  </si>
  <si>
    <t>As at December 31, 2021</t>
  </si>
  <si>
    <t>(With Comparative Figures for CY 2020)</t>
  </si>
  <si>
    <t>For the Year Ended December 31, 2021</t>
  </si>
  <si>
    <t>4.  Other Receipts</t>
  </si>
  <si>
    <t>5.  Inter-local Transfer</t>
  </si>
  <si>
    <t>6.  Capital /Investment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</si>
</sst>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#,##0.00_ ;\-#,##0.00\ "/>
    <numFmt numFmtId="166" formatCode="#,##0.00;[Black]\(#,##0.00\)"/>
    <numFmt numFmtId="167" formatCode="#,##0.0000000_);\(#,##0.0000000\)"/>
    <numFmt numFmtId="168" formatCode="#,##0.0000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C00000"/>
      <name val="Times New Roman"/>
      <family val="1"/>
    </font>
    <font>
      <sz val="12"/>
      <name val="Times New Roman"/>
      <family val="1"/>
    </font>
    <font>
      <sz val="11"/>
      <color theme="0" tint="-0.249977111117893"/>
      <name val="Calibri"/>
      <family val="2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b/>
      <sz val="11"/>
      <color theme="0" tint="-0.249977111117893"/>
      <name val="Times New Roman"/>
      <family val="1"/>
    </font>
    <font>
      <sz val="10"/>
      <color theme="1"/>
      <name val="Verdana"/>
      <family val="2"/>
    </font>
    <font>
      <sz val="10"/>
      <color theme="0" tint="-0.249977111117893"/>
      <name val="Verdana"/>
      <family val="2"/>
    </font>
    <font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1"/>
      <color theme="0" tint="-0.1499984740745262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0" tint="-0.1499984740745262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10202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0" fontId="7" fillId="0" borderId="0" xfId="0" applyFont="1" applyBorder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2" applyFont="1" applyAlignment="1">
      <alignment horizontal="right" vertical="center" wrapText="1"/>
    </xf>
    <xf numFmtId="164" fontId="7" fillId="0" borderId="0" xfId="2" applyFont="1" applyBorder="1" applyAlignment="1">
      <alignment horizontal="right" vertical="center" wrapText="1"/>
    </xf>
    <xf numFmtId="43" fontId="0" fillId="0" borderId="0" xfId="0" applyNumberFormat="1"/>
    <xf numFmtId="43" fontId="2" fillId="0" borderId="0" xfId="0" applyNumberFormat="1" applyFont="1"/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64" fontId="7" fillId="0" borderId="1" xfId="2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164" fontId="8" fillId="0" borderId="2" xfId="2" applyFont="1" applyBorder="1" applyAlignment="1">
      <alignment horizontal="right" vertical="center" wrapText="1"/>
    </xf>
    <xf numFmtId="164" fontId="8" fillId="0" borderId="0" xfId="2" applyFont="1" applyBorder="1" applyAlignment="1">
      <alignment horizontal="right" vertical="center" wrapText="1"/>
    </xf>
    <xf numFmtId="164" fontId="0" fillId="0" borderId="0" xfId="0" applyNumberFormat="1"/>
    <xf numFmtId="164" fontId="12" fillId="0" borderId="0" xfId="0" applyNumberFormat="1" applyFont="1"/>
    <xf numFmtId="0" fontId="12" fillId="0" borderId="0" xfId="0" applyFont="1"/>
    <xf numFmtId="43" fontId="13" fillId="0" borderId="0" xfId="0" applyNumberFormat="1" applyFont="1" applyBorder="1" applyAlignment="1"/>
    <xf numFmtId="0" fontId="14" fillId="0" borderId="0" xfId="0" applyFont="1" applyBorder="1" applyAlignment="1"/>
    <xf numFmtId="43" fontId="13" fillId="0" borderId="0" xfId="0" applyNumberFormat="1" applyFont="1" applyBorder="1"/>
    <xf numFmtId="0" fontId="14" fillId="0" borderId="0" xfId="0" applyFont="1" applyBorder="1" applyAlignment="1">
      <alignment horizontal="center"/>
    </xf>
    <xf numFmtId="164" fontId="7" fillId="0" borderId="1" xfId="2" applyFont="1" applyFill="1" applyBorder="1" applyAlignment="1">
      <alignment horizontal="right" vertical="center" wrapText="1"/>
    </xf>
    <xf numFmtId="164" fontId="7" fillId="0" borderId="0" xfId="2" applyFont="1" applyFill="1" applyBorder="1" applyAlignment="1">
      <alignment horizontal="right" vertical="center" wrapText="1"/>
    </xf>
    <xf numFmtId="43" fontId="13" fillId="0" borderId="0" xfId="0" applyNumberFormat="1" applyFont="1" applyBorder="1" applyAlignment="1">
      <alignment horizontal="left" vertical="center" wrapText="1"/>
    </xf>
    <xf numFmtId="4" fontId="15" fillId="0" borderId="0" xfId="0" applyNumberFormat="1" applyFont="1" applyBorder="1"/>
    <xf numFmtId="4" fontId="16" fillId="0" borderId="0" xfId="0" applyNumberFormat="1" applyFont="1"/>
    <xf numFmtId="4" fontId="17" fillId="0" borderId="0" xfId="0" applyNumberFormat="1" applyFont="1"/>
    <xf numFmtId="164" fontId="8" fillId="0" borderId="3" xfId="2" applyFont="1" applyBorder="1" applyAlignment="1">
      <alignment horizontal="right" vertical="center" wrapText="1"/>
    </xf>
    <xf numFmtId="43" fontId="14" fillId="0" borderId="0" xfId="0" applyNumberFormat="1" applyFont="1" applyBorder="1" applyAlignment="1"/>
    <xf numFmtId="164" fontId="14" fillId="0" borderId="0" xfId="0" applyNumberFormat="1" applyFont="1" applyBorder="1" applyAlignment="1"/>
    <xf numFmtId="10" fontId="13" fillId="0" borderId="0" xfId="1" applyNumberFormat="1" applyFont="1" applyBorder="1"/>
    <xf numFmtId="10" fontId="14" fillId="0" borderId="0" xfId="1" applyNumberFormat="1" applyFont="1" applyBorder="1"/>
    <xf numFmtId="0" fontId="8" fillId="0" borderId="0" xfId="0" applyFont="1" applyAlignment="1">
      <alignment horizontal="left" vertical="center" wrapText="1"/>
    </xf>
    <xf numFmtId="43" fontId="14" fillId="0" borderId="0" xfId="0" applyNumberFormat="1" applyFont="1" applyBorder="1" applyAlignment="1">
      <alignment horizontal="left" vertical="center" wrapText="1"/>
    </xf>
    <xf numFmtId="164" fontId="15" fillId="0" borderId="0" xfId="2" applyFont="1" applyFill="1" applyBorder="1" applyAlignment="1">
      <alignment horizontal="right" vertical="center" wrapText="1"/>
    </xf>
    <xf numFmtId="43" fontId="0" fillId="0" borderId="0" xfId="0" applyNumberFormat="1" applyBorder="1"/>
    <xf numFmtId="43" fontId="12" fillId="0" borderId="0" xfId="0" applyNumberFormat="1" applyFont="1" applyBorder="1"/>
    <xf numFmtId="0" fontId="12" fillId="0" borderId="0" xfId="0" applyFont="1" applyBorder="1"/>
    <xf numFmtId="0" fontId="11" fillId="0" borderId="0" xfId="0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164" fontId="8" fillId="0" borderId="1" xfId="2" applyFont="1" applyBorder="1" applyAlignment="1">
      <alignment horizontal="right" vertical="center" wrapText="1"/>
    </xf>
    <xf numFmtId="164" fontId="7" fillId="0" borderId="0" xfId="2" applyFont="1" applyAlignment="1">
      <alignment vertical="center" wrapText="1"/>
    </xf>
    <xf numFmtId="164" fontId="7" fillId="0" borderId="0" xfId="2" applyFont="1" applyBorder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Border="1" applyAlignment="1">
      <alignment horizontal="right" vertical="center" wrapText="1"/>
    </xf>
    <xf numFmtId="164" fontId="8" fillId="0" borderId="4" xfId="2" applyFont="1" applyBorder="1" applyAlignment="1">
      <alignment horizontal="right" vertical="center" wrapText="1"/>
    </xf>
    <xf numFmtId="0" fontId="18" fillId="0" borderId="0" xfId="0" applyFont="1"/>
    <xf numFmtId="0" fontId="18" fillId="0" borderId="0" xfId="0" applyFont="1" applyBorder="1"/>
    <xf numFmtId="0" fontId="0" fillId="0" borderId="0" xfId="0" applyBorder="1"/>
    <xf numFmtId="0" fontId="20" fillId="0" borderId="0" xfId="0" applyFont="1"/>
    <xf numFmtId="0" fontId="20" fillId="0" borderId="0" xfId="0" applyFont="1" applyBorder="1"/>
    <xf numFmtId="164" fontId="0" fillId="0" borderId="0" xfId="0" applyNumberFormat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justify" vertical="center" wrapText="1"/>
    </xf>
    <xf numFmtId="0" fontId="7" fillId="0" borderId="0" xfId="0" applyFont="1" applyAlignment="1">
      <alignment horizontal="left" vertical="center" wrapText="1" indent="2"/>
    </xf>
    <xf numFmtId="165" fontId="0" fillId="0" borderId="0" xfId="0" applyNumberFormat="1" applyBorder="1"/>
    <xf numFmtId="39" fontId="7" fillId="0" borderId="0" xfId="2" applyNumberFormat="1" applyFont="1" applyBorder="1" applyAlignment="1">
      <alignment horizontal="right" vertical="center" wrapText="1"/>
    </xf>
    <xf numFmtId="0" fontId="0" fillId="0" borderId="0" xfId="0" applyBorder="1" applyAlignment="1">
      <alignment horizontal="center"/>
    </xf>
    <xf numFmtId="43" fontId="3" fillId="0" borderId="0" xfId="0" applyNumberFormat="1" applyFont="1" applyBorder="1" applyAlignment="1">
      <alignment horizontal="center"/>
    </xf>
    <xf numFmtId="164" fontId="0" fillId="0" borderId="0" xfId="2" applyFont="1" applyBorder="1" applyAlignment="1">
      <alignment horizontal="right"/>
    </xf>
    <xf numFmtId="164" fontId="0" fillId="0" borderId="0" xfId="2" applyFont="1" applyBorder="1"/>
    <xf numFmtId="0" fontId="21" fillId="0" borderId="0" xfId="0" applyFont="1" applyFill="1" applyAlignment="1">
      <alignment horizontal="center" vertical="center" wrapText="1"/>
    </xf>
    <xf numFmtId="39" fontId="8" fillId="0" borderId="2" xfId="2" applyNumberFormat="1" applyFont="1" applyBorder="1" applyAlignment="1">
      <alignment horizontal="right" vertical="center" wrapText="1"/>
    </xf>
    <xf numFmtId="164" fontId="0" fillId="0" borderId="0" xfId="0" applyNumberForma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164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43" fontId="3" fillId="0" borderId="0" xfId="0" applyNumberFormat="1" applyFont="1" applyBorder="1" applyAlignment="1">
      <alignment horizontal="left"/>
    </xf>
    <xf numFmtId="0" fontId="7" fillId="0" borderId="0" xfId="0" applyFont="1" applyAlignment="1">
      <alignment horizontal="left" vertical="center" wrapText="1" indent="3"/>
    </xf>
    <xf numFmtId="43" fontId="0" fillId="0" borderId="0" xfId="0" applyNumberFormat="1" applyBorder="1" applyAlignment="1">
      <alignment horizontal="left"/>
    </xf>
    <xf numFmtId="164" fontId="3" fillId="0" borderId="0" xfId="2" applyFont="1" applyBorder="1"/>
    <xf numFmtId="39" fontId="7" fillId="0" borderId="1" xfId="2" applyNumberFormat="1" applyFont="1" applyBorder="1" applyAlignment="1">
      <alignment horizontal="right" vertical="center" wrapText="1"/>
    </xf>
    <xf numFmtId="164" fontId="0" fillId="0" borderId="0" xfId="0" applyNumberFormat="1" applyBorder="1" applyAlignment="1">
      <alignment horizontal="right"/>
    </xf>
    <xf numFmtId="0" fontId="7" fillId="0" borderId="0" xfId="0" applyFont="1" applyAlignment="1">
      <alignment vertical="center" wrapText="1"/>
    </xf>
    <xf numFmtId="39" fontId="8" fillId="0" borderId="3" xfId="2" applyNumberFormat="1" applyFont="1" applyBorder="1" applyAlignment="1">
      <alignment vertical="center" wrapText="1"/>
    </xf>
    <xf numFmtId="164" fontId="8" fillId="0" borderId="3" xfId="2" applyFont="1" applyBorder="1" applyAlignment="1">
      <alignment vertical="center" wrapText="1"/>
    </xf>
    <xf numFmtId="164" fontId="0" fillId="0" borderId="0" xfId="0" applyNumberFormat="1" applyFill="1" applyBorder="1"/>
    <xf numFmtId="0" fontId="19" fillId="0" borderId="0" xfId="0" applyFont="1" applyAlignment="1">
      <alignment horizontal="center" vertical="center"/>
    </xf>
    <xf numFmtId="43" fontId="3" fillId="0" borderId="0" xfId="0" applyNumberFormat="1" applyFont="1" applyFill="1" applyBorder="1"/>
    <xf numFmtId="0" fontId="0" fillId="0" borderId="0" xfId="0" applyFill="1" applyBorder="1"/>
    <xf numFmtId="164" fontId="0" fillId="0" borderId="0" xfId="2" applyFont="1"/>
    <xf numFmtId="39" fontId="20" fillId="0" borderId="0" xfId="2" applyNumberFormat="1" applyFont="1"/>
    <xf numFmtId="164" fontId="20" fillId="0" borderId="0" xfId="2" applyFont="1"/>
    <xf numFmtId="2" fontId="7" fillId="0" borderId="0" xfId="2" applyNumberFormat="1" applyFont="1" applyAlignment="1">
      <alignment horizontal="right" vertical="center" wrapText="1"/>
    </xf>
    <xf numFmtId="165" fontId="0" fillId="0" borderId="0" xfId="0" applyNumberFormat="1"/>
    <xf numFmtId="164" fontId="8" fillId="0" borderId="0" xfId="2" applyFont="1" applyFill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 indent="2"/>
    </xf>
    <xf numFmtId="164" fontId="8" fillId="0" borderId="1" xfId="2" applyFont="1" applyBorder="1" applyAlignment="1">
      <alignment vertical="center"/>
    </xf>
    <xf numFmtId="164" fontId="18" fillId="0" borderId="0" xfId="2" applyFont="1"/>
    <xf numFmtId="0" fontId="8" fillId="0" borderId="1" xfId="0" applyFont="1" applyBorder="1" applyAlignment="1">
      <alignment horizontal="justify" vertical="center" wrapText="1"/>
    </xf>
    <xf numFmtId="0" fontId="8" fillId="0" borderId="0" xfId="0" applyFont="1" applyBorder="1" applyAlignment="1">
      <alignment horizontal="justify" vertical="center" wrapText="1"/>
    </xf>
    <xf numFmtId="0" fontId="9" fillId="0" borderId="0" xfId="0" applyFont="1" applyAlignment="1">
      <alignment horizontal="left" vertical="center" wrapText="1"/>
    </xf>
    <xf numFmtId="164" fontId="7" fillId="0" borderId="0" xfId="2" applyFont="1" applyAlignment="1">
      <alignment horizontal="center" vertical="center" wrapText="1"/>
    </xf>
    <xf numFmtId="164" fontId="7" fillId="0" borderId="0" xfId="2" applyFont="1" applyBorder="1" applyAlignment="1">
      <alignment horizontal="center" vertical="center" wrapText="1"/>
    </xf>
    <xf numFmtId="164" fontId="8" fillId="0" borderId="0" xfId="2" applyFont="1" applyAlignment="1">
      <alignment horizontal="right" vertical="center" wrapText="1"/>
    </xf>
    <xf numFmtId="164" fontId="7" fillId="0" borderId="0" xfId="2" applyFont="1" applyFill="1" applyAlignment="1">
      <alignment horizontal="right" vertical="center" wrapText="1"/>
    </xf>
    <xf numFmtId="164" fontId="8" fillId="0" borderId="5" xfId="2" applyFont="1" applyBorder="1" applyAlignment="1">
      <alignment horizontal="right" vertical="center" wrapText="1"/>
    </xf>
    <xf numFmtId="0" fontId="8" fillId="0" borderId="0" xfId="0" applyFont="1" applyAlignment="1">
      <alignment horizontal="left" wrapText="1"/>
    </xf>
    <xf numFmtId="39" fontId="8" fillId="0" borderId="0" xfId="2" applyNumberFormat="1" applyFont="1" applyAlignment="1">
      <alignment horizontal="right" vertical="center" wrapText="1"/>
    </xf>
    <xf numFmtId="39" fontId="7" fillId="0" borderId="1" xfId="2" applyNumberFormat="1" applyFont="1" applyFill="1" applyBorder="1" applyAlignment="1">
      <alignment horizontal="right" vertical="center" wrapText="1"/>
    </xf>
    <xf numFmtId="39" fontId="8" fillId="0" borderId="0" xfId="2" applyNumberFormat="1" applyFont="1" applyBorder="1" applyAlignment="1">
      <alignment vertical="center" wrapText="1"/>
    </xf>
    <xf numFmtId="164" fontId="8" fillId="0" borderId="0" xfId="2" applyFont="1" applyBorder="1" applyAlignment="1">
      <alignment vertical="center" wrapText="1"/>
    </xf>
    <xf numFmtId="0" fontId="8" fillId="0" borderId="0" xfId="0" applyFont="1" applyAlignment="1">
      <alignment horizontal="left" vertical="center" wrapText="1" indent="3"/>
    </xf>
    <xf numFmtId="164" fontId="20" fillId="0" borderId="0" xfId="2" applyFont="1" applyBorder="1"/>
    <xf numFmtId="164" fontId="22" fillId="0" borderId="0" xfId="2" applyFont="1"/>
    <xf numFmtId="164" fontId="22" fillId="0" borderId="0" xfId="2" applyFont="1" applyBorder="1"/>
    <xf numFmtId="164" fontId="3" fillId="0" borderId="0" xfId="2" applyFont="1"/>
    <xf numFmtId="0" fontId="13" fillId="0" borderId="0" xfId="0" applyFont="1" applyAlignment="1">
      <alignment horizontal="left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0" xfId="0" applyFont="1"/>
    <xf numFmtId="164" fontId="7" fillId="0" borderId="0" xfId="3" applyFont="1" applyFill="1"/>
    <xf numFmtId="4" fontId="7" fillId="0" borderId="0" xfId="0" applyNumberFormat="1" applyFont="1"/>
    <xf numFmtId="166" fontId="7" fillId="0" borderId="0" xfId="0" applyNumberFormat="1" applyFont="1" applyAlignment="1">
      <alignment horizontal="right" vertical="center" wrapText="1"/>
    </xf>
    <xf numFmtId="166" fontId="7" fillId="0" borderId="0" xfId="0" applyNumberFormat="1" applyFont="1"/>
    <xf numFmtId="166" fontId="7" fillId="0" borderId="0" xfId="3" applyNumberFormat="1" applyFont="1"/>
    <xf numFmtId="166" fontId="7" fillId="0" borderId="0" xfId="3" applyNumberFormat="1" applyFont="1" applyFill="1"/>
    <xf numFmtId="166" fontId="7" fillId="0" borderId="1" xfId="0" applyNumberFormat="1" applyFont="1" applyBorder="1" applyAlignment="1">
      <alignment horizontal="right" vertical="center" wrapText="1"/>
    </xf>
    <xf numFmtId="166" fontId="7" fillId="0" borderId="1" xfId="0" applyNumberFormat="1" applyFont="1" applyBorder="1"/>
    <xf numFmtId="166" fontId="11" fillId="0" borderId="1" xfId="0" applyNumberFormat="1" applyFont="1" applyBorder="1"/>
    <xf numFmtId="166" fontId="11" fillId="0" borderId="1" xfId="3" applyNumberFormat="1" applyFont="1" applyBorder="1"/>
    <xf numFmtId="166" fontId="7" fillId="0" borderId="1" xfId="3" applyNumberFormat="1" applyFont="1" applyFill="1" applyBorder="1"/>
    <xf numFmtId="166" fontId="8" fillId="0" borderId="1" xfId="3" applyNumberFormat="1" applyFont="1" applyBorder="1"/>
    <xf numFmtId="166" fontId="8" fillId="0" borderId="1" xfId="0" applyNumberFormat="1" applyFont="1" applyBorder="1"/>
    <xf numFmtId="166" fontId="23" fillId="0" borderId="1" xfId="3" applyNumberFormat="1" applyFont="1" applyBorder="1"/>
    <xf numFmtId="166" fontId="23" fillId="0" borderId="1" xfId="0" applyNumberFormat="1" applyFont="1" applyBorder="1"/>
    <xf numFmtId="166" fontId="23" fillId="0" borderId="1" xfId="3" applyNumberFormat="1" applyFont="1" applyFill="1" applyBorder="1"/>
    <xf numFmtId="166" fontId="8" fillId="0" borderId="1" xfId="3" applyNumberFormat="1" applyFont="1" applyFill="1" applyBorder="1"/>
    <xf numFmtId="166" fontId="11" fillId="0" borderId="0" xfId="0" applyNumberFormat="1" applyFont="1"/>
    <xf numFmtId="166" fontId="11" fillId="0" borderId="0" xfId="3" applyNumberFormat="1" applyFont="1"/>
    <xf numFmtId="166" fontId="7" fillId="0" borderId="0" xfId="2" applyNumberFormat="1" applyFont="1"/>
    <xf numFmtId="166" fontId="11" fillId="0" borderId="0" xfId="3" applyNumberFormat="1" applyFont="1" applyBorder="1"/>
    <xf numFmtId="166" fontId="7" fillId="0" borderId="0" xfId="2" applyNumberFormat="1" applyFont="1" applyFill="1"/>
    <xf numFmtId="164" fontId="7" fillId="0" borderId="0" xfId="0" applyNumberFormat="1" applyFont="1"/>
    <xf numFmtId="166" fontId="23" fillId="0" borderId="5" xfId="3" applyNumberFormat="1" applyFont="1" applyBorder="1"/>
    <xf numFmtId="166" fontId="8" fillId="0" borderId="5" xfId="0" applyNumberFormat="1" applyFont="1" applyBorder="1"/>
    <xf numFmtId="166" fontId="23" fillId="0" borderId="5" xfId="3" applyNumberFormat="1" applyFont="1" applyFill="1" applyBorder="1"/>
    <xf numFmtId="166" fontId="8" fillId="0" borderId="5" xfId="3" applyNumberFormat="1" applyFont="1" applyBorder="1"/>
    <xf numFmtId="166" fontId="7" fillId="0" borderId="1" xfId="2" applyNumberFormat="1" applyFont="1" applyBorder="1"/>
    <xf numFmtId="166" fontId="11" fillId="0" borderId="1" xfId="2" applyNumberFormat="1" applyFont="1" applyBorder="1"/>
    <xf numFmtId="166" fontId="7" fillId="0" borderId="1" xfId="2" applyNumberFormat="1" applyFont="1" applyFill="1" applyBorder="1"/>
    <xf numFmtId="166" fontId="8" fillId="0" borderId="2" xfId="2" applyNumberFormat="1" applyFont="1" applyBorder="1"/>
    <xf numFmtId="166" fontId="11" fillId="0" borderId="0" xfId="3" applyNumberFormat="1" applyFont="1" applyFill="1"/>
    <xf numFmtId="166" fontId="7" fillId="0" borderId="0" xfId="2" applyNumberFormat="1" applyFont="1" applyAlignment="1">
      <alignment horizontal="right" vertical="center" wrapText="1"/>
    </xf>
    <xf numFmtId="166" fontId="7" fillId="0" borderId="0" xfId="2" applyNumberFormat="1" applyFont="1" applyFill="1" applyAlignment="1">
      <alignment horizontal="right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166" fontId="8" fillId="0" borderId="2" xfId="3" applyNumberFormat="1" applyFont="1" applyBorder="1"/>
    <xf numFmtId="166" fontId="8" fillId="0" borderId="2" xfId="0" applyNumberFormat="1" applyFont="1" applyBorder="1"/>
    <xf numFmtId="166" fontId="8" fillId="0" borderId="2" xfId="3" applyNumberFormat="1" applyFont="1" applyFill="1" applyBorder="1"/>
    <xf numFmtId="166" fontId="7" fillId="0" borderId="0" xfId="3" applyNumberFormat="1" applyFont="1" applyFill="1" applyBorder="1"/>
    <xf numFmtId="166" fontId="7" fillId="0" borderId="0" xfId="3" applyNumberFormat="1" applyFont="1" applyBorder="1"/>
    <xf numFmtId="166" fontId="7" fillId="0" borderId="1" xfId="3" applyNumberFormat="1" applyFont="1" applyBorder="1"/>
    <xf numFmtId="164" fontId="8" fillId="0" borderId="0" xfId="3" applyFont="1"/>
    <xf numFmtId="0" fontId="2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6" fontId="8" fillId="0" borderId="3" xfId="0" applyNumberFormat="1" applyFont="1" applyBorder="1" applyAlignment="1">
      <alignment horizontal="right"/>
    </xf>
    <xf numFmtId="4" fontId="13" fillId="0" borderId="0" xfId="0" applyNumberFormat="1" applyFont="1" applyAlignment="1">
      <alignment horizontal="left"/>
    </xf>
    <xf numFmtId="167" fontId="13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0" fontId="13" fillId="2" borderId="0" xfId="0" applyFont="1" applyFill="1" applyAlignment="1">
      <alignment horizontal="left"/>
    </xf>
    <xf numFmtId="43" fontId="20" fillId="0" borderId="0" xfId="0" applyNumberFormat="1" applyFont="1"/>
    <xf numFmtId="0" fontId="12" fillId="0" borderId="0" xfId="0" applyFont="1" applyAlignment="1">
      <alignment wrapText="1"/>
    </xf>
    <xf numFmtId="43" fontId="12" fillId="0" borderId="0" xfId="0" applyNumberFormat="1" applyFont="1"/>
    <xf numFmtId="4" fontId="0" fillId="0" borderId="0" xfId="0" applyNumberFormat="1" applyBorder="1" applyAlignment="1">
      <alignment horizontal="center"/>
    </xf>
    <xf numFmtId="4" fontId="0" fillId="0" borderId="0" xfId="0" applyNumberFormat="1" applyBorder="1"/>
    <xf numFmtId="4" fontId="25" fillId="0" borderId="0" xfId="0" applyNumberFormat="1" applyFont="1"/>
    <xf numFmtId="164" fontId="7" fillId="0" borderId="1" xfId="4" applyNumberFormat="1" applyFont="1" applyFill="1" applyBorder="1" applyAlignment="1">
      <alignment horizontal="right" vertical="center" wrapText="1"/>
    </xf>
    <xf numFmtId="166" fontId="8" fillId="0" borderId="0" xfId="2" applyNumberFormat="1" applyFont="1" applyAlignment="1">
      <alignment horizontal="right" vertical="center" wrapText="1"/>
    </xf>
    <xf numFmtId="166" fontId="8" fillId="0" borderId="0" xfId="2" applyNumberFormat="1" applyFont="1" applyBorder="1" applyAlignment="1">
      <alignment horizontal="right" vertical="center" wrapText="1"/>
    </xf>
    <xf numFmtId="166" fontId="8" fillId="0" borderId="0" xfId="4" applyNumberFormat="1" applyFont="1" applyAlignment="1">
      <alignment horizontal="right" vertical="center" wrapText="1"/>
    </xf>
    <xf numFmtId="166" fontId="7" fillId="0" borderId="0" xfId="2" applyNumberFormat="1" applyFont="1" applyBorder="1" applyAlignment="1">
      <alignment horizontal="right" vertical="center" wrapText="1"/>
    </xf>
    <xf numFmtId="164" fontId="8" fillId="0" borderId="2" xfId="2" applyFont="1" applyFill="1" applyBorder="1" applyAlignment="1">
      <alignment horizontal="right" vertical="center" wrapText="1"/>
    </xf>
    <xf numFmtId="2" fontId="20" fillId="0" borderId="0" xfId="0" applyNumberFormat="1" applyFont="1"/>
    <xf numFmtId="39" fontId="7" fillId="0" borderId="0" xfId="2" applyNumberFormat="1" applyFont="1" applyFill="1" applyAlignment="1">
      <alignment horizontal="right" vertical="center" wrapText="1"/>
    </xf>
    <xf numFmtId="39" fontId="7" fillId="0" borderId="0" xfId="2" applyNumberFormat="1" applyFont="1" applyFill="1" applyBorder="1" applyAlignment="1">
      <alignment horizontal="right" vertical="center" wrapText="1"/>
    </xf>
    <xf numFmtId="39" fontId="11" fillId="0" borderId="0" xfId="2" applyNumberFormat="1" applyFont="1" applyFill="1" applyBorder="1" applyAlignment="1">
      <alignment horizontal="right" vertical="center" wrapText="1"/>
    </xf>
    <xf numFmtId="39" fontId="8" fillId="0" borderId="2" xfId="2" applyNumberFormat="1" applyFont="1" applyFill="1" applyBorder="1" applyAlignment="1">
      <alignment horizontal="right" vertical="center" wrapText="1"/>
    </xf>
    <xf numFmtId="39" fontId="8" fillId="0" borderId="1" xfId="2" applyNumberFormat="1" applyFont="1" applyFill="1" applyBorder="1" applyAlignment="1">
      <alignment horizontal="right" vertical="center" wrapText="1"/>
    </xf>
    <xf numFmtId="164" fontId="8" fillId="0" borderId="1" xfId="2" applyFont="1" applyFill="1" applyBorder="1" applyAlignment="1">
      <alignment horizontal="right" vertical="center" wrapText="1"/>
    </xf>
    <xf numFmtId="166" fontId="7" fillId="0" borderId="0" xfId="4" applyNumberFormat="1" applyFont="1" applyFill="1" applyBorder="1" applyAlignment="1">
      <alignment horizontal="right" vertical="center" wrapText="1"/>
    </xf>
    <xf numFmtId="39" fontId="11" fillId="0" borderId="0" xfId="2" applyNumberFormat="1" applyFont="1" applyFill="1" applyAlignment="1">
      <alignment horizontal="right" vertical="center" wrapText="1"/>
    </xf>
    <xf numFmtId="164" fontId="11" fillId="0" borderId="0" xfId="2" applyFont="1" applyFill="1" applyAlignment="1">
      <alignment horizontal="right" vertical="center" wrapText="1"/>
    </xf>
    <xf numFmtId="43" fontId="26" fillId="0" borderId="0" xfId="0" applyNumberFormat="1" applyFont="1"/>
    <xf numFmtId="0" fontId="26" fillId="0" borderId="0" xfId="0" applyFont="1"/>
    <xf numFmtId="166" fontId="7" fillId="0" borderId="1" xfId="2" applyNumberFormat="1" applyFont="1" applyBorder="1" applyAlignment="1">
      <alignment horizontal="right" vertical="center" wrapText="1"/>
    </xf>
    <xf numFmtId="166" fontId="7" fillId="0" borderId="1" xfId="2" applyNumberFormat="1" applyFont="1" applyFill="1" applyBorder="1" applyAlignment="1">
      <alignment horizontal="right" vertical="center" wrapText="1"/>
    </xf>
    <xf numFmtId="166" fontId="8" fillId="0" borderId="5" xfId="2" applyNumberFormat="1" applyFont="1" applyBorder="1" applyAlignment="1">
      <alignment horizontal="right" vertical="center" wrapText="1"/>
    </xf>
    <xf numFmtId="166" fontId="8" fillId="0" borderId="2" xfId="2" applyNumberFormat="1" applyFont="1" applyBorder="1" applyAlignment="1">
      <alignment horizontal="right" vertical="center" wrapText="1"/>
    </xf>
    <xf numFmtId="168" fontId="13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</cellXfs>
  <cellStyles count="5">
    <cellStyle name="Comma" xfId="4" builtinId="3"/>
    <cellStyle name="Comma 2" xfId="2" xr:uid="{00000000-0005-0000-0000-000001000000}"/>
    <cellStyle name="Comma 2 3" xfId="3" xr:uid="{00000000-0005-0000-0000-000002000000}"/>
    <cellStyle name="Normal" xfId="0" builtinId="0"/>
    <cellStyle name="Percent" xfId="1" builtinId="5"/>
  </cellStyles>
  <dxfs count="3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7"/>
  <sheetViews>
    <sheetView showGridLines="0" tabSelected="1" zoomScaleNormal="100" zoomScaleSheetLayoutView="90" workbookViewId="0">
      <selection sqref="A1:F1"/>
    </sheetView>
  </sheetViews>
  <sheetFormatPr defaultRowHeight="15" x14ac:dyDescent="0.25"/>
  <cols>
    <col min="1" max="1" width="38.140625" customWidth="1"/>
    <col min="2" max="2" width="6.140625" customWidth="1"/>
    <col min="3" max="3" width="1" style="57" customWidth="1"/>
    <col min="4" max="5" width="21.28515625" customWidth="1"/>
    <col min="6" max="6" width="0.85546875" style="57" customWidth="1"/>
    <col min="7" max="7" width="15.28515625" hidden="1" customWidth="1"/>
    <col min="8" max="8" width="16.85546875" hidden="1" customWidth="1"/>
    <col min="9" max="10" width="16.85546875" style="1" bestFit="1" customWidth="1"/>
    <col min="11" max="11" width="16.85546875" bestFit="1" customWidth="1"/>
  </cols>
  <sheetData>
    <row r="1" spans="1:9" ht="18.75" x14ac:dyDescent="0.3">
      <c r="A1" s="212" t="s">
        <v>0</v>
      </c>
      <c r="B1" s="212"/>
      <c r="C1" s="212"/>
      <c r="D1" s="212"/>
      <c r="E1" s="212"/>
      <c r="F1" s="212"/>
    </row>
    <row r="2" spans="1:9" ht="18.75" x14ac:dyDescent="0.25">
      <c r="A2" s="213" t="s">
        <v>1</v>
      </c>
      <c r="B2" s="213"/>
      <c r="C2" s="213"/>
      <c r="D2" s="213"/>
      <c r="E2" s="213"/>
      <c r="F2" s="213"/>
    </row>
    <row r="3" spans="1:9" ht="18.75" x14ac:dyDescent="0.25">
      <c r="A3" s="213" t="s">
        <v>2</v>
      </c>
      <c r="B3" s="213"/>
      <c r="C3" s="213"/>
      <c r="D3" s="213"/>
      <c r="E3" s="213"/>
      <c r="F3" s="213"/>
    </row>
    <row r="4" spans="1:9" ht="18.75" x14ac:dyDescent="0.25">
      <c r="A4" s="213" t="s">
        <v>3</v>
      </c>
      <c r="B4" s="213"/>
      <c r="C4" s="213"/>
      <c r="D4" s="213"/>
      <c r="E4" s="213"/>
      <c r="F4" s="213"/>
    </row>
    <row r="5" spans="1:9" ht="18.75" x14ac:dyDescent="0.25">
      <c r="A5" s="214" t="s">
        <v>179</v>
      </c>
      <c r="B5" s="214"/>
      <c r="C5" s="214"/>
      <c r="D5" s="214"/>
      <c r="E5" s="214"/>
      <c r="F5" s="214"/>
    </row>
    <row r="6" spans="1:9" ht="18.75" x14ac:dyDescent="0.25">
      <c r="A6" s="214" t="s">
        <v>180</v>
      </c>
      <c r="B6" s="214"/>
      <c r="C6" s="214"/>
      <c r="D6" s="214"/>
      <c r="E6" s="214"/>
      <c r="F6" s="214"/>
    </row>
    <row r="7" spans="1:9" ht="18.75" x14ac:dyDescent="0.25">
      <c r="A7" s="209" t="s">
        <v>4</v>
      </c>
      <c r="B7" s="209"/>
      <c r="C7" s="209"/>
      <c r="D7" s="209"/>
      <c r="E7" s="209"/>
      <c r="F7" s="209"/>
    </row>
    <row r="9" spans="1:9" ht="15.75" x14ac:dyDescent="0.25">
      <c r="A9" s="2"/>
      <c r="B9" s="3" t="s">
        <v>5</v>
      </c>
      <c r="C9" s="4"/>
      <c r="D9" s="3">
        <v>2021</v>
      </c>
      <c r="E9" s="3">
        <v>2020</v>
      </c>
      <c r="F9" s="4"/>
    </row>
    <row r="10" spans="1:9" ht="15.75" x14ac:dyDescent="0.25">
      <c r="A10" s="5" t="s">
        <v>6</v>
      </c>
      <c r="B10" s="2"/>
      <c r="C10" s="6"/>
      <c r="D10" s="2"/>
      <c r="E10" s="2"/>
      <c r="F10" s="6"/>
    </row>
    <row r="11" spans="1:9" ht="15.75" x14ac:dyDescent="0.25">
      <c r="A11" s="7" t="s">
        <v>7</v>
      </c>
      <c r="B11" s="8"/>
      <c r="C11" s="6"/>
      <c r="D11" s="2"/>
      <c r="E11" s="2"/>
      <c r="F11" s="6"/>
    </row>
    <row r="12" spans="1:9" ht="15.75" x14ac:dyDescent="0.25">
      <c r="A12" s="2" t="s">
        <v>8</v>
      </c>
      <c r="B12" s="9">
        <v>4</v>
      </c>
      <c r="C12" s="10"/>
      <c r="D12" s="11">
        <v>1355081258.0899999</v>
      </c>
      <c r="E12" s="11">
        <v>1154189142.9199998</v>
      </c>
      <c r="F12" s="12"/>
      <c r="G12" s="13" t="e">
        <f>D12-#REF!</f>
        <v>#REF!</v>
      </c>
      <c r="H12" s="13" t="e">
        <f>E12-#REF!</f>
        <v>#REF!</v>
      </c>
      <c r="I12" s="14"/>
    </row>
    <row r="13" spans="1:9" ht="15.75" x14ac:dyDescent="0.25">
      <c r="A13" s="2" t="s">
        <v>9</v>
      </c>
      <c r="B13" s="9">
        <v>5</v>
      </c>
      <c r="C13" s="10"/>
      <c r="D13" s="11">
        <v>27751603.100000001</v>
      </c>
      <c r="E13" s="11">
        <v>29688483.079999998</v>
      </c>
      <c r="F13" s="12"/>
      <c r="G13" s="13" t="e">
        <f>D13-#REF!</f>
        <v>#REF!</v>
      </c>
      <c r="H13" s="13" t="e">
        <f>E13-#REF!</f>
        <v>#REF!</v>
      </c>
    </row>
    <row r="14" spans="1:9" ht="15.75" x14ac:dyDescent="0.25">
      <c r="A14" s="2" t="s">
        <v>10</v>
      </c>
      <c r="B14" s="9">
        <v>6</v>
      </c>
      <c r="C14" s="10"/>
      <c r="D14" s="11">
        <v>182937663.33000001</v>
      </c>
      <c r="E14" s="11">
        <v>198954731.05000001</v>
      </c>
      <c r="F14" s="12"/>
      <c r="G14" s="13" t="e">
        <f>D14-#REF!</f>
        <v>#REF!</v>
      </c>
      <c r="H14" s="13" t="e">
        <f>E14-#REF!</f>
        <v>#REF!</v>
      </c>
    </row>
    <row r="15" spans="1:9" ht="15.75" x14ac:dyDescent="0.25">
      <c r="A15" s="2" t="s">
        <v>11</v>
      </c>
      <c r="B15" s="9">
        <v>7</v>
      </c>
      <c r="C15" s="10"/>
      <c r="D15" s="11">
        <v>145657480.16999999</v>
      </c>
      <c r="E15" s="11">
        <v>126494956.61999999</v>
      </c>
      <c r="F15" s="12"/>
      <c r="G15" s="13" t="e">
        <f>D15-#REF!</f>
        <v>#REF!</v>
      </c>
      <c r="H15" s="13" t="e">
        <f>E15-#REF!</f>
        <v>#REF!</v>
      </c>
    </row>
    <row r="16" spans="1:9" ht="15.75" x14ac:dyDescent="0.25">
      <c r="A16" s="15" t="s">
        <v>12</v>
      </c>
      <c r="B16" s="16">
        <v>8</v>
      </c>
      <c r="C16" s="10"/>
      <c r="D16" s="17">
        <v>15970830.619999999</v>
      </c>
      <c r="E16" s="17">
        <v>26630544.960000001</v>
      </c>
      <c r="F16" s="12"/>
      <c r="G16" s="13" t="e">
        <f>D16-#REF!</f>
        <v>#REF!</v>
      </c>
      <c r="H16" s="13" t="e">
        <f>E16-#REF!</f>
        <v>#REF!</v>
      </c>
    </row>
    <row r="17" spans="1:11" ht="15.75" x14ac:dyDescent="0.25">
      <c r="A17" s="5" t="s">
        <v>13</v>
      </c>
      <c r="B17" s="18"/>
      <c r="C17" s="10"/>
      <c r="D17" s="19">
        <f>SUM(D12:D16)</f>
        <v>1727398835.3099997</v>
      </c>
      <c r="E17" s="19">
        <f>SUM(E12:E16)</f>
        <v>1535957858.6299996</v>
      </c>
      <c r="F17" s="20"/>
      <c r="G17" s="13" t="e">
        <f>D17-#REF!</f>
        <v>#REF!</v>
      </c>
      <c r="H17" s="21" t="e">
        <f>E17-#REF!</f>
        <v>#REF!</v>
      </c>
      <c r="I17" s="22"/>
      <c r="J17" s="23"/>
      <c r="K17" s="22"/>
    </row>
    <row r="18" spans="1:11" ht="15.75" x14ac:dyDescent="0.25">
      <c r="A18" s="2"/>
      <c r="B18" s="8"/>
      <c r="C18" s="6"/>
      <c r="D18" s="11"/>
      <c r="E18" s="11"/>
      <c r="F18" s="12"/>
      <c r="H18" s="21"/>
      <c r="I18" s="22"/>
      <c r="J18" s="23"/>
      <c r="K18" s="23"/>
    </row>
    <row r="19" spans="1:11" ht="15.75" x14ac:dyDescent="0.25">
      <c r="A19" s="7" t="s">
        <v>14</v>
      </c>
      <c r="B19" s="8"/>
      <c r="C19" s="6"/>
      <c r="D19" s="11"/>
      <c r="E19" s="11"/>
      <c r="F19" s="12"/>
      <c r="I19" s="23"/>
      <c r="J19" s="23"/>
      <c r="K19" s="23"/>
    </row>
    <row r="20" spans="1:11" ht="15.75" x14ac:dyDescent="0.25">
      <c r="A20" s="2" t="s">
        <v>15</v>
      </c>
      <c r="B20" s="16">
        <v>9</v>
      </c>
      <c r="C20" s="10"/>
      <c r="D20" s="11">
        <v>2455116630.5599999</v>
      </c>
      <c r="E20" s="11">
        <v>2232661112.7299995</v>
      </c>
      <c r="F20" s="12"/>
      <c r="G20" s="13" t="e">
        <f>D20-#REF!</f>
        <v>#REF!</v>
      </c>
      <c r="H20" s="24" t="e">
        <f>E20-#REF!</f>
        <v>#REF!</v>
      </c>
      <c r="I20" s="25"/>
      <c r="J20" s="23"/>
      <c r="K20" s="25"/>
    </row>
    <row r="21" spans="1:11" ht="15.75" x14ac:dyDescent="0.25">
      <c r="A21" s="2" t="s">
        <v>16</v>
      </c>
      <c r="B21" s="9">
        <v>10</v>
      </c>
      <c r="C21" s="10"/>
      <c r="D21" s="11">
        <v>124150</v>
      </c>
      <c r="E21" s="11">
        <v>124150</v>
      </c>
      <c r="F21" s="12"/>
      <c r="G21" s="13" t="e">
        <f>D21-#REF!</f>
        <v>#REF!</v>
      </c>
      <c r="H21" s="26" t="e">
        <f>E21-#REF!</f>
        <v>#REF!</v>
      </c>
      <c r="I21" s="27"/>
      <c r="J21" s="23"/>
      <c r="K21" s="27"/>
    </row>
    <row r="22" spans="1:11" ht="15.75" x14ac:dyDescent="0.25">
      <c r="A22" s="2" t="s">
        <v>17</v>
      </c>
      <c r="B22" s="9">
        <v>11</v>
      </c>
      <c r="C22" s="10"/>
      <c r="D22" s="28">
        <v>430673.03</v>
      </c>
      <c r="E22" s="28">
        <v>779625.45000000019</v>
      </c>
      <c r="F22" s="29"/>
      <c r="G22" s="13" t="e">
        <f>D22-#REF!</f>
        <v>#REF!</v>
      </c>
      <c r="H22" s="30" t="e">
        <f>E22-#REF!</f>
        <v>#REF!</v>
      </c>
      <c r="I22" s="31"/>
      <c r="J22" s="23"/>
      <c r="K22" s="31"/>
    </row>
    <row r="23" spans="1:11" ht="15.75" x14ac:dyDescent="0.25">
      <c r="A23" s="5" t="s">
        <v>18</v>
      </c>
      <c r="B23" s="18"/>
      <c r="C23" s="10"/>
      <c r="D23" s="19">
        <f>SUM(D20:D22)</f>
        <v>2455671453.5900002</v>
      </c>
      <c r="E23" s="19">
        <f>SUM(E20:E22)</f>
        <v>2233564888.1799994</v>
      </c>
      <c r="F23" s="20"/>
      <c r="G23" s="13" t="e">
        <f>D23-#REF!</f>
        <v>#REF!</v>
      </c>
      <c r="H23" s="32" t="e">
        <f>E23-#REF!</f>
        <v>#REF!</v>
      </c>
      <c r="I23" s="33"/>
      <c r="J23" s="23"/>
      <c r="K23" s="22"/>
    </row>
    <row r="24" spans="1:11" ht="16.5" thickBot="1" x14ac:dyDescent="0.3">
      <c r="A24" s="5" t="s">
        <v>19</v>
      </c>
      <c r="B24" s="18"/>
      <c r="C24" s="10"/>
      <c r="D24" s="34">
        <f>D23+D17</f>
        <v>4183070288.8999996</v>
      </c>
      <c r="E24" s="34">
        <f>E23+E17</f>
        <v>3769522746.809999</v>
      </c>
      <c r="F24" s="20"/>
      <c r="G24" s="13" t="e">
        <f>D24-#REF!</f>
        <v>#REF!</v>
      </c>
      <c r="H24" s="24" t="e">
        <f>E24-#REF!</f>
        <v>#REF!</v>
      </c>
      <c r="I24" s="35"/>
      <c r="J24" s="36"/>
      <c r="K24" s="22"/>
    </row>
    <row r="25" spans="1:11" ht="16.5" thickTop="1" x14ac:dyDescent="0.25">
      <c r="A25" s="2"/>
      <c r="B25" s="18"/>
      <c r="C25" s="10"/>
      <c r="D25" s="11"/>
      <c r="E25" s="11"/>
      <c r="F25" s="12"/>
      <c r="H25" s="37"/>
      <c r="I25" s="38"/>
      <c r="J25" s="27"/>
      <c r="K25" s="23"/>
    </row>
    <row r="26" spans="1:11" ht="15.75" x14ac:dyDescent="0.25">
      <c r="A26" s="39" t="s">
        <v>20</v>
      </c>
      <c r="B26" s="18"/>
      <c r="C26" s="10"/>
      <c r="D26" s="11"/>
      <c r="E26" s="11"/>
      <c r="F26" s="12"/>
      <c r="H26" s="30"/>
      <c r="I26" s="40"/>
      <c r="J26" s="41"/>
      <c r="K26" s="23"/>
    </row>
    <row r="27" spans="1:11" ht="15.75" x14ac:dyDescent="0.25">
      <c r="A27" s="7" t="s">
        <v>21</v>
      </c>
      <c r="B27" s="18"/>
      <c r="C27" s="10"/>
      <c r="D27" s="11"/>
      <c r="E27" s="11"/>
      <c r="F27" s="12"/>
      <c r="H27" s="42"/>
      <c r="I27" s="43"/>
      <c r="J27" s="44"/>
      <c r="K27" s="23"/>
    </row>
    <row r="28" spans="1:11" ht="15.75" x14ac:dyDescent="0.25">
      <c r="A28" s="2" t="s">
        <v>22</v>
      </c>
      <c r="B28" s="45">
        <v>12</v>
      </c>
      <c r="C28" s="46"/>
      <c r="D28" s="107">
        <f>127235905.41+749493.83</f>
        <v>127985399.23999999</v>
      </c>
      <c r="E28" s="107">
        <v>178950650.69</v>
      </c>
      <c r="F28" s="12"/>
      <c r="G28" s="13" t="e">
        <f>D28-#REF!</f>
        <v>#REF!</v>
      </c>
      <c r="H28" s="42" t="e">
        <f>E28-#REF!</f>
        <v>#REF!</v>
      </c>
      <c r="I28" s="44"/>
      <c r="J28" s="44"/>
      <c r="K28" s="23"/>
    </row>
    <row r="29" spans="1:11" ht="15.75" x14ac:dyDescent="0.25">
      <c r="A29" s="2" t="s">
        <v>23</v>
      </c>
      <c r="B29" s="45">
        <v>13</v>
      </c>
      <c r="C29" s="46"/>
      <c r="D29" s="11">
        <v>489755300.69</v>
      </c>
      <c r="E29" s="11">
        <v>168296019.98299992</v>
      </c>
      <c r="F29" s="12"/>
      <c r="G29" s="13" t="e">
        <f>D29-#REF!</f>
        <v>#REF!</v>
      </c>
      <c r="H29" s="13" t="e">
        <f>E29-#REF!</f>
        <v>#REF!</v>
      </c>
      <c r="I29" s="23"/>
      <c r="J29" s="23"/>
      <c r="K29" s="181"/>
    </row>
    <row r="30" spans="1:11" ht="15.75" x14ac:dyDescent="0.25">
      <c r="A30" s="2" t="s">
        <v>24</v>
      </c>
      <c r="B30" s="47">
        <v>14</v>
      </c>
      <c r="C30" s="46"/>
      <c r="D30" s="11">
        <v>80916348.519999996</v>
      </c>
      <c r="E30" s="11">
        <v>63163976.439999983</v>
      </c>
      <c r="F30" s="12"/>
      <c r="G30" s="13" t="e">
        <f>D30-#REF!</f>
        <v>#REF!</v>
      </c>
      <c r="H30" s="13" t="e">
        <f>E30-#REF!</f>
        <v>#REF!</v>
      </c>
      <c r="I30" s="23"/>
      <c r="J30" s="23"/>
      <c r="K30" s="23"/>
    </row>
    <row r="31" spans="1:11" ht="15.75" x14ac:dyDescent="0.25">
      <c r="A31" s="2" t="s">
        <v>25</v>
      </c>
      <c r="B31" s="47">
        <v>15</v>
      </c>
      <c r="C31" s="46"/>
      <c r="D31" s="11">
        <v>114204217.56</v>
      </c>
      <c r="E31" s="11">
        <v>104822222.27000001</v>
      </c>
      <c r="F31" s="12"/>
      <c r="G31" s="13" t="e">
        <f>D31-#REF!</f>
        <v>#REF!</v>
      </c>
      <c r="H31" s="13" t="e">
        <f>E31-#REF!</f>
        <v>#REF!</v>
      </c>
      <c r="I31" s="23"/>
      <c r="J31" s="23"/>
      <c r="K31" s="23"/>
    </row>
    <row r="32" spans="1:11" ht="15.75" x14ac:dyDescent="0.25">
      <c r="A32" s="2" t="s">
        <v>26</v>
      </c>
      <c r="B32" s="47">
        <v>16</v>
      </c>
      <c r="C32" s="46"/>
      <c r="D32" s="11">
        <v>528146.84</v>
      </c>
      <c r="E32" s="11">
        <v>528146.84</v>
      </c>
      <c r="F32" s="12"/>
      <c r="G32" s="13" t="e">
        <f>D32-#REF!</f>
        <v>#REF!</v>
      </c>
      <c r="H32" s="13" t="e">
        <f>E32-#REF!</f>
        <v>#REF!</v>
      </c>
      <c r="I32" s="23"/>
      <c r="J32" s="23"/>
      <c r="K32" s="23"/>
    </row>
    <row r="33" spans="1:11" ht="15.75" x14ac:dyDescent="0.25">
      <c r="A33" s="15" t="s">
        <v>27</v>
      </c>
      <c r="B33" s="47">
        <v>17</v>
      </c>
      <c r="C33" s="46"/>
      <c r="D33" s="29">
        <v>19610913.260000009</v>
      </c>
      <c r="E33" s="12">
        <v>29580038.749999981</v>
      </c>
      <c r="F33" s="12"/>
      <c r="G33" s="13" t="e">
        <f>D33-#REF!</f>
        <v>#REF!</v>
      </c>
      <c r="H33" s="13" t="e">
        <f>E33-#REF!</f>
        <v>#REF!</v>
      </c>
      <c r="I33" s="23"/>
      <c r="J33" s="23"/>
      <c r="K33" s="23"/>
    </row>
    <row r="34" spans="1:11" ht="15.75" x14ac:dyDescent="0.25">
      <c r="A34" s="15" t="s">
        <v>28</v>
      </c>
      <c r="B34" s="47">
        <v>18</v>
      </c>
      <c r="C34" s="46"/>
      <c r="D34" s="28">
        <v>73845618.879999995</v>
      </c>
      <c r="E34" s="17">
        <v>58866464.330000013</v>
      </c>
      <c r="F34" s="12"/>
      <c r="G34" s="13" t="e">
        <f>D34-#REF!</f>
        <v>#REF!</v>
      </c>
      <c r="H34" s="13" t="e">
        <f>E34-#REF!</f>
        <v>#REF!</v>
      </c>
      <c r="I34" s="23"/>
      <c r="J34" s="23"/>
      <c r="K34" s="23"/>
    </row>
    <row r="35" spans="1:11" ht="15.75" x14ac:dyDescent="0.25">
      <c r="A35" s="5" t="s">
        <v>29</v>
      </c>
      <c r="B35" s="48"/>
      <c r="C35" s="46"/>
      <c r="D35" s="191">
        <f>SUM(D28:D34)</f>
        <v>906845944.99000001</v>
      </c>
      <c r="E35" s="19">
        <f>SUM(E28:E34)</f>
        <v>604207519.30299985</v>
      </c>
      <c r="F35" s="20"/>
      <c r="G35" s="13" t="e">
        <f>D35-#REF!</f>
        <v>#REF!</v>
      </c>
      <c r="H35" s="21"/>
      <c r="I35" s="22"/>
      <c r="J35" s="23"/>
      <c r="K35" s="22"/>
    </row>
    <row r="36" spans="1:11" ht="15.75" x14ac:dyDescent="0.25">
      <c r="A36" s="2"/>
      <c r="B36" s="47"/>
      <c r="C36" s="46"/>
      <c r="D36" s="107"/>
      <c r="E36" s="11"/>
      <c r="F36" s="12"/>
      <c r="H36" s="21"/>
      <c r="I36" s="22"/>
      <c r="J36" s="23"/>
      <c r="K36" s="23"/>
    </row>
    <row r="37" spans="1:11" ht="15.75" x14ac:dyDescent="0.25">
      <c r="A37" s="7" t="s">
        <v>30</v>
      </c>
      <c r="B37" s="47"/>
      <c r="C37" s="46"/>
      <c r="D37" s="107"/>
      <c r="E37" s="11"/>
      <c r="F37" s="12"/>
      <c r="I37" s="23"/>
      <c r="J37" s="23"/>
      <c r="K37" s="23"/>
    </row>
    <row r="38" spans="1:11" ht="15.75" x14ac:dyDescent="0.25">
      <c r="A38" s="2" t="s">
        <v>22</v>
      </c>
      <c r="B38" s="47">
        <v>12</v>
      </c>
      <c r="C38" s="46"/>
      <c r="D38" s="107">
        <v>247594941.56</v>
      </c>
      <c r="E38" s="11">
        <v>214473126.95000002</v>
      </c>
      <c r="F38" s="12"/>
      <c r="G38" s="13" t="e">
        <f>D38-#REF!</f>
        <v>#REF!</v>
      </c>
      <c r="H38" s="13" t="e">
        <f>E38-#REF!</f>
        <v>#REF!</v>
      </c>
      <c r="I38" s="23"/>
      <c r="J38" s="182"/>
      <c r="K38" s="23"/>
    </row>
    <row r="39" spans="1:11" ht="15.75" x14ac:dyDescent="0.25">
      <c r="A39" s="15" t="s">
        <v>27</v>
      </c>
      <c r="B39" s="47">
        <v>17</v>
      </c>
      <c r="C39" s="46"/>
      <c r="D39" s="28">
        <v>1572985.96</v>
      </c>
      <c r="E39" s="17">
        <v>1209890.25</v>
      </c>
      <c r="F39" s="12"/>
      <c r="G39" s="13" t="e">
        <f>D39-#REF!</f>
        <v>#REF!</v>
      </c>
      <c r="H39" s="13" t="e">
        <f>E39-#REF!</f>
        <v>#REF!</v>
      </c>
      <c r="I39" s="23"/>
      <c r="J39" s="23"/>
      <c r="K39" s="23"/>
    </row>
    <row r="40" spans="1:11" ht="15.75" x14ac:dyDescent="0.25">
      <c r="A40" s="5" t="s">
        <v>31</v>
      </c>
      <c r="B40" s="47"/>
      <c r="C40" s="46"/>
      <c r="D40" s="19">
        <f>SUM(D38:D39)</f>
        <v>249167927.52000001</v>
      </c>
      <c r="E40" s="19">
        <f>SUM(E38:E39)</f>
        <v>215683017.20000002</v>
      </c>
      <c r="F40" s="20"/>
      <c r="G40" s="13" t="e">
        <f>D40-#REF!</f>
        <v>#REF!</v>
      </c>
      <c r="H40" s="21" t="e">
        <f>E40-#REF!</f>
        <v>#REF!</v>
      </c>
      <c r="I40" s="22"/>
      <c r="J40" s="182"/>
      <c r="K40" s="23"/>
    </row>
    <row r="41" spans="1:11" ht="15.75" x14ac:dyDescent="0.25">
      <c r="A41" s="5" t="s">
        <v>32</v>
      </c>
      <c r="B41" s="9"/>
      <c r="C41" s="10"/>
      <c r="D41" s="49">
        <f>D35+D40</f>
        <v>1156013872.51</v>
      </c>
      <c r="E41" s="49">
        <f>E35+E40</f>
        <v>819890536.5029999</v>
      </c>
      <c r="F41" s="20"/>
      <c r="G41" s="13" t="e">
        <f>D41-#REF!</f>
        <v>#REF!</v>
      </c>
      <c r="H41" s="21" t="e">
        <f>E41-#REF!</f>
        <v>#REF!</v>
      </c>
      <c r="I41" s="22"/>
      <c r="J41" s="22"/>
      <c r="K41" s="22"/>
    </row>
    <row r="42" spans="1:11" ht="15.75" x14ac:dyDescent="0.25">
      <c r="A42" s="5"/>
      <c r="B42" s="210"/>
      <c r="C42" s="10"/>
      <c r="D42" s="50"/>
      <c r="E42" s="50"/>
      <c r="F42" s="51"/>
      <c r="H42" s="21"/>
      <c r="I42" s="22"/>
      <c r="J42" s="23"/>
      <c r="K42" s="23"/>
    </row>
    <row r="43" spans="1:11" ht="15.75" x14ac:dyDescent="0.25">
      <c r="A43" s="5" t="s">
        <v>33</v>
      </c>
      <c r="B43" s="210"/>
      <c r="C43" s="10"/>
      <c r="D43" s="50"/>
      <c r="E43" s="50"/>
      <c r="F43" s="51"/>
      <c r="H43" s="21"/>
      <c r="I43" s="22"/>
      <c r="J43" s="23"/>
      <c r="K43" s="23"/>
    </row>
    <row r="44" spans="1:11" ht="15.75" x14ac:dyDescent="0.25">
      <c r="A44" s="2" t="s">
        <v>34</v>
      </c>
      <c r="B44" s="9">
        <v>32</v>
      </c>
      <c r="C44" s="10"/>
      <c r="D44" s="49">
        <f>SCNAE!D18</f>
        <v>3027056416.3899994</v>
      </c>
      <c r="E44" s="49">
        <f>SCNAE!E18</f>
        <v>2949632210.3099999</v>
      </c>
      <c r="F44" s="20"/>
      <c r="G44" s="13" t="e">
        <f>D44-#REF!</f>
        <v>#REF!</v>
      </c>
      <c r="H44" s="21" t="e">
        <f>E44-#REF!</f>
        <v>#REF!</v>
      </c>
      <c r="I44" s="22"/>
      <c r="J44" s="22"/>
      <c r="K44" s="23"/>
    </row>
    <row r="45" spans="1:11" ht="15.75" customHeight="1" thickBot="1" x14ac:dyDescent="0.3">
      <c r="A45" s="39" t="s">
        <v>35</v>
      </c>
      <c r="B45" s="52"/>
      <c r="C45" s="53"/>
      <c r="D45" s="54">
        <f>D44+D41</f>
        <v>4183070288.8999996</v>
      </c>
      <c r="E45" s="54">
        <f>E44+E41</f>
        <v>3769522746.8129997</v>
      </c>
      <c r="F45" s="20"/>
      <c r="G45" s="13" t="e">
        <f>D45-#REF!</f>
        <v>#REF!</v>
      </c>
      <c r="H45" s="21" t="e">
        <f>E45-#REF!</f>
        <v>#REF!</v>
      </c>
      <c r="I45" s="22"/>
      <c r="J45" s="22"/>
      <c r="K45" s="22"/>
    </row>
    <row r="46" spans="1:11" ht="16.5" thickTop="1" x14ac:dyDescent="0.25">
      <c r="A46" s="55"/>
      <c r="B46" s="55"/>
      <c r="C46" s="56"/>
      <c r="D46" s="55"/>
      <c r="E46" s="55"/>
      <c r="F46" s="56"/>
      <c r="I46" s="23"/>
      <c r="J46" s="23"/>
      <c r="K46" s="23"/>
    </row>
    <row r="47" spans="1:11" ht="15.75" x14ac:dyDescent="0.25">
      <c r="A47" s="211" t="s">
        <v>36</v>
      </c>
      <c r="B47" s="211"/>
      <c r="C47" s="211"/>
      <c r="D47" s="211"/>
      <c r="E47" s="211"/>
      <c r="F47" s="211"/>
      <c r="I47" s="23"/>
      <c r="J47" s="23"/>
      <c r="K47" s="23"/>
    </row>
    <row r="48" spans="1:11" x14ac:dyDescent="0.25">
      <c r="I48" s="23"/>
      <c r="J48" s="23"/>
      <c r="K48" s="23"/>
    </row>
    <row r="49" spans="4:11" x14ac:dyDescent="0.25">
      <c r="D49" s="192">
        <f>D24-D45</f>
        <v>0</v>
      </c>
      <c r="E49" s="180">
        <f>E24-E45</f>
        <v>-3.0007362365722656E-3</v>
      </c>
      <c r="F49" s="59"/>
      <c r="G49" s="58"/>
      <c r="H49" s="58"/>
      <c r="I49" s="23"/>
      <c r="J49" s="23"/>
      <c r="K49" s="23"/>
    </row>
    <row r="50" spans="4:11" x14ac:dyDescent="0.25">
      <c r="D50" s="21"/>
      <c r="E50" s="21"/>
      <c r="F50" s="60"/>
      <c r="I50" s="23"/>
      <c r="J50" s="23"/>
      <c r="K50" s="23"/>
    </row>
    <row r="51" spans="4:11" x14ac:dyDescent="0.25">
      <c r="D51" s="21"/>
      <c r="E51" s="21"/>
      <c r="F51" s="60"/>
      <c r="I51" s="23"/>
      <c r="J51" s="23"/>
      <c r="K51" s="23"/>
    </row>
    <row r="52" spans="4:11" x14ac:dyDescent="0.25">
      <c r="D52" s="21"/>
      <c r="E52" s="21"/>
      <c r="F52" s="60"/>
      <c r="I52" s="23"/>
      <c r="J52" s="23"/>
      <c r="K52" s="23"/>
    </row>
    <row r="53" spans="4:11" x14ac:dyDescent="0.25">
      <c r="D53" s="21"/>
      <c r="E53" s="21"/>
      <c r="F53" s="60"/>
      <c r="I53" s="23"/>
      <c r="J53" s="23"/>
      <c r="K53" s="23"/>
    </row>
    <row r="54" spans="4:11" x14ac:dyDescent="0.25">
      <c r="D54" s="21"/>
      <c r="E54" s="21"/>
      <c r="F54" s="60"/>
    </row>
    <row r="55" spans="4:11" x14ac:dyDescent="0.25">
      <c r="D55" s="21"/>
      <c r="E55" s="21"/>
      <c r="F55" s="60"/>
    </row>
    <row r="56" spans="4:11" x14ac:dyDescent="0.25">
      <c r="D56" s="21"/>
      <c r="E56" s="21"/>
      <c r="F56" s="60"/>
    </row>
    <row r="57" spans="4:11" x14ac:dyDescent="0.25">
      <c r="D57" s="21"/>
      <c r="E57" s="21"/>
      <c r="F57" s="60"/>
    </row>
  </sheetData>
  <sheetProtection algorithmName="SHA-512" hashValue="U5kgK7NSR0Buv9xTMCn57BqNa8UGW4yCpzIiKOTxJHGuHAd7Iu365rAW4SE1CmGdVMYc6Fho5qA1ys6rwKNTmQ==" saltValue="H7Swby4btt7zB5n2U8J+LA==" spinCount="100000" sheet="1" objects="1" scenarios="1" selectLockedCells="1" selectUnlockedCells="1"/>
  <mergeCells count="9">
    <mergeCell ref="A7:F7"/>
    <mergeCell ref="B42:B43"/>
    <mergeCell ref="A47:F47"/>
    <mergeCell ref="A1:F1"/>
    <mergeCell ref="A2:F2"/>
    <mergeCell ref="A3:F3"/>
    <mergeCell ref="A4:F4"/>
    <mergeCell ref="A5:F5"/>
    <mergeCell ref="A6:F6"/>
  </mergeCells>
  <pageMargins left="1.29" right="1" top="1" bottom="0.65" header="0.511811023622047" footer="1.31"/>
  <pageSetup scale="89" orientation="portrait" horizontalDpi="360" verticalDpi="360" r:id="rId1"/>
  <headerFooter>
    <oddFooter>&amp;C&amp;"Times New Roman,Regular"&amp;12 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0"/>
  <sheetViews>
    <sheetView showGridLines="0" zoomScaleNormal="100" zoomScaleSheetLayoutView="100" workbookViewId="0">
      <selection sqref="A1:E1"/>
    </sheetView>
  </sheetViews>
  <sheetFormatPr defaultRowHeight="15" x14ac:dyDescent="0.25"/>
  <cols>
    <col min="1" max="1" width="38.140625" customWidth="1"/>
    <col min="2" max="2" width="7.42578125" customWidth="1"/>
    <col min="3" max="3" width="0.7109375" customWidth="1"/>
    <col min="4" max="5" width="21.28515625" style="90" customWidth="1"/>
    <col min="6" max="6" width="14.28515625" hidden="1" customWidth="1"/>
    <col min="7" max="7" width="16.85546875" hidden="1" customWidth="1"/>
    <col min="8" max="8" width="19.140625" hidden="1" customWidth="1"/>
    <col min="9" max="9" width="17" bestFit="1" customWidth="1"/>
    <col min="10" max="10" width="16.85546875" bestFit="1" customWidth="1"/>
    <col min="11" max="11" width="16.28515625" bestFit="1" customWidth="1"/>
  </cols>
  <sheetData>
    <row r="1" spans="1:11" ht="18.75" x14ac:dyDescent="0.3">
      <c r="A1" s="212" t="s">
        <v>0</v>
      </c>
      <c r="B1" s="212"/>
      <c r="C1" s="212"/>
      <c r="D1" s="212"/>
      <c r="E1" s="212"/>
    </row>
    <row r="2" spans="1:11" ht="18.75" x14ac:dyDescent="0.25">
      <c r="A2" s="213" t="s">
        <v>1</v>
      </c>
      <c r="B2" s="213"/>
      <c r="C2" s="213"/>
      <c r="D2" s="213"/>
      <c r="E2" s="213"/>
    </row>
    <row r="3" spans="1:11" ht="18.75" x14ac:dyDescent="0.25">
      <c r="A3" s="213" t="s">
        <v>37</v>
      </c>
      <c r="B3" s="213"/>
      <c r="C3" s="213"/>
      <c r="D3" s="213"/>
      <c r="E3" s="213"/>
    </row>
    <row r="4" spans="1:11" ht="18.75" x14ac:dyDescent="0.25">
      <c r="A4" s="213" t="s">
        <v>3</v>
      </c>
      <c r="B4" s="213"/>
      <c r="C4" s="213"/>
      <c r="D4" s="213"/>
      <c r="E4" s="213"/>
    </row>
    <row r="5" spans="1:11" ht="18.75" x14ac:dyDescent="0.25">
      <c r="A5" s="214" t="s">
        <v>181</v>
      </c>
      <c r="B5" s="214"/>
      <c r="C5" s="214"/>
      <c r="D5" s="214"/>
      <c r="E5" s="214"/>
    </row>
    <row r="6" spans="1:11" ht="18.75" x14ac:dyDescent="0.25">
      <c r="A6" s="214" t="s">
        <v>180</v>
      </c>
      <c r="B6" s="214"/>
      <c r="C6" s="214"/>
      <c r="D6" s="214"/>
      <c r="E6" s="214"/>
    </row>
    <row r="7" spans="1:11" ht="18.75" x14ac:dyDescent="0.25">
      <c r="A7" s="209" t="s">
        <v>4</v>
      </c>
      <c r="B7" s="209"/>
      <c r="C7" s="209"/>
      <c r="D7" s="209"/>
      <c r="E7" s="209"/>
    </row>
    <row r="9" spans="1:11" ht="15.75" x14ac:dyDescent="0.25">
      <c r="A9" s="2"/>
      <c r="B9" s="61" t="s">
        <v>38</v>
      </c>
      <c r="C9" s="62"/>
      <c r="D9" s="3">
        <v>2021</v>
      </c>
      <c r="E9" s="3">
        <v>2020</v>
      </c>
    </row>
    <row r="10" spans="1:11" ht="15.75" x14ac:dyDescent="0.25">
      <c r="A10" s="5" t="s">
        <v>39</v>
      </c>
      <c r="B10" s="63"/>
      <c r="C10" s="2"/>
      <c r="D10" s="11"/>
      <c r="E10" s="11"/>
    </row>
    <row r="11" spans="1:11" ht="15.75" x14ac:dyDescent="0.25">
      <c r="A11" s="2" t="s">
        <v>40</v>
      </c>
      <c r="B11" s="45">
        <v>19</v>
      </c>
      <c r="C11" s="9"/>
      <c r="D11" s="193">
        <v>294710675.38</v>
      </c>
      <c r="E11" s="107">
        <v>285856490.47999996</v>
      </c>
      <c r="F11" s="13" t="e">
        <f>D11-#REF!</f>
        <v>#REF!</v>
      </c>
      <c r="H11" s="13" t="e">
        <f>E11-#REF!</f>
        <v>#REF!</v>
      </c>
    </row>
    <row r="12" spans="1:11" ht="27.6" customHeight="1" x14ac:dyDescent="0.25">
      <c r="A12" s="64" t="s">
        <v>41</v>
      </c>
      <c r="B12" s="45">
        <v>20</v>
      </c>
      <c r="C12" s="9"/>
      <c r="D12" s="193">
        <v>889216030</v>
      </c>
      <c r="E12" s="107">
        <v>829672451</v>
      </c>
      <c r="F12" s="13" t="e">
        <f>D12-#REF!</f>
        <v>#REF!</v>
      </c>
      <c r="H12" s="13" t="e">
        <f>E12-#REF!</f>
        <v>#REF!</v>
      </c>
    </row>
    <row r="13" spans="1:11" ht="15.75" x14ac:dyDescent="0.25">
      <c r="A13" s="15" t="s">
        <v>42</v>
      </c>
      <c r="B13" s="45">
        <v>20</v>
      </c>
      <c r="C13" s="9"/>
      <c r="D13" s="193">
        <v>72609</v>
      </c>
      <c r="E13" s="107">
        <v>719689.03</v>
      </c>
      <c r="F13" s="13" t="e">
        <f>D13-#REF!</f>
        <v>#REF!</v>
      </c>
      <c r="H13" s="65" t="e">
        <f>E13-#REF!</f>
        <v>#REF!</v>
      </c>
      <c r="I13" s="57"/>
      <c r="J13" s="184"/>
    </row>
    <row r="14" spans="1:11" ht="15.75" x14ac:dyDescent="0.25">
      <c r="A14" s="2" t="s">
        <v>43</v>
      </c>
      <c r="B14" s="45" t="s">
        <v>44</v>
      </c>
      <c r="C14" s="9"/>
      <c r="D14" s="194">
        <f>145627048.48-2157631.59</f>
        <v>143469416.88999999</v>
      </c>
      <c r="E14" s="29">
        <v>118252477.56</v>
      </c>
      <c r="F14" s="13" t="e">
        <f>D14-#REF!</f>
        <v>#REF!</v>
      </c>
      <c r="H14" s="42" t="e">
        <f>E14-#REF!</f>
        <v>#REF!</v>
      </c>
      <c r="I14" s="67"/>
      <c r="J14" s="183"/>
    </row>
    <row r="15" spans="1:11" ht="15.75" x14ac:dyDescent="0.25">
      <c r="A15" s="2" t="s">
        <v>45</v>
      </c>
      <c r="B15" s="45">
        <v>23</v>
      </c>
      <c r="C15" s="16"/>
      <c r="D15" s="195">
        <v>4548753.62</v>
      </c>
      <c r="E15" s="29">
        <v>72801490.959999993</v>
      </c>
      <c r="F15" s="13" t="e">
        <f>D15-#REF!</f>
        <v>#REF!</v>
      </c>
      <c r="G15" s="21"/>
      <c r="H15" s="68" t="e">
        <f>E15-#REF!</f>
        <v>#REF!</v>
      </c>
      <c r="I15" s="69"/>
      <c r="J15" s="70"/>
    </row>
    <row r="16" spans="1:11" ht="15.75" x14ac:dyDescent="0.25">
      <c r="A16" s="5" t="s">
        <v>46</v>
      </c>
      <c r="B16" s="71"/>
      <c r="C16" s="9"/>
      <c r="D16" s="196">
        <f>SUM(D11:D15)</f>
        <v>1332017484.8899999</v>
      </c>
      <c r="E16" s="191">
        <f>SUM(E11:E15)</f>
        <v>1307302599.03</v>
      </c>
      <c r="G16" s="21"/>
      <c r="H16" s="73"/>
      <c r="I16" s="69"/>
      <c r="J16" s="70"/>
      <c r="K16" s="70"/>
    </row>
    <row r="17" spans="1:11" ht="15.75" x14ac:dyDescent="0.25">
      <c r="A17" s="5"/>
      <c r="B17" s="71"/>
      <c r="C17" s="9"/>
      <c r="D17" s="193"/>
      <c r="E17" s="107"/>
      <c r="H17" s="74"/>
      <c r="I17" s="75"/>
      <c r="J17" s="13"/>
      <c r="K17" s="13"/>
    </row>
    <row r="18" spans="1:11" ht="15.75" x14ac:dyDescent="0.25">
      <c r="A18" s="5" t="s">
        <v>47</v>
      </c>
      <c r="B18" s="71"/>
      <c r="C18" s="9"/>
      <c r="D18" s="193"/>
      <c r="E18" s="107"/>
      <c r="H18" s="76"/>
      <c r="I18" s="69"/>
      <c r="J18" s="70"/>
    </row>
    <row r="19" spans="1:11" ht="15.75" x14ac:dyDescent="0.25">
      <c r="A19" s="2" t="s">
        <v>48</v>
      </c>
      <c r="B19" s="45">
        <v>25</v>
      </c>
      <c r="C19" s="9"/>
      <c r="D19" s="193">
        <v>384095632.81999999</v>
      </c>
      <c r="E19" s="107">
        <v>364259254.19000006</v>
      </c>
      <c r="F19" s="13" t="e">
        <f>D19-#REF!</f>
        <v>#REF!</v>
      </c>
      <c r="H19" s="77" t="e">
        <f>E19-#REF!</f>
        <v>#REF!</v>
      </c>
      <c r="I19" s="69"/>
      <c r="J19" s="185"/>
    </row>
    <row r="20" spans="1:11" ht="31.5" customHeight="1" x14ac:dyDescent="0.25">
      <c r="A20" s="78" t="s">
        <v>49</v>
      </c>
      <c r="B20" s="45">
        <v>26</v>
      </c>
      <c r="C20" s="9"/>
      <c r="D20" s="193">
        <v>492373303.15999997</v>
      </c>
      <c r="E20" s="107">
        <v>610350464.7299999</v>
      </c>
      <c r="F20" s="13" t="e">
        <f>D20-#REF!</f>
        <v>#REF!</v>
      </c>
      <c r="H20" s="79" t="e">
        <f>E20-#REF!</f>
        <v>#REF!</v>
      </c>
      <c r="I20" s="70"/>
      <c r="J20" s="70"/>
    </row>
    <row r="21" spans="1:11" ht="15.75" x14ac:dyDescent="0.25">
      <c r="A21" s="2" t="s">
        <v>50</v>
      </c>
      <c r="B21" s="45">
        <v>27</v>
      </c>
      <c r="C21" s="9"/>
      <c r="D21" s="193">
        <v>120777478.39</v>
      </c>
      <c r="E21" s="107">
        <v>106389181.03</v>
      </c>
      <c r="F21" s="13" t="e">
        <f>D21-#REF!</f>
        <v>#REF!</v>
      </c>
      <c r="H21" s="68" t="e">
        <f>E21-#REF!</f>
        <v>#REF!</v>
      </c>
      <c r="I21" s="67"/>
      <c r="J21" s="80"/>
    </row>
    <row r="22" spans="1:11" ht="15.75" x14ac:dyDescent="0.25">
      <c r="A22" s="2" t="s">
        <v>51</v>
      </c>
      <c r="B22" s="45">
        <v>28</v>
      </c>
      <c r="C22" s="9"/>
      <c r="D22" s="111">
        <v>10687840.5</v>
      </c>
      <c r="E22" s="28">
        <v>11836409.239999998</v>
      </c>
      <c r="F22" s="13" t="e">
        <f>D22-#REF!</f>
        <v>#REF!</v>
      </c>
      <c r="H22" s="74" t="e">
        <f>E22-#REF!</f>
        <v>#REF!</v>
      </c>
      <c r="I22" s="82"/>
      <c r="J22" s="57"/>
    </row>
    <row r="23" spans="1:11" ht="15.75" x14ac:dyDescent="0.25">
      <c r="A23" s="5" t="s">
        <v>52</v>
      </c>
      <c r="B23" s="71"/>
      <c r="C23" s="9"/>
      <c r="D23" s="196">
        <f>SUM(D19:D22)</f>
        <v>1007934254.87</v>
      </c>
      <c r="E23" s="191">
        <f>SUM(E19:E22)</f>
        <v>1092835309.1900001</v>
      </c>
      <c r="F23" s="13" t="e">
        <f>D23-#REF!</f>
        <v>#REF!</v>
      </c>
      <c r="G23" s="21"/>
      <c r="H23" s="74" t="e">
        <f>E23-#REF!</f>
        <v>#REF!</v>
      </c>
      <c r="I23" s="82"/>
      <c r="J23" s="57"/>
    </row>
    <row r="24" spans="1:11" ht="15.75" x14ac:dyDescent="0.25">
      <c r="A24" s="2"/>
      <c r="B24" s="71"/>
      <c r="C24" s="9"/>
      <c r="D24" s="193"/>
      <c r="E24" s="107"/>
      <c r="H24" s="60"/>
      <c r="I24" s="60"/>
      <c r="J24" s="57"/>
    </row>
    <row r="25" spans="1:11" ht="31.5" x14ac:dyDescent="0.25">
      <c r="A25" s="5" t="s">
        <v>53</v>
      </c>
      <c r="B25" s="71"/>
      <c r="C25" s="9"/>
      <c r="D25" s="197">
        <f>D16-D23</f>
        <v>324083230.01999986</v>
      </c>
      <c r="E25" s="198">
        <f>E16-E23</f>
        <v>214467289.83999991</v>
      </c>
      <c r="F25" s="13" t="e">
        <f>D25-#REF!</f>
        <v>#REF!</v>
      </c>
      <c r="G25" s="21"/>
      <c r="H25" s="13" t="e">
        <f>E25-#REF!</f>
        <v>#REF!</v>
      </c>
      <c r="J25" s="57"/>
    </row>
    <row r="26" spans="1:11" ht="15.75" x14ac:dyDescent="0.25">
      <c r="A26" s="2" t="s">
        <v>54</v>
      </c>
      <c r="B26" s="71"/>
      <c r="C26" s="9"/>
      <c r="D26" s="193"/>
      <c r="E26" s="107"/>
      <c r="J26" s="57"/>
    </row>
    <row r="27" spans="1:11" ht="31.5" x14ac:dyDescent="0.25">
      <c r="A27" s="78" t="s">
        <v>55</v>
      </c>
      <c r="B27" s="45">
        <v>22</v>
      </c>
      <c r="C27" s="9"/>
      <c r="D27" s="200">
        <v>153047594.00999999</v>
      </c>
      <c r="E27" s="201">
        <v>190775422.66</v>
      </c>
      <c r="F27" s="202" t="e">
        <f>D27-#REF!</f>
        <v>#REF!</v>
      </c>
      <c r="G27" s="203"/>
      <c r="H27" s="202" t="e">
        <f>E27-#REF!</f>
        <v>#REF!</v>
      </c>
      <c r="I27" s="203"/>
      <c r="J27" s="57"/>
    </row>
    <row r="28" spans="1:11" ht="15.75" x14ac:dyDescent="0.25">
      <c r="A28" s="2" t="s">
        <v>56</v>
      </c>
      <c r="B28" s="45" t="s">
        <v>57</v>
      </c>
      <c r="C28" s="9"/>
      <c r="D28" s="199">
        <v>-55694875.469999999</v>
      </c>
      <c r="E28" s="29">
        <v>-39429975.18</v>
      </c>
      <c r="F28" s="13" t="e">
        <f>D28-#REF!</f>
        <v>#REF!</v>
      </c>
      <c r="H28" s="12" t="e">
        <f>E28+#REF!</f>
        <v>#REF!</v>
      </c>
      <c r="I28" s="12"/>
      <c r="J28" s="184"/>
    </row>
    <row r="29" spans="1:11" ht="15.75" x14ac:dyDescent="0.25">
      <c r="A29" s="2" t="s">
        <v>58</v>
      </c>
      <c r="B29" s="45">
        <v>24</v>
      </c>
      <c r="C29" s="9"/>
      <c r="D29" s="111">
        <v>1643931.51</v>
      </c>
      <c r="E29" s="28">
        <v>642196.59000000008</v>
      </c>
      <c r="F29" s="13" t="e">
        <f>D29-#REF!</f>
        <v>#REF!</v>
      </c>
      <c r="H29" s="12" t="e">
        <f>E29-#REF!</f>
        <v>#REF!</v>
      </c>
      <c r="I29" s="12"/>
      <c r="J29" s="57"/>
    </row>
    <row r="30" spans="1:11" ht="16.5" thickBot="1" x14ac:dyDescent="0.3">
      <c r="A30" s="5" t="s">
        <v>59</v>
      </c>
      <c r="B30" s="83"/>
      <c r="C30" s="83"/>
      <c r="D30" s="84">
        <f>SUM(D25:D29)</f>
        <v>423079880.06999981</v>
      </c>
      <c r="E30" s="85">
        <f>SUM(E25:E29)</f>
        <v>366454933.90999985</v>
      </c>
      <c r="F30" s="13" t="e">
        <f>D30-#REF!</f>
        <v>#REF!</v>
      </c>
      <c r="G30" s="21"/>
      <c r="H30" s="86" t="e">
        <f>E30-#REF!</f>
        <v>#REF!</v>
      </c>
      <c r="I30" s="86"/>
      <c r="J30" s="57"/>
    </row>
    <row r="31" spans="1:11" ht="16.5" thickTop="1" x14ac:dyDescent="0.25">
      <c r="A31" s="55"/>
      <c r="B31" s="55"/>
      <c r="C31" s="55"/>
      <c r="D31" s="87"/>
      <c r="E31" s="87"/>
      <c r="G31" s="21"/>
      <c r="H31" s="86"/>
      <c r="I31" s="86"/>
      <c r="J31" s="57"/>
    </row>
    <row r="32" spans="1:11" ht="15.75" x14ac:dyDescent="0.25">
      <c r="A32" s="211" t="s">
        <v>36</v>
      </c>
      <c r="B32" s="211"/>
      <c r="C32" s="211"/>
      <c r="D32" s="211"/>
      <c r="E32" s="211"/>
      <c r="H32" s="88"/>
      <c r="I32" s="89"/>
      <c r="J32" s="57"/>
    </row>
    <row r="33" spans="4:10" x14ac:dyDescent="0.25">
      <c r="H33" s="57"/>
      <c r="I33" s="57"/>
      <c r="J33" s="57"/>
    </row>
    <row r="35" spans="4:10" x14ac:dyDescent="0.25">
      <c r="D35" s="91"/>
      <c r="E35" s="92"/>
      <c r="F35" s="58"/>
      <c r="G35" s="58"/>
      <c r="H35" s="58"/>
      <c r="I35" s="58"/>
    </row>
    <row r="36" spans="4:10" x14ac:dyDescent="0.25">
      <c r="D36" s="91"/>
      <c r="E36" s="92"/>
      <c r="F36" s="58"/>
      <c r="G36" s="58"/>
      <c r="H36" s="58"/>
      <c r="I36" s="58"/>
    </row>
    <row r="37" spans="4:10" x14ac:dyDescent="0.25">
      <c r="D37" s="91"/>
      <c r="E37" s="92"/>
      <c r="F37" s="58"/>
      <c r="G37" s="58"/>
      <c r="H37" s="58"/>
      <c r="I37" s="58"/>
    </row>
    <row r="38" spans="4:10" x14ac:dyDescent="0.25">
      <c r="D38" s="91"/>
      <c r="E38" s="92"/>
      <c r="F38" s="58"/>
      <c r="G38" s="58"/>
      <c r="H38" s="58"/>
      <c r="I38" s="58"/>
    </row>
    <row r="39" spans="4:10" x14ac:dyDescent="0.25">
      <c r="D39" s="92"/>
      <c r="E39" s="92"/>
      <c r="F39" s="58"/>
      <c r="G39" s="58"/>
      <c r="H39" s="58"/>
      <c r="I39" s="58"/>
    </row>
    <row r="40" spans="4:10" x14ac:dyDescent="0.25">
      <c r="D40" s="92"/>
      <c r="E40" s="92"/>
      <c r="F40" s="58"/>
      <c r="G40" s="58"/>
      <c r="H40" s="58"/>
      <c r="I40" s="58"/>
    </row>
  </sheetData>
  <sheetProtection algorithmName="SHA-512" hashValue="s08J5jyggjPGw1d3aKxzewFEPORcQKK3g0x4LKOEHGr4LpyTujSXQKy0cSk2W1Sr+TluOHlUuNsye0FNaXcFHQ==" saltValue="V7yK3hFnQbdUxm88F0EOQw==" spinCount="100000" sheet="1" objects="1" scenarios="1" selectLockedCells="1" selectUnlockedCells="1"/>
  <mergeCells count="8">
    <mergeCell ref="A7:E7"/>
    <mergeCell ref="A32:E32"/>
    <mergeCell ref="A1:E1"/>
    <mergeCell ref="A2:E2"/>
    <mergeCell ref="A3:E3"/>
    <mergeCell ref="A4:E4"/>
    <mergeCell ref="A5:E5"/>
    <mergeCell ref="A6:E6"/>
  </mergeCells>
  <pageMargins left="1.08" right="0.90551181102362199" top="0.98425196850393704" bottom="0.98" header="0.511811023622047" footer="1.1599999999999999"/>
  <pageSetup scale="93" orientation="portrait" horizontalDpi="360" verticalDpi="360" r:id="rId1"/>
  <headerFooter>
    <oddFooter xml:space="preserve">&amp;C&amp;"Times New Roman,Regular"&amp;12 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8"/>
  <sheetViews>
    <sheetView showGridLines="0" zoomScaleNormal="100" zoomScaleSheetLayoutView="100" workbookViewId="0">
      <selection sqref="A1:E1"/>
    </sheetView>
  </sheetViews>
  <sheetFormatPr defaultRowHeight="15" x14ac:dyDescent="0.25"/>
  <cols>
    <col min="1" max="1" width="41.42578125" customWidth="1"/>
    <col min="2" max="2" width="5.7109375" bestFit="1" customWidth="1"/>
    <col min="3" max="3" width="0.85546875" style="57" customWidth="1"/>
    <col min="4" max="5" width="21.28515625" style="90" customWidth="1"/>
    <col min="6" max="6" width="15.28515625" bestFit="1" customWidth="1"/>
    <col min="7" max="8" width="16.85546875" hidden="1" customWidth="1"/>
  </cols>
  <sheetData>
    <row r="1" spans="1:8" ht="18.75" x14ac:dyDescent="0.3">
      <c r="A1" s="212" t="s">
        <v>0</v>
      </c>
      <c r="B1" s="212"/>
      <c r="C1" s="212"/>
      <c r="D1" s="212"/>
      <c r="E1" s="212"/>
    </row>
    <row r="2" spans="1:8" ht="18.75" x14ac:dyDescent="0.25">
      <c r="A2" s="213" t="s">
        <v>1</v>
      </c>
      <c r="B2" s="213"/>
      <c r="C2" s="213"/>
      <c r="D2" s="213"/>
      <c r="E2" s="213"/>
    </row>
    <row r="3" spans="1:8" ht="18.75" x14ac:dyDescent="0.25">
      <c r="A3" s="213" t="s">
        <v>60</v>
      </c>
      <c r="B3" s="213"/>
      <c r="C3" s="213"/>
      <c r="D3" s="213"/>
      <c r="E3" s="213"/>
    </row>
    <row r="4" spans="1:8" ht="18.75" x14ac:dyDescent="0.25">
      <c r="A4" s="213" t="s">
        <v>3</v>
      </c>
      <c r="B4" s="213"/>
      <c r="C4" s="213"/>
      <c r="D4" s="213"/>
      <c r="E4" s="213"/>
    </row>
    <row r="5" spans="1:8" ht="18.75" x14ac:dyDescent="0.25">
      <c r="A5" s="214" t="s">
        <v>181</v>
      </c>
      <c r="B5" s="214"/>
      <c r="C5" s="214"/>
      <c r="D5" s="214"/>
      <c r="E5" s="214"/>
    </row>
    <row r="6" spans="1:8" ht="15.75" customHeight="1" x14ac:dyDescent="0.25">
      <c r="A6" s="214" t="s">
        <v>180</v>
      </c>
      <c r="B6" s="214"/>
      <c r="C6" s="214"/>
      <c r="D6" s="214"/>
      <c r="E6" s="214"/>
    </row>
    <row r="7" spans="1:8" ht="18.75" x14ac:dyDescent="0.25">
      <c r="A7" s="209" t="s">
        <v>4</v>
      </c>
      <c r="B7" s="209"/>
      <c r="C7" s="209"/>
      <c r="D7" s="209"/>
      <c r="E7" s="209"/>
    </row>
    <row r="8" spans="1:8" x14ac:dyDescent="0.25">
      <c r="D8" s="70"/>
      <c r="E8" s="70"/>
    </row>
    <row r="9" spans="1:8" ht="15.75" x14ac:dyDescent="0.25">
      <c r="A9" s="62"/>
      <c r="B9" s="3" t="s">
        <v>5</v>
      </c>
      <c r="C9" s="10"/>
      <c r="D9" s="3">
        <v>2021</v>
      </c>
      <c r="E9" s="3">
        <v>2020</v>
      </c>
    </row>
    <row r="10" spans="1:8" ht="15.75" x14ac:dyDescent="0.25">
      <c r="A10" s="39" t="s">
        <v>61</v>
      </c>
      <c r="B10" s="9"/>
      <c r="C10" s="10"/>
      <c r="D10" s="11">
        <f>+E18</f>
        <v>2949632210.3099999</v>
      </c>
      <c r="E10" s="11">
        <v>2774400831.04</v>
      </c>
      <c r="G10" s="13" t="e">
        <f>D10-#REF!</f>
        <v>#REF!</v>
      </c>
      <c r="H10" s="13" t="e">
        <f>E10-#REF!</f>
        <v>#REF!</v>
      </c>
    </row>
    <row r="11" spans="1:8" ht="15.75" x14ac:dyDescent="0.25">
      <c r="A11" s="15" t="s">
        <v>62</v>
      </c>
      <c r="B11" s="9"/>
      <c r="C11" s="10"/>
      <c r="D11" s="11"/>
      <c r="E11" s="11"/>
    </row>
    <row r="12" spans="1:8" ht="15.75" x14ac:dyDescent="0.25">
      <c r="A12" s="15" t="s">
        <v>63</v>
      </c>
      <c r="B12" s="9"/>
      <c r="C12" s="10"/>
      <c r="D12" s="93"/>
      <c r="E12" s="93"/>
      <c r="H12" s="94" t="e">
        <f>E12-#REF!</f>
        <v>#REF!</v>
      </c>
    </row>
    <row r="13" spans="1:8" ht="15.75" x14ac:dyDescent="0.25">
      <c r="A13" s="15" t="s">
        <v>64</v>
      </c>
      <c r="B13" s="9">
        <v>33</v>
      </c>
      <c r="C13" s="10"/>
      <c r="D13" s="17">
        <v>-345655673.99000001</v>
      </c>
      <c r="E13" s="17">
        <v>-191223554.64000002</v>
      </c>
      <c r="F13" s="13"/>
      <c r="G13" s="21" t="e">
        <f>D13-#REF!</f>
        <v>#REF!</v>
      </c>
      <c r="H13" s="21" t="e">
        <f>E13-#REF!</f>
        <v>#REF!</v>
      </c>
    </row>
    <row r="14" spans="1:8" ht="15.75" x14ac:dyDescent="0.25">
      <c r="A14" s="39" t="s">
        <v>65</v>
      </c>
      <c r="B14" s="62"/>
      <c r="C14" s="4"/>
      <c r="D14" s="20">
        <f>SUM(D10:D13)</f>
        <v>2603976536.3199997</v>
      </c>
      <c r="E14" s="95">
        <f>E10+E12+E13</f>
        <v>2583177276.4000001</v>
      </c>
      <c r="G14" s="21" t="e">
        <f>D14-#REF!</f>
        <v>#REF!</v>
      </c>
      <c r="H14" s="21" t="e">
        <f>E14-#REF!</f>
        <v>#REF!</v>
      </c>
    </row>
    <row r="15" spans="1:8" ht="31.5" x14ac:dyDescent="0.25">
      <c r="A15" s="96" t="s">
        <v>66</v>
      </c>
      <c r="B15" s="96"/>
      <c r="C15" s="97"/>
      <c r="D15" s="96"/>
      <c r="E15" s="83"/>
    </row>
    <row r="16" spans="1:8" ht="15.75" x14ac:dyDescent="0.25">
      <c r="A16" s="15" t="s">
        <v>67</v>
      </c>
      <c r="B16" s="9"/>
      <c r="C16" s="10"/>
      <c r="D16" s="17">
        <f>SFPER!D30</f>
        <v>423079880.06999981</v>
      </c>
      <c r="E16" s="17">
        <f>SFPER!E30</f>
        <v>366454933.90999985</v>
      </c>
      <c r="G16" s="13" t="e">
        <f>D16-#REF!</f>
        <v>#REF!</v>
      </c>
      <c r="H16" s="13" t="e">
        <f>E16-#REF!</f>
        <v>#REF!</v>
      </c>
    </row>
    <row r="17" spans="1:9" ht="15.75" x14ac:dyDescent="0.25">
      <c r="A17" s="98" t="s">
        <v>68</v>
      </c>
      <c r="B17" s="9"/>
      <c r="C17" s="10"/>
      <c r="D17" s="99">
        <f>D16</f>
        <v>423079880.06999981</v>
      </c>
      <c r="E17" s="99">
        <f>E16</f>
        <v>366454933.90999985</v>
      </c>
      <c r="G17" s="21"/>
      <c r="H17" s="21"/>
    </row>
    <row r="18" spans="1:9" ht="16.5" thickBot="1" x14ac:dyDescent="0.3">
      <c r="A18" s="39" t="s">
        <v>69</v>
      </c>
      <c r="B18" s="62"/>
      <c r="C18" s="4"/>
      <c r="D18" s="54">
        <f>D14+D16</f>
        <v>3027056416.3899994</v>
      </c>
      <c r="E18" s="54">
        <f>E14+E16</f>
        <v>2949632210.3099999</v>
      </c>
      <c r="F18" s="13"/>
      <c r="G18" s="21"/>
      <c r="H18" s="21"/>
    </row>
    <row r="19" spans="1:9" ht="16.5" thickTop="1" x14ac:dyDescent="0.25">
      <c r="A19" s="55"/>
      <c r="B19" s="55"/>
      <c r="C19" s="56"/>
      <c r="D19" s="100"/>
      <c r="E19" s="100"/>
      <c r="G19" s="21"/>
      <c r="I19" s="21"/>
    </row>
    <row r="20" spans="1:9" ht="15.75" x14ac:dyDescent="0.25">
      <c r="A20" s="211" t="s">
        <v>36</v>
      </c>
      <c r="B20" s="211"/>
      <c r="C20" s="211"/>
      <c r="D20" s="211"/>
      <c r="E20" s="211"/>
    </row>
    <row r="23" spans="1:9" hidden="1" x14ac:dyDescent="0.25"/>
    <row r="24" spans="1:9" hidden="1" x14ac:dyDescent="0.25"/>
    <row r="25" spans="1:9" hidden="1" x14ac:dyDescent="0.25"/>
    <row r="26" spans="1:9" hidden="1" x14ac:dyDescent="0.25"/>
    <row r="27" spans="1:9" x14ac:dyDescent="0.25">
      <c r="B27" s="58"/>
      <c r="C27" s="59"/>
      <c r="D27" s="92"/>
      <c r="E27" s="92"/>
    </row>
    <row r="28" spans="1:9" x14ac:dyDescent="0.25">
      <c r="B28" s="58"/>
      <c r="C28" s="59"/>
      <c r="D28" s="92"/>
      <c r="E28" s="92"/>
    </row>
  </sheetData>
  <sheetProtection algorithmName="SHA-512" hashValue="gAw22ZkxCnjO7ICs6d7pFfiF3YKsbGm6I+cvUZu9VcwzwkE3up6WrTnaGuFo5Mf8XerNDllYGbJoKFyEOUk7pA==" saltValue="JT+TsXMIjqyB3xNnj80ANw==" spinCount="100000" sheet="1" objects="1" scenarios="1" selectLockedCells="1" selectUnlockedCells="1"/>
  <mergeCells count="8">
    <mergeCell ref="A7:E7"/>
    <mergeCell ref="A20:E20"/>
    <mergeCell ref="A1:E1"/>
    <mergeCell ref="A2:E2"/>
    <mergeCell ref="A3:E3"/>
    <mergeCell ref="A4:E4"/>
    <mergeCell ref="A5:E5"/>
    <mergeCell ref="A6:E6"/>
  </mergeCells>
  <pageMargins left="1.1100000000000001" right="0.90551181102362199" top="0.98425196850393704" bottom="0.98425196850393704" header="0.511811023622047" footer="0.97"/>
  <pageSetup scale="91" orientation="portrait" horizontalDpi="360" verticalDpi="360" r:id="rId1"/>
  <headerFooter>
    <oddFooter xml:space="preserve">&amp;C&amp;"Times New Roman,Regular"&amp;12 6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0"/>
  <sheetViews>
    <sheetView showGridLines="0" zoomScaleNormal="100" zoomScaleSheetLayoutView="100" workbookViewId="0">
      <selection sqref="A1:F1"/>
    </sheetView>
  </sheetViews>
  <sheetFormatPr defaultRowHeight="15" x14ac:dyDescent="0.25"/>
  <cols>
    <col min="1" max="1" width="42.42578125" customWidth="1"/>
    <col min="2" max="2" width="5.7109375" bestFit="1" customWidth="1"/>
    <col min="3" max="3" width="0.85546875" style="57" customWidth="1"/>
    <col min="4" max="4" width="19.42578125" style="90" bestFit="1" customWidth="1"/>
    <col min="5" max="5" width="2.140625" style="70" customWidth="1"/>
    <col min="6" max="6" width="19.85546875" style="90" customWidth="1"/>
    <col min="8" max="8" width="17.7109375" bestFit="1" customWidth="1"/>
    <col min="9" max="9" width="16.85546875" bestFit="1" customWidth="1"/>
  </cols>
  <sheetData>
    <row r="1" spans="1:6" ht="18.75" x14ac:dyDescent="0.3">
      <c r="A1" s="212" t="s">
        <v>0</v>
      </c>
      <c r="B1" s="212"/>
      <c r="C1" s="212"/>
      <c r="D1" s="212"/>
      <c r="E1" s="212"/>
      <c r="F1" s="212"/>
    </row>
    <row r="2" spans="1:6" ht="18.75" x14ac:dyDescent="0.25">
      <c r="A2" s="213" t="s">
        <v>1</v>
      </c>
      <c r="B2" s="213"/>
      <c r="C2" s="213"/>
      <c r="D2" s="213"/>
      <c r="E2" s="213"/>
      <c r="F2" s="213"/>
    </row>
    <row r="3" spans="1:6" ht="18.75" x14ac:dyDescent="0.25">
      <c r="A3" s="213" t="s">
        <v>70</v>
      </c>
      <c r="B3" s="213"/>
      <c r="C3" s="213"/>
      <c r="D3" s="213"/>
      <c r="E3" s="213"/>
      <c r="F3" s="213"/>
    </row>
    <row r="4" spans="1:6" ht="18.75" x14ac:dyDescent="0.25">
      <c r="A4" s="213" t="s">
        <v>3</v>
      </c>
      <c r="B4" s="213"/>
      <c r="C4" s="213"/>
      <c r="D4" s="213"/>
      <c r="E4" s="213"/>
      <c r="F4" s="213"/>
    </row>
    <row r="5" spans="1:6" ht="18.75" x14ac:dyDescent="0.25">
      <c r="A5" s="214" t="s">
        <v>181</v>
      </c>
      <c r="B5" s="214"/>
      <c r="C5" s="214"/>
      <c r="D5" s="214"/>
      <c r="E5" s="214"/>
      <c r="F5" s="214"/>
    </row>
    <row r="6" spans="1:6" ht="18.75" x14ac:dyDescent="0.25">
      <c r="A6" s="214" t="s">
        <v>180</v>
      </c>
      <c r="B6" s="214"/>
      <c r="C6" s="214"/>
      <c r="D6" s="214"/>
      <c r="E6" s="214"/>
      <c r="F6" s="214"/>
    </row>
    <row r="7" spans="1:6" ht="18.75" x14ac:dyDescent="0.25">
      <c r="A7" s="209" t="s">
        <v>4</v>
      </c>
      <c r="B7" s="209"/>
      <c r="C7" s="209"/>
      <c r="D7" s="209"/>
      <c r="E7" s="209"/>
      <c r="F7" s="209"/>
    </row>
    <row r="9" spans="1:6" ht="15.75" x14ac:dyDescent="0.25">
      <c r="A9" s="2"/>
      <c r="B9" s="101" t="s">
        <v>5</v>
      </c>
      <c r="C9" s="102"/>
      <c r="D9" s="3">
        <v>2021</v>
      </c>
      <c r="E9" s="4"/>
      <c r="F9" s="3">
        <v>2020</v>
      </c>
    </row>
    <row r="10" spans="1:6" ht="15.75" x14ac:dyDescent="0.25">
      <c r="A10" s="5" t="s">
        <v>71</v>
      </c>
      <c r="B10" s="2"/>
      <c r="C10" s="6"/>
      <c r="D10" s="2"/>
      <c r="E10" s="6"/>
      <c r="F10" s="2"/>
    </row>
    <row r="11" spans="1:6" ht="15.75" x14ac:dyDescent="0.25">
      <c r="A11" s="103" t="s">
        <v>72</v>
      </c>
      <c r="B11" s="9"/>
      <c r="C11" s="10"/>
      <c r="D11" s="104"/>
      <c r="E11" s="105"/>
      <c r="F11" s="104"/>
    </row>
    <row r="12" spans="1:6" ht="15.75" x14ac:dyDescent="0.25">
      <c r="A12" s="15" t="s">
        <v>73</v>
      </c>
      <c r="B12" s="9"/>
      <c r="C12" s="10"/>
      <c r="D12" s="159">
        <v>297273079.70999992</v>
      </c>
      <c r="E12" s="12"/>
      <c r="F12" s="11">
        <v>288230355.18000001</v>
      </c>
    </row>
    <row r="13" spans="1:6" ht="15.75" x14ac:dyDescent="0.25">
      <c r="A13" s="15" t="s">
        <v>74</v>
      </c>
      <c r="B13" s="9"/>
      <c r="C13" s="10"/>
      <c r="D13" s="159">
        <v>889216030</v>
      </c>
      <c r="E13" s="12"/>
      <c r="F13" s="11">
        <v>663737960.79999995</v>
      </c>
    </row>
    <row r="14" spans="1:6" ht="15.75" x14ac:dyDescent="0.25">
      <c r="A14" s="15" t="s">
        <v>75</v>
      </c>
      <c r="B14" s="9"/>
      <c r="C14" s="10"/>
      <c r="D14" s="159">
        <v>105712748.59</v>
      </c>
      <c r="E14" s="12"/>
      <c r="F14" s="11">
        <v>115853814.49000001</v>
      </c>
    </row>
    <row r="15" spans="1:6" ht="15.75" x14ac:dyDescent="0.25">
      <c r="A15" s="15" t="s">
        <v>76</v>
      </c>
      <c r="B15" s="9"/>
      <c r="C15" s="10"/>
      <c r="D15" s="159">
        <v>385197.81999999995</v>
      </c>
      <c r="E15" s="12"/>
      <c r="F15" s="11">
        <v>2641158.4500000002</v>
      </c>
    </row>
    <row r="16" spans="1:6" ht="15.75" x14ac:dyDescent="0.25">
      <c r="A16" s="15" t="s">
        <v>77</v>
      </c>
      <c r="B16" s="9"/>
      <c r="C16" s="10"/>
      <c r="D16" s="204">
        <v>1231171775.1399999</v>
      </c>
      <c r="E16" s="12"/>
      <c r="F16" s="17">
        <v>949582741.56999993</v>
      </c>
    </row>
    <row r="17" spans="1:9" ht="15.75" x14ac:dyDescent="0.25">
      <c r="A17" s="39" t="s">
        <v>78</v>
      </c>
      <c r="B17" s="9"/>
      <c r="C17" s="10"/>
      <c r="D17" s="187">
        <f>+SUM(D12:D16)</f>
        <v>2523758831.2599998</v>
      </c>
      <c r="E17" s="20"/>
      <c r="F17" s="106">
        <f>+SUM(F12:F16)</f>
        <v>2020046030.49</v>
      </c>
      <c r="H17" s="21"/>
      <c r="I17" s="21"/>
    </row>
    <row r="18" spans="1:9" ht="15.75" x14ac:dyDescent="0.25">
      <c r="A18" s="103" t="s">
        <v>79</v>
      </c>
      <c r="B18" s="9"/>
      <c r="C18" s="10"/>
      <c r="D18" s="159"/>
      <c r="E18" s="12"/>
      <c r="F18" s="11"/>
      <c r="H18" s="21"/>
      <c r="I18" s="21"/>
    </row>
    <row r="19" spans="1:9" ht="15.75" x14ac:dyDescent="0.25">
      <c r="A19" s="64" t="s">
        <v>80</v>
      </c>
      <c r="B19" s="9"/>
      <c r="C19" s="10"/>
      <c r="D19" s="160">
        <v>335308658.82999998</v>
      </c>
      <c r="E19" s="12"/>
      <c r="F19" s="11">
        <v>463116029.39999998</v>
      </c>
    </row>
    <row r="20" spans="1:9" ht="15.75" x14ac:dyDescent="0.25">
      <c r="A20" s="64" t="s">
        <v>81</v>
      </c>
      <c r="B20" s="9"/>
      <c r="C20" s="10"/>
      <c r="D20" s="159">
        <v>181936847.52000001</v>
      </c>
      <c r="E20" s="12"/>
      <c r="F20" s="11">
        <v>195676707.17000002</v>
      </c>
    </row>
    <row r="21" spans="1:9" ht="15.75" x14ac:dyDescent="0.25">
      <c r="A21" s="64" t="s">
        <v>82</v>
      </c>
      <c r="B21" s="9"/>
      <c r="C21" s="10"/>
      <c r="D21" s="159">
        <v>258193603.06799999</v>
      </c>
      <c r="E21" s="12"/>
      <c r="F21" s="11">
        <v>260557747.31000003</v>
      </c>
    </row>
    <row r="22" spans="1:9" ht="15.75" x14ac:dyDescent="0.25">
      <c r="A22" s="15" t="s">
        <v>83</v>
      </c>
      <c r="B22" s="9"/>
      <c r="C22" s="10"/>
      <c r="D22" s="159">
        <v>10419963.130000001</v>
      </c>
      <c r="E22" s="12"/>
      <c r="F22" s="11">
        <v>11780898.51</v>
      </c>
    </row>
    <row r="23" spans="1:9" ht="15.75" x14ac:dyDescent="0.25">
      <c r="A23" s="15" t="s">
        <v>178</v>
      </c>
      <c r="B23" s="9"/>
      <c r="C23" s="10"/>
      <c r="D23" s="205">
        <v>981665595.76999998</v>
      </c>
      <c r="E23" s="12"/>
      <c r="F23" s="17">
        <v>681484635.48000014</v>
      </c>
    </row>
    <row r="24" spans="1:9" ht="15.75" x14ac:dyDescent="0.25">
      <c r="A24" s="39" t="s">
        <v>84</v>
      </c>
      <c r="B24" s="9"/>
      <c r="C24" s="10"/>
      <c r="D24" s="187">
        <f>+SUM(D19:D23)</f>
        <v>1767524668.3179998</v>
      </c>
      <c r="E24" s="20"/>
      <c r="F24" s="106">
        <f>+SUM(F19:F23)</f>
        <v>1612616017.8700001</v>
      </c>
      <c r="H24" s="21"/>
      <c r="I24" s="21"/>
    </row>
    <row r="25" spans="1:9" ht="15.75" hidden="1" x14ac:dyDescent="0.25">
      <c r="A25" s="39" t="s">
        <v>85</v>
      </c>
      <c r="B25" s="9"/>
      <c r="C25" s="10"/>
      <c r="D25" s="187"/>
      <c r="E25" s="20"/>
      <c r="F25" s="106"/>
      <c r="H25" s="21"/>
      <c r="I25" s="21"/>
    </row>
    <row r="26" spans="1:9" ht="31.5" hidden="1" x14ac:dyDescent="0.25">
      <c r="A26" s="9" t="s">
        <v>86</v>
      </c>
      <c r="B26" s="9"/>
      <c r="C26" s="10"/>
      <c r="D26" s="204"/>
      <c r="E26" s="66"/>
      <c r="F26" s="17">
        <v>0</v>
      </c>
    </row>
    <row r="27" spans="1:9" ht="15.75" x14ac:dyDescent="0.25">
      <c r="A27" s="39" t="s">
        <v>87</v>
      </c>
      <c r="B27" s="9"/>
      <c r="C27" s="10"/>
      <c r="D27" s="206">
        <f>D17-D24-D26</f>
        <v>756234162.94199991</v>
      </c>
      <c r="E27" s="20"/>
      <c r="F27" s="108">
        <f>F17-F24-F26</f>
        <v>407430012.61999989</v>
      </c>
      <c r="H27" s="21"/>
      <c r="I27" s="21"/>
    </row>
    <row r="28" spans="1:9" ht="15.75" x14ac:dyDescent="0.25">
      <c r="A28" s="109" t="s">
        <v>88</v>
      </c>
      <c r="B28" s="9"/>
      <c r="C28" s="10"/>
      <c r="D28" s="159"/>
      <c r="E28" s="12"/>
      <c r="F28" s="11"/>
      <c r="H28" s="21"/>
      <c r="I28" s="21"/>
    </row>
    <row r="29" spans="1:9" ht="15.75" hidden="1" x14ac:dyDescent="0.25">
      <c r="A29" s="103" t="s">
        <v>89</v>
      </c>
      <c r="B29" s="9"/>
      <c r="C29" s="10"/>
      <c r="D29" s="159"/>
      <c r="E29" s="12"/>
      <c r="F29" s="11"/>
    </row>
    <row r="30" spans="1:9" ht="15.75" hidden="1" x14ac:dyDescent="0.25">
      <c r="A30" s="15" t="s">
        <v>90</v>
      </c>
      <c r="B30" s="9"/>
      <c r="C30" s="10"/>
      <c r="D30" s="204">
        <v>0</v>
      </c>
      <c r="E30" s="12"/>
      <c r="F30" s="17">
        <v>0</v>
      </c>
    </row>
    <row r="31" spans="1:9" ht="15.75" hidden="1" x14ac:dyDescent="0.25">
      <c r="A31" s="39" t="s">
        <v>91</v>
      </c>
      <c r="B31" s="9"/>
      <c r="C31" s="10"/>
      <c r="D31" s="187">
        <f>+D30</f>
        <v>0</v>
      </c>
      <c r="E31" s="20"/>
      <c r="F31" s="110">
        <f>+F30</f>
        <v>0</v>
      </c>
    </row>
    <row r="32" spans="1:9" ht="15.75" x14ac:dyDescent="0.25">
      <c r="A32" s="103" t="s">
        <v>79</v>
      </c>
      <c r="B32" s="9"/>
      <c r="C32" s="10"/>
      <c r="D32" s="159"/>
      <c r="E32" s="12"/>
      <c r="F32" s="11"/>
    </row>
    <row r="33" spans="1:10" ht="15.75" x14ac:dyDescent="0.25">
      <c r="A33" s="15" t="s">
        <v>92</v>
      </c>
      <c r="B33" s="9"/>
      <c r="C33" s="10"/>
      <c r="D33" s="204">
        <v>538127189.44000006</v>
      </c>
      <c r="E33" s="12"/>
      <c r="F33" s="17">
        <v>255416024.74000001</v>
      </c>
    </row>
    <row r="34" spans="1:10" ht="15.75" x14ac:dyDescent="0.25">
      <c r="A34" s="39" t="s">
        <v>84</v>
      </c>
      <c r="B34" s="9"/>
      <c r="C34" s="10"/>
      <c r="D34" s="207">
        <f>+D33</f>
        <v>538127189.44000006</v>
      </c>
      <c r="E34" s="20"/>
      <c r="F34" s="72">
        <f>+F33</f>
        <v>255416024.74000001</v>
      </c>
    </row>
    <row r="35" spans="1:10" ht="15.75" x14ac:dyDescent="0.25">
      <c r="A35" s="39" t="s">
        <v>93</v>
      </c>
      <c r="B35" s="9"/>
      <c r="C35" s="10"/>
      <c r="D35" s="187">
        <f>+D31-D34</f>
        <v>-538127189.44000006</v>
      </c>
      <c r="E35" s="188"/>
      <c r="F35" s="189">
        <f>+F31-F34</f>
        <v>-255416024.74000001</v>
      </c>
    </row>
    <row r="36" spans="1:10" ht="15.75" x14ac:dyDescent="0.25">
      <c r="A36" s="109" t="s">
        <v>94</v>
      </c>
      <c r="B36" s="9"/>
      <c r="C36" s="10"/>
      <c r="D36" s="159"/>
      <c r="E36" s="190"/>
      <c r="F36" s="159"/>
    </row>
    <row r="37" spans="1:10" ht="15.75" x14ac:dyDescent="0.25">
      <c r="A37" s="103" t="s">
        <v>72</v>
      </c>
      <c r="B37" s="9"/>
      <c r="C37" s="10"/>
      <c r="D37" s="159"/>
      <c r="E37" s="12"/>
      <c r="F37" s="11"/>
    </row>
    <row r="38" spans="1:10" ht="15.75" x14ac:dyDescent="0.25">
      <c r="A38" s="15" t="s">
        <v>95</v>
      </c>
      <c r="B38" s="9"/>
      <c r="C38" s="10"/>
      <c r="D38" s="159">
        <v>9564783</v>
      </c>
      <c r="E38" s="12"/>
      <c r="F38" s="11">
        <v>109938877.03</v>
      </c>
    </row>
    <row r="39" spans="1:10" ht="15.75" x14ac:dyDescent="0.25">
      <c r="A39" s="39" t="s">
        <v>78</v>
      </c>
      <c r="B39" s="9"/>
      <c r="C39" s="10"/>
      <c r="D39" s="207">
        <f>+D38</f>
        <v>9564783</v>
      </c>
      <c r="E39" s="12"/>
      <c r="F39" s="72">
        <f>+F38</f>
        <v>109938877.03</v>
      </c>
    </row>
    <row r="40" spans="1:10" ht="15.75" x14ac:dyDescent="0.25">
      <c r="A40" s="103" t="s">
        <v>79</v>
      </c>
      <c r="B40" s="9"/>
      <c r="C40" s="10"/>
      <c r="D40" s="159"/>
      <c r="E40" s="12"/>
      <c r="F40" s="11"/>
    </row>
    <row r="41" spans="1:10" ht="15.75" x14ac:dyDescent="0.25">
      <c r="A41" s="15" t="s">
        <v>96</v>
      </c>
      <c r="B41" s="9"/>
      <c r="C41" s="10"/>
      <c r="D41" s="205">
        <v>26694020.510000002</v>
      </c>
      <c r="E41" s="12"/>
      <c r="F41" s="17">
        <v>27389241.369999997</v>
      </c>
    </row>
    <row r="42" spans="1:10" ht="15.75" x14ac:dyDescent="0.25">
      <c r="A42" s="39" t="s">
        <v>84</v>
      </c>
      <c r="B42" s="9"/>
      <c r="C42" s="10"/>
      <c r="D42" s="207">
        <f>+D41</f>
        <v>26694020.510000002</v>
      </c>
      <c r="E42" s="12"/>
      <c r="F42" s="72">
        <f>+F41</f>
        <v>27389241.369999997</v>
      </c>
    </row>
    <row r="43" spans="1:10" ht="15.75" x14ac:dyDescent="0.25">
      <c r="A43" s="39" t="s">
        <v>94</v>
      </c>
      <c r="B43" s="9"/>
      <c r="C43" s="10"/>
      <c r="D43" s="207">
        <f>D39-D42</f>
        <v>-17129237.510000002</v>
      </c>
      <c r="E43" s="20"/>
      <c r="F43" s="72">
        <f>F39-F42</f>
        <v>82549635.659999996</v>
      </c>
    </row>
    <row r="44" spans="1:10" ht="15.75" x14ac:dyDescent="0.25">
      <c r="A44" s="215" t="s">
        <v>97</v>
      </c>
      <c r="B44" s="215"/>
      <c r="C44" s="102"/>
      <c r="D44" s="112"/>
      <c r="E44" s="113"/>
      <c r="F44" s="113"/>
    </row>
    <row r="45" spans="1:10" ht="15.75" x14ac:dyDescent="0.25">
      <c r="A45" s="215" t="s">
        <v>98</v>
      </c>
      <c r="B45" s="215"/>
      <c r="C45" s="102"/>
      <c r="D45" s="112">
        <f>D27+D35+D43</f>
        <v>200977735.99199986</v>
      </c>
      <c r="E45" s="112"/>
      <c r="F45" s="112">
        <f>F27+F35+F43</f>
        <v>234563623.53999987</v>
      </c>
    </row>
    <row r="46" spans="1:10" ht="15.75" x14ac:dyDescent="0.25">
      <c r="A46" s="39" t="s">
        <v>99</v>
      </c>
      <c r="B46" s="62"/>
      <c r="C46" s="4"/>
      <c r="D46" s="66">
        <f>F48</f>
        <v>1154189142.9199998</v>
      </c>
      <c r="E46" s="66"/>
      <c r="F46" s="66">
        <v>919464922.92999995</v>
      </c>
    </row>
    <row r="47" spans="1:10" ht="15.75" x14ac:dyDescent="0.25">
      <c r="A47" s="114" t="s">
        <v>100</v>
      </c>
      <c r="B47" s="62"/>
      <c r="C47" s="4"/>
      <c r="D47" s="186">
        <v>-85620.82</v>
      </c>
      <c r="E47" s="66"/>
      <c r="F47" s="81">
        <v>160596.45000000001</v>
      </c>
    </row>
    <row r="48" spans="1:10" ht="16.5" thickBot="1" x14ac:dyDescent="0.3">
      <c r="A48" s="39" t="s">
        <v>101</v>
      </c>
      <c r="B48" s="9">
        <v>34</v>
      </c>
      <c r="C48" s="10"/>
      <c r="D48" s="54">
        <f>SUM(D45:D47)</f>
        <v>1355081258.0919998</v>
      </c>
      <c r="E48" s="20"/>
      <c r="F48" s="54">
        <f>SUM(F45:F47)</f>
        <v>1154189142.9199998</v>
      </c>
      <c r="H48" t="s">
        <v>102</v>
      </c>
      <c r="J48" t="s">
        <v>102</v>
      </c>
    </row>
    <row r="49" spans="1:10" ht="16.5" thickTop="1" x14ac:dyDescent="0.25">
      <c r="A49" s="55"/>
      <c r="B49" s="55"/>
      <c r="C49" s="56"/>
    </row>
    <row r="50" spans="1:10" ht="15.75" x14ac:dyDescent="0.25">
      <c r="A50" s="211" t="s">
        <v>36</v>
      </c>
      <c r="B50" s="211"/>
      <c r="C50" s="211"/>
      <c r="D50" s="211"/>
      <c r="E50" s="211"/>
      <c r="F50" s="211"/>
      <c r="H50" s="21"/>
      <c r="J50" s="21"/>
    </row>
    <row r="51" spans="1:10" x14ac:dyDescent="0.25">
      <c r="D51" s="92"/>
      <c r="E51" s="115"/>
      <c r="F51" s="92"/>
    </row>
    <row r="52" spans="1:10" ht="15.75" x14ac:dyDescent="0.25">
      <c r="D52" s="116"/>
      <c r="E52" s="117"/>
      <c r="F52" s="116"/>
    </row>
    <row r="53" spans="1:10" x14ac:dyDescent="0.25">
      <c r="D53" s="92"/>
      <c r="E53" s="115"/>
      <c r="F53" s="92"/>
    </row>
    <row r="54" spans="1:10" x14ac:dyDescent="0.25">
      <c r="D54" s="90">
        <f>D48-SFPO!D12</f>
        <v>1.9998550415039063E-3</v>
      </c>
      <c r="F54" s="90">
        <f>F48-SFPO!E12</f>
        <v>0</v>
      </c>
    </row>
    <row r="56" spans="1:10" x14ac:dyDescent="0.25">
      <c r="D56" s="118"/>
      <c r="E56" s="80"/>
      <c r="F56" s="118"/>
    </row>
    <row r="57" spans="1:10" x14ac:dyDescent="0.25">
      <c r="D57" s="118"/>
      <c r="E57" s="80"/>
      <c r="F57" s="118"/>
    </row>
    <row r="60" spans="1:10" x14ac:dyDescent="0.25">
      <c r="D60" s="118"/>
      <c r="E60" s="80"/>
      <c r="F60" s="118"/>
    </row>
  </sheetData>
  <sheetProtection algorithmName="SHA-512" hashValue="CyDyBKOlzaNH/pb183vWKNDHCDPyiTjNaTgIataYbkty0ULrEK9PuluQBt5I9yWDR6dol7/r56UUhn7QClFOYA==" saltValue="gX8gB/He2+UumNhav225Vg==" spinCount="100000" sheet="1" objects="1" scenarios="1" selectLockedCells="1" selectUnlockedCells="1"/>
  <mergeCells count="10">
    <mergeCell ref="A7:F7"/>
    <mergeCell ref="A44:B44"/>
    <mergeCell ref="A45:B45"/>
    <mergeCell ref="A50:F50"/>
    <mergeCell ref="A1:F1"/>
    <mergeCell ref="A2:F2"/>
    <mergeCell ref="A3:F3"/>
    <mergeCell ref="A4:F4"/>
    <mergeCell ref="A5:F5"/>
    <mergeCell ref="A6:F6"/>
  </mergeCells>
  <pageMargins left="1.2992125984252001" right="0.90551181102362199" top="0.98425196850393704" bottom="0.98425196850393704" header="0.511811023622047" footer="1.32"/>
  <pageSetup scale="88" orientation="portrait" horizontalDpi="360" verticalDpi="360" r:id="rId1"/>
  <headerFooter>
    <oddFooter>&amp;C&amp;"Times New Roman,Regular"&amp;12 7</oddFooter>
  </headerFooter>
  <rowBreaks count="1" manualBreakCount="1">
    <brk id="43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33"/>
  <sheetViews>
    <sheetView zoomScaleNormal="100" zoomScaleSheetLayoutView="70" workbookViewId="0">
      <selection sqref="A1:P1"/>
    </sheetView>
  </sheetViews>
  <sheetFormatPr defaultColWidth="9.140625" defaultRowHeight="15" x14ac:dyDescent="0.25"/>
  <cols>
    <col min="1" max="4" width="2.7109375" style="119" customWidth="1"/>
    <col min="5" max="5" width="39.7109375" style="119" customWidth="1"/>
    <col min="6" max="6" width="9.42578125" style="119" customWidth="1"/>
    <col min="7" max="7" width="1.28515625" style="119" customWidth="1"/>
    <col min="8" max="8" width="20" style="119" bestFit="1" customWidth="1"/>
    <col min="9" max="9" width="1.28515625" style="119" customWidth="1"/>
    <col min="10" max="10" width="21.7109375" style="119" bestFit="1" customWidth="1"/>
    <col min="11" max="11" width="1.28515625" style="119" customWidth="1"/>
    <col min="12" max="12" width="19" style="119" bestFit="1" customWidth="1"/>
    <col min="13" max="13" width="1.28515625" style="119" customWidth="1"/>
    <col min="14" max="14" width="20" style="119" bestFit="1" customWidth="1"/>
    <col min="15" max="15" width="1.28515625" style="119" customWidth="1"/>
    <col min="16" max="16" width="19" style="119" bestFit="1" customWidth="1"/>
    <col min="17" max="17" width="3.42578125" style="119" customWidth="1"/>
    <col min="18" max="16384" width="9.140625" style="119"/>
  </cols>
  <sheetData>
    <row r="1" spans="1:16" ht="18.75" x14ac:dyDescent="0.25">
      <c r="A1" s="213" t="s">
        <v>103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 spans="1:16" ht="18.75" x14ac:dyDescent="0.25">
      <c r="A2" s="213" t="s">
        <v>1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</row>
    <row r="3" spans="1:16" ht="18.75" x14ac:dyDescent="0.25">
      <c r="A3" s="213" t="s">
        <v>104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</row>
    <row r="4" spans="1:16" ht="18.75" x14ac:dyDescent="0.25">
      <c r="A4" s="214" t="s">
        <v>181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</row>
    <row r="5" spans="1:16" ht="18.75" x14ac:dyDescent="0.25">
      <c r="A5" s="209" t="s">
        <v>4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7" spans="1:16" ht="15.75" x14ac:dyDescent="0.25">
      <c r="A7" s="219" t="s">
        <v>105</v>
      </c>
      <c r="B7" s="219"/>
      <c r="C7" s="219"/>
      <c r="D7" s="219"/>
      <c r="E7" s="219"/>
      <c r="F7" s="219" t="s">
        <v>5</v>
      </c>
      <c r="G7" s="222" t="s">
        <v>106</v>
      </c>
      <c r="H7" s="222"/>
      <c r="I7" s="222"/>
      <c r="J7" s="222"/>
      <c r="K7" s="222" t="s">
        <v>107</v>
      </c>
      <c r="L7" s="222"/>
      <c r="M7" s="120"/>
      <c r="N7" s="121"/>
      <c r="O7" s="121"/>
      <c r="P7" s="121" t="s">
        <v>107</v>
      </c>
    </row>
    <row r="8" spans="1:16" ht="15.75" x14ac:dyDescent="0.25">
      <c r="A8" s="220"/>
      <c r="B8" s="220"/>
      <c r="C8" s="220"/>
      <c r="D8" s="220"/>
      <c r="E8" s="220"/>
      <c r="F8" s="220"/>
      <c r="G8" s="217" t="s">
        <v>108</v>
      </c>
      <c r="H8" s="217"/>
      <c r="I8" s="217"/>
      <c r="J8" s="217"/>
      <c r="K8" s="216" t="s">
        <v>109</v>
      </c>
      <c r="L8" s="216"/>
      <c r="M8" s="122"/>
      <c r="N8" s="123" t="s">
        <v>110</v>
      </c>
      <c r="O8" s="123"/>
      <c r="P8" s="123" t="s">
        <v>111</v>
      </c>
    </row>
    <row r="9" spans="1:16" ht="15.75" x14ac:dyDescent="0.25">
      <c r="A9" s="221"/>
      <c r="B9" s="221"/>
      <c r="C9" s="221"/>
      <c r="D9" s="221"/>
      <c r="E9" s="221"/>
      <c r="F9" s="221"/>
      <c r="G9" s="124"/>
      <c r="H9" s="125" t="s">
        <v>112</v>
      </c>
      <c r="I9" s="125"/>
      <c r="J9" s="125" t="s">
        <v>113</v>
      </c>
      <c r="K9" s="217" t="s">
        <v>111</v>
      </c>
      <c r="L9" s="217"/>
      <c r="M9" s="124"/>
      <c r="N9" s="125" t="s">
        <v>108</v>
      </c>
      <c r="O9" s="125"/>
      <c r="P9" s="125" t="s">
        <v>114</v>
      </c>
    </row>
    <row r="10" spans="1:16" ht="15.75" x14ac:dyDescent="0.25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</row>
    <row r="11" spans="1:16" ht="15.75" x14ac:dyDescent="0.25">
      <c r="A11" s="122" t="s">
        <v>115</v>
      </c>
      <c r="B11" s="126"/>
      <c r="C11" s="126"/>
      <c r="D11" s="2"/>
      <c r="E11" s="2"/>
      <c r="F11" s="2"/>
      <c r="G11" s="126"/>
      <c r="H11" s="126"/>
      <c r="I11" s="126"/>
      <c r="J11" s="126"/>
      <c r="K11" s="126"/>
      <c r="L11" s="126"/>
      <c r="M11" s="126"/>
      <c r="N11" s="126"/>
      <c r="O11" s="126"/>
      <c r="P11" s="127"/>
    </row>
    <row r="12" spans="1:16" ht="15.75" x14ac:dyDescent="0.25">
      <c r="A12" s="126"/>
      <c r="B12" s="126" t="s">
        <v>116</v>
      </c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7"/>
    </row>
    <row r="13" spans="1:16" ht="15.75" x14ac:dyDescent="0.25">
      <c r="A13" s="126"/>
      <c r="B13" s="126"/>
      <c r="C13" s="126" t="s">
        <v>117</v>
      </c>
      <c r="D13" s="126"/>
      <c r="E13" s="126"/>
      <c r="F13" s="126"/>
      <c r="G13" s="126"/>
      <c r="H13" s="128"/>
      <c r="I13" s="126"/>
      <c r="J13" s="126"/>
      <c r="K13" s="126"/>
      <c r="L13" s="126"/>
      <c r="M13" s="126"/>
      <c r="N13" s="126"/>
      <c r="O13" s="126"/>
      <c r="P13" s="127"/>
    </row>
    <row r="14" spans="1:16" ht="15.75" x14ac:dyDescent="0.25">
      <c r="A14" s="122"/>
      <c r="B14" s="122"/>
      <c r="C14" s="122"/>
      <c r="D14" s="126" t="s">
        <v>118</v>
      </c>
      <c r="E14" s="126"/>
      <c r="F14" s="126"/>
      <c r="G14" s="126"/>
      <c r="H14" s="129">
        <v>106300000</v>
      </c>
      <c r="I14" s="130"/>
      <c r="J14" s="129">
        <v>106300000</v>
      </c>
      <c r="K14" s="130"/>
      <c r="L14" s="131">
        <f>H14-J14</f>
        <v>0</v>
      </c>
      <c r="M14" s="130"/>
      <c r="N14" s="129">
        <v>91214083.539999992</v>
      </c>
      <c r="O14" s="130"/>
      <c r="P14" s="132">
        <f>J14-N14</f>
        <v>15085916.460000008</v>
      </c>
    </row>
    <row r="15" spans="1:16" ht="15.75" x14ac:dyDescent="0.25">
      <c r="A15" s="122"/>
      <c r="B15" s="122"/>
      <c r="C15" s="122"/>
      <c r="D15" s="126" t="s">
        <v>119</v>
      </c>
      <c r="E15" s="126"/>
      <c r="F15" s="126"/>
      <c r="G15" s="126"/>
      <c r="H15" s="129">
        <v>154170000</v>
      </c>
      <c r="I15" s="130"/>
      <c r="J15" s="129">
        <v>154170000</v>
      </c>
      <c r="K15" s="130"/>
      <c r="L15" s="131">
        <f>H15-J15</f>
        <v>0</v>
      </c>
      <c r="M15" s="130"/>
      <c r="N15" s="129">
        <v>172292948.03999999</v>
      </c>
      <c r="O15" s="130"/>
      <c r="P15" s="132">
        <f>J15-N15</f>
        <v>-18122948.039999992</v>
      </c>
    </row>
    <row r="16" spans="1:16" ht="15.75" x14ac:dyDescent="0.25">
      <c r="A16" s="122"/>
      <c r="B16" s="122"/>
      <c r="C16" s="122"/>
      <c r="D16" s="126" t="s">
        <v>120</v>
      </c>
      <c r="E16" s="126"/>
      <c r="F16" s="126"/>
      <c r="G16" s="126"/>
      <c r="H16" s="133">
        <v>9770000</v>
      </c>
      <c r="I16" s="134"/>
      <c r="J16" s="133">
        <v>9770000</v>
      </c>
      <c r="K16" s="135"/>
      <c r="L16" s="136">
        <f>H16-J16</f>
        <v>0</v>
      </c>
      <c r="M16" s="135"/>
      <c r="N16" s="133">
        <v>17703662.600000001</v>
      </c>
      <c r="O16" s="134"/>
      <c r="P16" s="137">
        <f>J16-N16</f>
        <v>-7933662.6000000015</v>
      </c>
    </row>
    <row r="17" spans="1:16" ht="15.75" x14ac:dyDescent="0.25">
      <c r="A17" s="122"/>
      <c r="B17" s="122"/>
      <c r="C17" s="126" t="s">
        <v>121</v>
      </c>
      <c r="D17" s="126"/>
      <c r="E17" s="126"/>
      <c r="F17" s="126"/>
      <c r="G17" s="126"/>
      <c r="H17" s="138">
        <f>SUM(H14:H16)</f>
        <v>270240000</v>
      </c>
      <c r="I17" s="139"/>
      <c r="J17" s="140">
        <f>SUM(J14:J16)</f>
        <v>270240000</v>
      </c>
      <c r="K17" s="141"/>
      <c r="L17" s="140">
        <f>SUM(L14:L16)</f>
        <v>0</v>
      </c>
      <c r="M17" s="141"/>
      <c r="N17" s="142">
        <f>SUM(N14:N16)</f>
        <v>281210694.18000001</v>
      </c>
      <c r="O17" s="139"/>
      <c r="P17" s="143">
        <f>SUM(P14:P16)</f>
        <v>-10970694.179999985</v>
      </c>
    </row>
    <row r="18" spans="1:16" ht="15.75" x14ac:dyDescent="0.25">
      <c r="A18" s="122"/>
      <c r="B18" s="122"/>
      <c r="C18" s="126" t="s">
        <v>122</v>
      </c>
      <c r="D18" s="126"/>
      <c r="E18" s="126"/>
      <c r="F18" s="126"/>
      <c r="G18" s="126"/>
      <c r="H18" s="130"/>
      <c r="I18" s="130"/>
      <c r="J18" s="144"/>
      <c r="K18" s="144"/>
      <c r="L18" s="144"/>
      <c r="M18" s="144"/>
      <c r="N18" s="144"/>
      <c r="O18" s="130"/>
      <c r="P18" s="130"/>
    </row>
    <row r="19" spans="1:16" ht="15.75" x14ac:dyDescent="0.25">
      <c r="A19" s="122"/>
      <c r="B19" s="122"/>
      <c r="C19" s="122"/>
      <c r="D19" s="126" t="s">
        <v>123</v>
      </c>
      <c r="E19" s="126"/>
      <c r="F19" s="126"/>
      <c r="G19" s="126"/>
      <c r="H19" s="129">
        <v>54570000</v>
      </c>
      <c r="I19" s="130"/>
      <c r="J19" s="129">
        <v>54570000</v>
      </c>
      <c r="K19" s="144"/>
      <c r="L19" s="145">
        <f>H19-J19</f>
        <v>0</v>
      </c>
      <c r="M19" s="144"/>
      <c r="N19" s="129">
        <v>51945012.659999996</v>
      </c>
      <c r="O19" s="130"/>
      <c r="P19" s="132">
        <f>J19-N19</f>
        <v>2624987.3400000036</v>
      </c>
    </row>
    <row r="20" spans="1:16" ht="15.75" x14ac:dyDescent="0.25">
      <c r="A20" s="122"/>
      <c r="B20" s="122"/>
      <c r="C20" s="122"/>
      <c r="D20" s="126" t="s">
        <v>124</v>
      </c>
      <c r="E20" s="126"/>
      <c r="F20" s="126"/>
      <c r="G20" s="126"/>
      <c r="H20" s="129">
        <v>97051835</v>
      </c>
      <c r="I20" s="130"/>
      <c r="J20" s="129">
        <v>97051835</v>
      </c>
      <c r="K20" s="144"/>
      <c r="L20" s="145">
        <f>H20-J20</f>
        <v>0</v>
      </c>
      <c r="M20" s="144"/>
      <c r="N20" s="129">
        <v>90126956.390000001</v>
      </c>
      <c r="O20" s="130"/>
      <c r="P20" s="132">
        <f>J20-N20</f>
        <v>6924878.6099999994</v>
      </c>
    </row>
    <row r="21" spans="1:16" ht="15.75" x14ac:dyDescent="0.25">
      <c r="A21" s="122"/>
      <c r="B21" s="122"/>
      <c r="C21" s="122"/>
      <c r="D21" s="126" t="s">
        <v>125</v>
      </c>
      <c r="E21" s="126"/>
      <c r="F21" s="126"/>
      <c r="G21" s="126"/>
      <c r="H21" s="133">
        <v>505052702.75</v>
      </c>
      <c r="I21" s="134"/>
      <c r="J21" s="133">
        <v>641031379.90999997</v>
      </c>
      <c r="K21" s="135"/>
      <c r="L21" s="136">
        <f>H21-J21</f>
        <v>-135978677.15999997</v>
      </c>
      <c r="M21" s="135"/>
      <c r="N21" s="133">
        <v>427729966.63</v>
      </c>
      <c r="O21" s="134"/>
      <c r="P21" s="137">
        <f>J21-N21</f>
        <v>213301413.27999997</v>
      </c>
    </row>
    <row r="22" spans="1:16" ht="15.75" x14ac:dyDescent="0.25">
      <c r="A22" s="122"/>
      <c r="B22" s="122"/>
      <c r="C22" s="126" t="s">
        <v>126</v>
      </c>
      <c r="D22" s="126"/>
      <c r="E22" s="126"/>
      <c r="F22" s="126"/>
      <c r="G22" s="126"/>
      <c r="H22" s="138">
        <f>SUM(H19:H21)</f>
        <v>656674537.75</v>
      </c>
      <c r="I22" s="139"/>
      <c r="J22" s="140">
        <f>SUM(J19:J21)</f>
        <v>792653214.90999997</v>
      </c>
      <c r="K22" s="141"/>
      <c r="L22" s="140">
        <f>SUM(L19:L21)</f>
        <v>-135978677.15999997</v>
      </c>
      <c r="M22" s="141"/>
      <c r="N22" s="142">
        <f>SUM(N19:N21)</f>
        <v>569801935.68000007</v>
      </c>
      <c r="O22" s="139"/>
      <c r="P22" s="143">
        <f>SUM(P19:P21)</f>
        <v>222851279.22999996</v>
      </c>
    </row>
    <row r="23" spans="1:16" ht="15.75" x14ac:dyDescent="0.25">
      <c r="A23" s="122"/>
      <c r="B23" s="126" t="s">
        <v>127</v>
      </c>
      <c r="C23" s="122"/>
      <c r="D23" s="126"/>
      <c r="E23" s="126"/>
      <c r="F23" s="126"/>
      <c r="G23" s="126"/>
      <c r="H23" s="130"/>
      <c r="I23" s="130"/>
      <c r="J23" s="144"/>
      <c r="K23" s="144"/>
      <c r="L23" s="144"/>
      <c r="M23" s="144"/>
      <c r="N23" s="144"/>
      <c r="O23" s="130"/>
      <c r="P23" s="130"/>
    </row>
    <row r="24" spans="1:16" ht="15.75" x14ac:dyDescent="0.25">
      <c r="A24" s="122"/>
      <c r="B24" s="122"/>
      <c r="C24" s="126" t="s">
        <v>128</v>
      </c>
      <c r="D24" s="126"/>
      <c r="E24" s="126"/>
      <c r="F24" s="126"/>
      <c r="G24" s="126"/>
      <c r="H24" s="146">
        <v>829672451</v>
      </c>
      <c r="I24" s="130"/>
      <c r="J24" s="146">
        <v>889216030</v>
      </c>
      <c r="K24" s="144"/>
      <c r="L24" s="147">
        <f>H24-J24</f>
        <v>-59543579</v>
      </c>
      <c r="M24" s="144"/>
      <c r="N24" s="148">
        <v>889216030</v>
      </c>
      <c r="O24" s="130"/>
      <c r="P24" s="132">
        <f>J24-N24</f>
        <v>0</v>
      </c>
    </row>
    <row r="25" spans="1:16" ht="15.75" x14ac:dyDescent="0.25">
      <c r="A25" s="122"/>
      <c r="B25" s="122"/>
      <c r="C25" s="126" t="s">
        <v>129</v>
      </c>
      <c r="D25" s="126"/>
      <c r="E25" s="126"/>
      <c r="F25" s="126"/>
      <c r="G25" s="126"/>
      <c r="H25" s="146"/>
      <c r="I25" s="130"/>
      <c r="J25" s="146"/>
      <c r="K25" s="144"/>
      <c r="L25" s="147"/>
      <c r="M25" s="144"/>
      <c r="N25" s="148"/>
      <c r="O25" s="130"/>
      <c r="P25" s="132"/>
    </row>
    <row r="26" spans="1:16" ht="15.75" x14ac:dyDescent="0.25">
      <c r="A26" s="122"/>
      <c r="B26" s="122"/>
      <c r="C26" s="126"/>
      <c r="D26" s="126" t="s">
        <v>130</v>
      </c>
      <c r="E26" s="126"/>
      <c r="F26" s="126"/>
      <c r="G26" s="126"/>
      <c r="H26" s="148">
        <v>700000</v>
      </c>
      <c r="I26" s="130"/>
      <c r="J26" s="148">
        <v>700000</v>
      </c>
      <c r="K26" s="144"/>
      <c r="L26" s="144">
        <f>H26-J26</f>
        <v>0</v>
      </c>
      <c r="M26" s="144"/>
      <c r="N26" s="148">
        <v>1192785.32</v>
      </c>
      <c r="O26" s="130"/>
      <c r="P26" s="132">
        <f>J26-N26</f>
        <v>-492785.32000000007</v>
      </c>
    </row>
    <row r="27" spans="1:16" ht="15.75" x14ac:dyDescent="0.25">
      <c r="A27" s="122"/>
      <c r="B27" s="122"/>
      <c r="C27" s="126" t="s">
        <v>131</v>
      </c>
      <c r="D27" s="126"/>
      <c r="E27" s="126"/>
      <c r="F27" s="126"/>
      <c r="G27" s="149"/>
      <c r="H27" s="130"/>
      <c r="I27" s="130"/>
      <c r="J27" s="130"/>
      <c r="K27" s="144"/>
      <c r="L27" s="144"/>
      <c r="M27" s="144"/>
      <c r="N27" s="130"/>
      <c r="O27" s="130"/>
      <c r="P27" s="130"/>
    </row>
    <row r="28" spans="1:16" ht="15.75" x14ac:dyDescent="0.25">
      <c r="A28" s="122"/>
      <c r="B28" s="122"/>
      <c r="C28" s="126"/>
      <c r="D28" s="126" t="s">
        <v>132</v>
      </c>
      <c r="E28" s="126"/>
      <c r="F28" s="126"/>
      <c r="G28" s="149"/>
      <c r="H28" s="144"/>
      <c r="I28" s="130"/>
      <c r="J28" s="144"/>
      <c r="K28" s="144"/>
      <c r="L28" s="144">
        <v>0</v>
      </c>
      <c r="M28" s="144"/>
      <c r="N28" s="144">
        <v>72609</v>
      </c>
      <c r="O28" s="130"/>
      <c r="P28" s="132">
        <f>J28-N28</f>
        <v>-72609</v>
      </c>
    </row>
    <row r="29" spans="1:16" ht="15.75" x14ac:dyDescent="0.25">
      <c r="A29" s="126"/>
      <c r="B29" s="126"/>
      <c r="C29" s="126"/>
      <c r="D29" s="126" t="s">
        <v>133</v>
      </c>
      <c r="E29" s="126"/>
      <c r="F29" s="126"/>
      <c r="G29" s="126"/>
      <c r="H29" s="131"/>
      <c r="I29" s="130"/>
      <c r="J29" s="131"/>
      <c r="K29" s="144"/>
      <c r="L29" s="145">
        <f>H29-J29</f>
        <v>0</v>
      </c>
      <c r="M29" s="144"/>
      <c r="N29" s="132"/>
      <c r="O29" s="130"/>
      <c r="P29" s="132">
        <f>J29-N29</f>
        <v>0</v>
      </c>
    </row>
    <row r="30" spans="1:16" ht="15.75" hidden="1" x14ac:dyDescent="0.25">
      <c r="A30" s="126"/>
      <c r="B30" s="126"/>
      <c r="C30" s="126" t="s">
        <v>134</v>
      </c>
      <c r="D30" s="126"/>
      <c r="E30" s="126"/>
      <c r="F30" s="126"/>
      <c r="G30" s="126"/>
      <c r="H30" s="146"/>
      <c r="I30" s="130"/>
      <c r="J30" s="146"/>
      <c r="K30" s="144"/>
      <c r="L30" s="145"/>
      <c r="M30" s="144"/>
      <c r="N30" s="148"/>
      <c r="O30" s="130"/>
      <c r="P30" s="132">
        <f t="shared" ref="P30:P42" si="0">J30-N30</f>
        <v>0</v>
      </c>
    </row>
    <row r="31" spans="1:16" ht="15.75" x14ac:dyDescent="0.25">
      <c r="A31" s="126"/>
      <c r="B31" s="126"/>
      <c r="C31" s="126" t="s">
        <v>182</v>
      </c>
      <c r="D31" s="126"/>
      <c r="E31" s="126"/>
      <c r="F31" s="126"/>
      <c r="G31" s="149"/>
      <c r="H31" s="130"/>
      <c r="I31" s="130"/>
      <c r="J31" s="144"/>
      <c r="K31" s="144"/>
      <c r="L31" s="144"/>
      <c r="M31" s="144"/>
      <c r="N31" s="144"/>
      <c r="O31" s="130"/>
      <c r="P31" s="132"/>
    </row>
    <row r="32" spans="1:16" ht="15.75" x14ac:dyDescent="0.25">
      <c r="A32" s="126"/>
      <c r="B32" s="126"/>
      <c r="C32" s="126"/>
      <c r="D32" s="126" t="s">
        <v>135</v>
      </c>
      <c r="E32" s="126"/>
      <c r="F32" s="126"/>
      <c r="G32" s="126"/>
      <c r="H32" s="131"/>
      <c r="I32" s="130"/>
      <c r="J32" s="131"/>
      <c r="K32" s="144"/>
      <c r="L32" s="145">
        <f>H32-J32</f>
        <v>0</v>
      </c>
      <c r="M32" s="144"/>
      <c r="N32" s="132"/>
      <c r="O32" s="130"/>
      <c r="P32" s="132">
        <f>J32-N32</f>
        <v>0</v>
      </c>
    </row>
    <row r="33" spans="1:16" ht="15.75" x14ac:dyDescent="0.25">
      <c r="A33" s="126"/>
      <c r="B33" s="126"/>
      <c r="C33" s="126"/>
      <c r="D33" s="126" t="s">
        <v>136</v>
      </c>
      <c r="E33" s="126"/>
      <c r="F33" s="126"/>
      <c r="G33" s="126"/>
      <c r="H33" s="131"/>
      <c r="I33" s="130"/>
      <c r="J33" s="131">
        <v>15122372.490000002</v>
      </c>
      <c r="K33" s="144"/>
      <c r="L33" s="145">
        <f>H33-J33</f>
        <v>-15122372.490000002</v>
      </c>
      <c r="M33" s="144"/>
      <c r="N33" s="132">
        <v>15122372.489999998</v>
      </c>
      <c r="O33" s="130"/>
      <c r="P33" s="132">
        <f>J33-N33</f>
        <v>0</v>
      </c>
    </row>
    <row r="34" spans="1:16" ht="15.75" x14ac:dyDescent="0.25">
      <c r="A34" s="126"/>
      <c r="B34" s="126"/>
      <c r="C34" s="126" t="s">
        <v>183</v>
      </c>
      <c r="D34" s="126"/>
      <c r="E34" s="126"/>
      <c r="F34" s="126"/>
      <c r="G34" s="126"/>
      <c r="H34" s="144"/>
      <c r="I34" s="130"/>
      <c r="J34" s="144"/>
      <c r="K34" s="144"/>
      <c r="L34" s="145">
        <f>H34-J34</f>
        <v>0</v>
      </c>
      <c r="M34" s="144"/>
      <c r="N34" s="144"/>
      <c r="O34" s="130"/>
      <c r="P34" s="132">
        <f>J34-N34</f>
        <v>0</v>
      </c>
    </row>
    <row r="35" spans="1:16" ht="15.75" x14ac:dyDescent="0.25">
      <c r="A35" s="126"/>
      <c r="B35" s="126"/>
      <c r="C35" s="126" t="s">
        <v>184</v>
      </c>
      <c r="D35" s="126"/>
      <c r="E35" s="126"/>
      <c r="F35" s="126"/>
      <c r="G35" s="149"/>
      <c r="H35" s="130"/>
      <c r="I35" s="130"/>
      <c r="J35" s="130"/>
      <c r="K35" s="144"/>
      <c r="L35" s="144"/>
      <c r="M35" s="144"/>
      <c r="N35" s="130"/>
      <c r="O35" s="130"/>
      <c r="P35" s="132"/>
    </row>
    <row r="36" spans="1:16" ht="15.75" x14ac:dyDescent="0.25">
      <c r="A36" s="126"/>
      <c r="B36" s="126"/>
      <c r="C36" s="126"/>
      <c r="D36" s="126" t="s">
        <v>137</v>
      </c>
      <c r="E36" s="126"/>
      <c r="F36" s="126"/>
      <c r="G36" s="126"/>
      <c r="H36" s="131"/>
      <c r="I36" s="130"/>
      <c r="J36" s="131"/>
      <c r="K36" s="144"/>
      <c r="L36" s="145">
        <f>H36-J36</f>
        <v>0</v>
      </c>
      <c r="M36" s="144"/>
      <c r="N36" s="132"/>
      <c r="O36" s="130"/>
      <c r="P36" s="132">
        <f>J36-N36</f>
        <v>0</v>
      </c>
    </row>
    <row r="37" spans="1:16" ht="15.75" x14ac:dyDescent="0.25">
      <c r="A37" s="126"/>
      <c r="B37" s="126"/>
      <c r="C37" s="126"/>
      <c r="D37" s="126" t="s">
        <v>138</v>
      </c>
      <c r="E37" s="126"/>
      <c r="F37" s="126"/>
      <c r="G37" s="126"/>
      <c r="H37" s="131"/>
      <c r="I37" s="130"/>
      <c r="J37" s="131"/>
      <c r="K37" s="144"/>
      <c r="L37" s="145">
        <f>H37-J37</f>
        <v>0</v>
      </c>
      <c r="M37" s="144"/>
      <c r="N37" s="132"/>
      <c r="O37" s="130"/>
      <c r="P37" s="132">
        <f t="shared" ref="P37:P38" si="1">J37-N37</f>
        <v>0</v>
      </c>
    </row>
    <row r="38" spans="1:16" ht="15.75" x14ac:dyDescent="0.25">
      <c r="A38" s="126"/>
      <c r="B38" s="126"/>
      <c r="C38" s="126"/>
      <c r="D38" s="126" t="s">
        <v>139</v>
      </c>
      <c r="E38" s="126"/>
      <c r="F38" s="126"/>
      <c r="G38" s="126"/>
      <c r="H38" s="131"/>
      <c r="I38" s="130"/>
      <c r="J38" s="131"/>
      <c r="K38" s="144"/>
      <c r="L38" s="145">
        <f>H38-J38</f>
        <v>0</v>
      </c>
      <c r="M38" s="144"/>
      <c r="N38" s="132">
        <v>549735</v>
      </c>
      <c r="O38" s="130"/>
      <c r="P38" s="132">
        <f t="shared" si="1"/>
        <v>-549735</v>
      </c>
    </row>
    <row r="39" spans="1:16" ht="15.75" hidden="1" x14ac:dyDescent="0.25">
      <c r="A39" s="126"/>
      <c r="B39" s="126" t="s">
        <v>140</v>
      </c>
      <c r="C39" s="126"/>
      <c r="D39" s="126"/>
      <c r="E39" s="126"/>
      <c r="F39" s="126"/>
      <c r="G39" s="126"/>
      <c r="H39" s="131"/>
      <c r="I39" s="130"/>
      <c r="J39" s="131"/>
      <c r="K39" s="144"/>
      <c r="L39" s="145"/>
      <c r="M39" s="144"/>
      <c r="N39" s="132"/>
      <c r="O39" s="130"/>
      <c r="P39" s="132">
        <f t="shared" si="0"/>
        <v>0</v>
      </c>
    </row>
    <row r="40" spans="1:16" ht="15.75" hidden="1" x14ac:dyDescent="0.25">
      <c r="A40" s="126"/>
      <c r="B40" s="126"/>
      <c r="C40" s="126"/>
      <c r="D40" s="126" t="s">
        <v>141</v>
      </c>
      <c r="E40" s="126"/>
      <c r="F40" s="126"/>
      <c r="G40" s="126"/>
      <c r="H40" s="132"/>
      <c r="I40" s="130"/>
      <c r="J40" s="132"/>
      <c r="K40" s="144"/>
      <c r="L40" s="145">
        <f>H40-J40</f>
        <v>0</v>
      </c>
      <c r="M40" s="144"/>
      <c r="N40" s="132"/>
      <c r="O40" s="130"/>
      <c r="P40" s="132">
        <f t="shared" si="0"/>
        <v>0</v>
      </c>
    </row>
    <row r="41" spans="1:16" ht="15.75" hidden="1" x14ac:dyDescent="0.25">
      <c r="A41" s="126"/>
      <c r="B41" s="126"/>
      <c r="C41" s="126"/>
      <c r="D41" s="126" t="s">
        <v>142</v>
      </c>
      <c r="E41" s="126"/>
      <c r="F41" s="126"/>
      <c r="G41" s="126"/>
      <c r="H41" s="131"/>
      <c r="I41" s="130"/>
      <c r="J41" s="131"/>
      <c r="K41" s="144"/>
      <c r="L41" s="145">
        <f>H41-J41</f>
        <v>0</v>
      </c>
      <c r="M41" s="144"/>
      <c r="N41" s="132"/>
      <c r="O41" s="130"/>
      <c r="P41" s="132">
        <f t="shared" si="0"/>
        <v>0</v>
      </c>
    </row>
    <row r="42" spans="1:16" ht="15.75" x14ac:dyDescent="0.25">
      <c r="A42" s="126"/>
      <c r="B42" s="126" t="s">
        <v>140</v>
      </c>
      <c r="C42" s="126"/>
      <c r="D42" s="126"/>
      <c r="E42" s="126"/>
      <c r="F42" s="126"/>
      <c r="G42" s="126"/>
      <c r="H42" s="144"/>
      <c r="I42" s="130"/>
      <c r="J42" s="144">
        <v>600000000</v>
      </c>
      <c r="K42" s="144"/>
      <c r="L42" s="145">
        <f>H42-J42</f>
        <v>-600000000</v>
      </c>
      <c r="M42" s="144"/>
      <c r="N42" s="144">
        <v>9564783</v>
      </c>
      <c r="O42" s="130"/>
      <c r="P42" s="132">
        <f t="shared" si="0"/>
        <v>590435217</v>
      </c>
    </row>
    <row r="43" spans="1:16" ht="15.75" x14ac:dyDescent="0.25">
      <c r="A43" s="122" t="s">
        <v>143</v>
      </c>
      <c r="B43" s="126"/>
      <c r="C43" s="126"/>
      <c r="D43" s="126"/>
      <c r="E43" s="126"/>
      <c r="F43" s="126"/>
      <c r="G43" s="126"/>
      <c r="H43" s="150">
        <f>H17+H22+H24+H26+H28+H29+H40+H41+H42+H34</f>
        <v>1757286988.75</v>
      </c>
      <c r="I43" s="151"/>
      <c r="J43" s="150">
        <f>J17+J22+J24+J26+J28+J29+J40+J41+J42+J34+J32+J33</f>
        <v>2567931617.3999996</v>
      </c>
      <c r="K43" s="150"/>
      <c r="L43" s="150">
        <f>L17+L22+L24+L26+L28+L29+L40+L41+L42+L34+L32+L33</f>
        <v>-810644628.64999998</v>
      </c>
      <c r="M43" s="150"/>
      <c r="N43" s="152">
        <f>N17+N22+N24+N26+N28+N29+N40+N41+N42+N34+N33+N38</f>
        <v>1766730944.6700001</v>
      </c>
      <c r="O43" s="153"/>
      <c r="P43" s="150">
        <f>P17+P22+P24+P26+P28+P29+P40+P41+P42+P34+P32+P33+P38</f>
        <v>801200672.73000002</v>
      </c>
    </row>
    <row r="44" spans="1:16" ht="15.75" x14ac:dyDescent="0.25">
      <c r="A44" s="122" t="s">
        <v>144</v>
      </c>
      <c r="B44" s="126"/>
      <c r="C44" s="126"/>
      <c r="D44" s="126"/>
      <c r="E44" s="126"/>
      <c r="F44" s="126"/>
      <c r="G44" s="126"/>
      <c r="H44" s="154"/>
      <c r="I44" s="154"/>
      <c r="J44" s="154"/>
      <c r="K44" s="155"/>
      <c r="L44" s="145">
        <f>H44-J44</f>
        <v>0</v>
      </c>
      <c r="M44" s="155"/>
      <c r="N44" s="156"/>
      <c r="O44" s="154"/>
      <c r="P44" s="132">
        <f>J44-N44</f>
        <v>0</v>
      </c>
    </row>
    <row r="45" spans="1:16" ht="15.75" x14ac:dyDescent="0.25">
      <c r="A45" s="122" t="s">
        <v>145</v>
      </c>
      <c r="B45" s="126"/>
      <c r="C45" s="126"/>
      <c r="D45" s="126"/>
      <c r="E45" s="126"/>
      <c r="F45" s="126"/>
      <c r="G45" s="126"/>
      <c r="H45" s="157">
        <f>+H43+H44</f>
        <v>1757286988.75</v>
      </c>
      <c r="I45" s="157">
        <f t="shared" ref="I45:P45" si="2">+I43+I44</f>
        <v>0</v>
      </c>
      <c r="J45" s="157">
        <f t="shared" si="2"/>
        <v>2567931617.3999996</v>
      </c>
      <c r="K45" s="157">
        <f t="shared" si="2"/>
        <v>0</v>
      </c>
      <c r="L45" s="157">
        <f>+L43+L44</f>
        <v>-810644628.64999998</v>
      </c>
      <c r="M45" s="157">
        <f t="shared" si="2"/>
        <v>0</v>
      </c>
      <c r="N45" s="157">
        <f t="shared" si="2"/>
        <v>1766730944.6700001</v>
      </c>
      <c r="O45" s="157">
        <f t="shared" si="2"/>
        <v>0</v>
      </c>
      <c r="P45" s="157">
        <f t="shared" si="2"/>
        <v>801200672.73000002</v>
      </c>
    </row>
    <row r="46" spans="1:16" ht="15.75" x14ac:dyDescent="0.25">
      <c r="A46" s="122" t="s">
        <v>146</v>
      </c>
      <c r="B46" s="126"/>
      <c r="C46" s="126"/>
      <c r="D46" s="126"/>
      <c r="E46" s="126"/>
      <c r="F46" s="126"/>
      <c r="G46" s="126"/>
      <c r="H46" s="130"/>
      <c r="I46" s="130"/>
      <c r="J46" s="144"/>
      <c r="K46" s="144"/>
      <c r="L46" s="144"/>
      <c r="M46" s="144"/>
      <c r="N46" s="144"/>
      <c r="O46" s="130"/>
      <c r="P46" s="130"/>
    </row>
    <row r="47" spans="1:16" ht="15.75" x14ac:dyDescent="0.25">
      <c r="A47" s="122" t="s">
        <v>147</v>
      </c>
      <c r="B47" s="126"/>
      <c r="C47" s="126"/>
      <c r="D47" s="126"/>
      <c r="E47" s="126"/>
      <c r="F47" s="126"/>
      <c r="G47" s="126"/>
      <c r="H47" s="130"/>
      <c r="I47" s="130"/>
      <c r="J47" s="144"/>
      <c r="K47" s="144"/>
      <c r="L47" s="144"/>
      <c r="M47" s="144"/>
      <c r="N47" s="144"/>
      <c r="O47" s="130"/>
      <c r="P47" s="130"/>
    </row>
    <row r="48" spans="1:16" ht="15.75" x14ac:dyDescent="0.25">
      <c r="A48" s="126"/>
      <c r="B48" s="122" t="s">
        <v>148</v>
      </c>
      <c r="C48" s="126"/>
      <c r="D48" s="126"/>
      <c r="E48" s="126"/>
      <c r="F48" s="126"/>
      <c r="G48" s="126"/>
      <c r="H48" s="130"/>
      <c r="I48" s="130"/>
      <c r="J48" s="144"/>
      <c r="K48" s="144"/>
      <c r="L48" s="144"/>
      <c r="M48" s="144"/>
      <c r="N48" s="144"/>
      <c r="O48" s="130"/>
      <c r="P48" s="130"/>
    </row>
    <row r="49" spans="1:16" ht="15.75" x14ac:dyDescent="0.25">
      <c r="A49" s="126"/>
      <c r="B49" s="122"/>
      <c r="C49" s="126" t="s">
        <v>149</v>
      </c>
      <c r="D49" s="126"/>
      <c r="E49" s="126"/>
      <c r="F49" s="126"/>
      <c r="G49" s="126"/>
      <c r="H49" s="129">
        <v>274852405.19999999</v>
      </c>
      <c r="I49" s="131"/>
      <c r="J49" s="129">
        <v>271983899</v>
      </c>
      <c r="K49" s="144"/>
      <c r="L49" s="158">
        <f>H49-J49</f>
        <v>2868506.1999999881</v>
      </c>
      <c r="M49" s="144"/>
      <c r="N49" s="129">
        <v>239243955.87000003</v>
      </c>
      <c r="O49" s="130"/>
      <c r="P49" s="132">
        <f>J49-N49</f>
        <v>32739943.129999965</v>
      </c>
    </row>
    <row r="50" spans="1:16" ht="15.75" x14ac:dyDescent="0.25">
      <c r="A50" s="126"/>
      <c r="B50" s="122"/>
      <c r="C50" s="126" t="s">
        <v>150</v>
      </c>
      <c r="D50" s="126"/>
      <c r="E50" s="126"/>
      <c r="F50" s="126"/>
      <c r="G50" s="126"/>
      <c r="H50" s="129">
        <v>244717106.79999998</v>
      </c>
      <c r="I50" s="131"/>
      <c r="J50" s="129">
        <v>254311940.01000002</v>
      </c>
      <c r="K50" s="144"/>
      <c r="L50" s="158">
        <f>H50-J50</f>
        <v>-9594833.2100000381</v>
      </c>
      <c r="M50" s="144"/>
      <c r="N50" s="129">
        <v>234211268.22999999</v>
      </c>
      <c r="O50" s="130"/>
      <c r="P50" s="132">
        <f>J50-N50</f>
        <v>20100671.780000031</v>
      </c>
    </row>
    <row r="51" spans="1:16" ht="15.75" x14ac:dyDescent="0.25">
      <c r="A51" s="126"/>
      <c r="B51" s="122"/>
      <c r="C51" s="126" t="s">
        <v>151</v>
      </c>
      <c r="D51" s="126"/>
      <c r="E51" s="126"/>
      <c r="F51" s="126"/>
      <c r="G51" s="126"/>
      <c r="H51" s="129">
        <v>9446000</v>
      </c>
      <c r="I51" s="131"/>
      <c r="J51" s="129">
        <v>76131000</v>
      </c>
      <c r="K51" s="144"/>
      <c r="L51" s="158">
        <f>H51-J51</f>
        <v>-66685000</v>
      </c>
      <c r="M51" s="144"/>
      <c r="N51" s="129">
        <v>14473179.380000001</v>
      </c>
      <c r="O51" s="130"/>
      <c r="P51" s="132">
        <f>J51-N51</f>
        <v>61657820.619999997</v>
      </c>
    </row>
    <row r="52" spans="1:16" ht="15.75" x14ac:dyDescent="0.25">
      <c r="A52" s="126"/>
      <c r="B52" s="122" t="s">
        <v>152</v>
      </c>
      <c r="C52" s="122"/>
      <c r="D52" s="126"/>
      <c r="E52" s="126"/>
      <c r="F52" s="126"/>
      <c r="G52" s="126"/>
      <c r="H52" s="131"/>
      <c r="I52" s="131"/>
      <c r="J52" s="131"/>
      <c r="K52" s="144"/>
      <c r="L52" s="144"/>
      <c r="M52" s="144"/>
      <c r="N52" s="131"/>
      <c r="O52" s="130"/>
      <c r="P52" s="130"/>
    </row>
    <row r="53" spans="1:16" ht="15.75" x14ac:dyDescent="0.25">
      <c r="A53" s="126"/>
      <c r="B53" s="126"/>
      <c r="C53" s="126" t="s">
        <v>149</v>
      </c>
      <c r="D53" s="126"/>
      <c r="E53" s="126"/>
      <c r="F53" s="126"/>
      <c r="G53" s="126"/>
      <c r="H53" s="129">
        <v>11460000</v>
      </c>
      <c r="I53" s="131"/>
      <c r="J53" s="129">
        <v>15468653.460000001</v>
      </c>
      <c r="K53" s="144"/>
      <c r="L53" s="158">
        <f>H53-J53</f>
        <v>-4008653.4600000009</v>
      </c>
      <c r="M53" s="144"/>
      <c r="N53" s="129">
        <v>15411440.18</v>
      </c>
      <c r="O53" s="130"/>
      <c r="P53" s="132">
        <f>J53-N53</f>
        <v>57213.280000001192</v>
      </c>
    </row>
    <row r="54" spans="1:16" ht="15.75" x14ac:dyDescent="0.25">
      <c r="A54" s="126"/>
      <c r="B54" s="126"/>
      <c r="C54" s="126" t="s">
        <v>150</v>
      </c>
      <c r="D54" s="126"/>
      <c r="E54" s="126"/>
      <c r="F54" s="126"/>
      <c r="G54" s="126"/>
      <c r="H54" s="129">
        <v>13490000</v>
      </c>
      <c r="I54" s="131"/>
      <c r="J54" s="129">
        <v>11035838.970000001</v>
      </c>
      <c r="K54" s="130"/>
      <c r="L54" s="132">
        <f>H54-J54</f>
        <v>2454161.0299999993</v>
      </c>
      <c r="M54" s="130"/>
      <c r="N54" s="129">
        <v>4578103.2</v>
      </c>
      <c r="O54" s="130"/>
      <c r="P54" s="132">
        <f>J54-N54</f>
        <v>6457735.7700000005</v>
      </c>
    </row>
    <row r="55" spans="1:16" ht="15.75" x14ac:dyDescent="0.25">
      <c r="A55" s="126"/>
      <c r="B55" s="126"/>
      <c r="C55" s="126" t="s">
        <v>151</v>
      </c>
      <c r="D55" s="126"/>
      <c r="E55" s="126"/>
      <c r="F55" s="126"/>
      <c r="G55" s="126"/>
      <c r="H55" s="129">
        <v>26800000</v>
      </c>
      <c r="I55" s="131"/>
      <c r="J55" s="129">
        <v>46486000</v>
      </c>
      <c r="K55" s="130"/>
      <c r="L55" s="132">
        <f>H55-J55</f>
        <v>-19686000</v>
      </c>
      <c r="M55" s="130"/>
      <c r="N55" s="129">
        <v>16827122.640000001</v>
      </c>
      <c r="O55" s="130"/>
      <c r="P55" s="132">
        <f>J55-N55</f>
        <v>29658877.359999999</v>
      </c>
    </row>
    <row r="56" spans="1:16" ht="15.75" x14ac:dyDescent="0.25">
      <c r="A56" s="126"/>
      <c r="B56" s="122" t="s">
        <v>153</v>
      </c>
      <c r="C56" s="126"/>
      <c r="D56" s="126"/>
      <c r="E56" s="126"/>
      <c r="F56" s="126"/>
      <c r="G56" s="126"/>
      <c r="H56" s="131"/>
      <c r="I56" s="131"/>
      <c r="J56" s="131"/>
      <c r="K56" s="130"/>
      <c r="L56" s="130"/>
      <c r="M56" s="130"/>
      <c r="N56" s="131"/>
      <c r="O56" s="130"/>
      <c r="P56" s="130"/>
    </row>
    <row r="57" spans="1:16" ht="15.75" x14ac:dyDescent="0.25">
      <c r="A57" s="126"/>
      <c r="B57" s="126"/>
      <c r="C57" s="126" t="s">
        <v>149</v>
      </c>
      <c r="D57" s="126"/>
      <c r="E57" s="126"/>
      <c r="F57" s="126"/>
      <c r="G57" s="126"/>
      <c r="H57" s="129">
        <v>53662361.899999999</v>
      </c>
      <c r="I57" s="131"/>
      <c r="J57" s="129">
        <v>54027769.729999997</v>
      </c>
      <c r="K57" s="130"/>
      <c r="L57" s="132">
        <f>H57-J57</f>
        <v>-365407.82999999821</v>
      </c>
      <c r="M57" s="130"/>
      <c r="N57" s="129">
        <v>47047731.900000006</v>
      </c>
      <c r="O57" s="130"/>
      <c r="P57" s="132">
        <f>J57-N57</f>
        <v>6980037.8299999908</v>
      </c>
    </row>
    <row r="58" spans="1:16" ht="15.75" x14ac:dyDescent="0.25">
      <c r="A58" s="126"/>
      <c r="B58" s="126"/>
      <c r="C58" s="126" t="s">
        <v>150</v>
      </c>
      <c r="D58" s="126"/>
      <c r="E58" s="126"/>
      <c r="F58" s="126"/>
      <c r="G58" s="126"/>
      <c r="H58" s="129">
        <v>29302211</v>
      </c>
      <c r="I58" s="131"/>
      <c r="J58" s="129">
        <v>37744801.579999998</v>
      </c>
      <c r="K58" s="130"/>
      <c r="L58" s="132">
        <f>H58-J58</f>
        <v>-8442590.5799999982</v>
      </c>
      <c r="M58" s="130"/>
      <c r="N58" s="129">
        <v>25637292.709999997</v>
      </c>
      <c r="O58" s="130"/>
      <c r="P58" s="132">
        <f>J58-N58</f>
        <v>12107508.870000001</v>
      </c>
    </row>
    <row r="59" spans="1:16" ht="15.75" x14ac:dyDescent="0.25">
      <c r="A59" s="126"/>
      <c r="B59" s="126"/>
      <c r="C59" s="126" t="s">
        <v>151</v>
      </c>
      <c r="D59" s="126"/>
      <c r="E59" s="126"/>
      <c r="F59" s="126"/>
      <c r="G59" s="126"/>
      <c r="H59" s="129">
        <v>864000</v>
      </c>
      <c r="I59" s="131"/>
      <c r="J59" s="129">
        <v>864000</v>
      </c>
      <c r="K59" s="130"/>
      <c r="L59" s="132">
        <f>H59-J59</f>
        <v>0</v>
      </c>
      <c r="M59" s="130"/>
      <c r="N59" s="129">
        <v>776348</v>
      </c>
      <c r="O59" s="130"/>
      <c r="P59" s="132">
        <f>J59-N59</f>
        <v>87652</v>
      </c>
    </row>
    <row r="60" spans="1:16" ht="15.75" hidden="1" x14ac:dyDescent="0.25">
      <c r="A60" s="126"/>
      <c r="B60" s="122" t="s">
        <v>154</v>
      </c>
      <c r="C60" s="122"/>
      <c r="D60" s="126"/>
      <c r="E60" s="126"/>
      <c r="F60" s="126"/>
      <c r="G60" s="126"/>
      <c r="H60" s="131"/>
      <c r="I60" s="131"/>
      <c r="J60" s="131"/>
      <c r="K60" s="130"/>
      <c r="L60" s="130"/>
      <c r="M60" s="130"/>
      <c r="N60" s="131"/>
      <c r="O60" s="130"/>
      <c r="P60" s="130"/>
    </row>
    <row r="61" spans="1:16" ht="15.75" hidden="1" x14ac:dyDescent="0.25">
      <c r="A61" s="126"/>
      <c r="B61" s="126"/>
      <c r="C61" s="126" t="s">
        <v>149</v>
      </c>
      <c r="D61" s="126"/>
      <c r="E61" s="126"/>
      <c r="F61" s="126"/>
      <c r="G61" s="126"/>
      <c r="H61" s="131"/>
      <c r="I61" s="131"/>
      <c r="J61" s="131"/>
      <c r="K61" s="130"/>
      <c r="L61" s="132">
        <f>H61-J61</f>
        <v>0</v>
      </c>
      <c r="M61" s="130"/>
      <c r="N61" s="131"/>
      <c r="O61" s="130"/>
      <c r="P61" s="132">
        <f>J61-N61</f>
        <v>0</v>
      </c>
    </row>
    <row r="62" spans="1:16" ht="15.75" hidden="1" x14ac:dyDescent="0.25">
      <c r="A62" s="126"/>
      <c r="B62" s="126"/>
      <c r="C62" s="126" t="s">
        <v>150</v>
      </c>
      <c r="D62" s="126"/>
      <c r="E62" s="126"/>
      <c r="F62" s="126"/>
      <c r="G62" s="126"/>
      <c r="H62" s="131"/>
      <c r="I62" s="131"/>
      <c r="J62" s="131"/>
      <c r="K62" s="130"/>
      <c r="L62" s="132">
        <f>H62-J62</f>
        <v>0</v>
      </c>
      <c r="M62" s="130"/>
      <c r="N62" s="131"/>
      <c r="O62" s="130"/>
      <c r="P62" s="132">
        <f>J62-N62</f>
        <v>0</v>
      </c>
    </row>
    <row r="63" spans="1:16" ht="15.75" hidden="1" x14ac:dyDescent="0.25">
      <c r="A63" s="126"/>
      <c r="B63" s="126"/>
      <c r="C63" s="126" t="s">
        <v>151</v>
      </c>
      <c r="D63" s="126"/>
      <c r="E63" s="126"/>
      <c r="F63" s="126"/>
      <c r="G63" s="126"/>
      <c r="H63" s="131"/>
      <c r="I63" s="131"/>
      <c r="J63" s="131"/>
      <c r="K63" s="130"/>
      <c r="L63" s="132">
        <f>H63-J63</f>
        <v>0</v>
      </c>
      <c r="M63" s="130"/>
      <c r="N63" s="131"/>
      <c r="O63" s="130"/>
      <c r="P63" s="132">
        <f>J63-N63</f>
        <v>0</v>
      </c>
    </row>
    <row r="64" spans="1:16" ht="15.75" hidden="1" x14ac:dyDescent="0.25">
      <c r="A64" s="126"/>
      <c r="B64" s="122" t="s">
        <v>155</v>
      </c>
      <c r="C64" s="122"/>
      <c r="D64" s="126"/>
      <c r="E64" s="126"/>
      <c r="F64" s="126"/>
      <c r="G64" s="126"/>
      <c r="H64" s="131"/>
      <c r="I64" s="131"/>
      <c r="J64" s="131"/>
      <c r="K64" s="130"/>
      <c r="L64" s="130"/>
      <c r="M64" s="130"/>
      <c r="N64" s="131"/>
      <c r="O64" s="130"/>
      <c r="P64" s="130"/>
    </row>
    <row r="65" spans="1:16" ht="15.75" hidden="1" x14ac:dyDescent="0.25">
      <c r="A65" s="126"/>
      <c r="B65" s="126"/>
      <c r="C65" s="126" t="s">
        <v>149</v>
      </c>
      <c r="D65" s="126"/>
      <c r="E65" s="126"/>
      <c r="F65" s="126"/>
      <c r="G65" s="126"/>
      <c r="H65" s="131"/>
      <c r="I65" s="131"/>
      <c r="J65" s="131"/>
      <c r="K65" s="130"/>
      <c r="L65" s="132">
        <f>H65-J65</f>
        <v>0</v>
      </c>
      <c r="M65" s="130"/>
      <c r="N65" s="131"/>
      <c r="O65" s="130"/>
      <c r="P65" s="132">
        <f>J65-N65</f>
        <v>0</v>
      </c>
    </row>
    <row r="66" spans="1:16" ht="15.75" hidden="1" x14ac:dyDescent="0.25">
      <c r="A66" s="126"/>
      <c r="B66" s="126"/>
      <c r="C66" s="126" t="s">
        <v>150</v>
      </c>
      <c r="D66" s="126"/>
      <c r="E66" s="126"/>
      <c r="F66" s="126"/>
      <c r="G66" s="126"/>
      <c r="H66" s="131"/>
      <c r="I66" s="131"/>
      <c r="J66" s="131"/>
      <c r="K66" s="130"/>
      <c r="L66" s="132">
        <f>H66-J66</f>
        <v>0</v>
      </c>
      <c r="M66" s="130"/>
      <c r="N66" s="131"/>
      <c r="O66" s="130"/>
      <c r="P66" s="132">
        <f>J66-N66</f>
        <v>0</v>
      </c>
    </row>
    <row r="67" spans="1:16" ht="15.75" hidden="1" x14ac:dyDescent="0.25">
      <c r="A67" s="126"/>
      <c r="B67" s="126"/>
      <c r="C67" s="126" t="s">
        <v>151</v>
      </c>
      <c r="D67" s="126"/>
      <c r="E67" s="126"/>
      <c r="F67" s="126"/>
      <c r="G67" s="126"/>
      <c r="H67" s="131"/>
      <c r="I67" s="131"/>
      <c r="J67" s="131"/>
      <c r="K67" s="130"/>
      <c r="L67" s="132">
        <f>H67-J67</f>
        <v>0</v>
      </c>
      <c r="M67" s="130"/>
      <c r="N67" s="131"/>
      <c r="O67" s="130"/>
      <c r="P67" s="132">
        <f>J67-N67</f>
        <v>0</v>
      </c>
    </row>
    <row r="68" spans="1:16" ht="15.75" x14ac:dyDescent="0.25">
      <c r="A68" s="126"/>
      <c r="B68" s="122" t="s">
        <v>156</v>
      </c>
      <c r="C68" s="126"/>
      <c r="D68" s="126"/>
      <c r="E68" s="126"/>
      <c r="F68" s="126"/>
      <c r="G68" s="126"/>
      <c r="H68" s="131"/>
      <c r="I68" s="131"/>
      <c r="J68" s="131"/>
      <c r="K68" s="130"/>
      <c r="L68" s="130"/>
      <c r="M68" s="130"/>
      <c r="N68" s="131"/>
      <c r="O68" s="130"/>
      <c r="P68" s="130"/>
    </row>
    <row r="69" spans="1:16" ht="15.75" x14ac:dyDescent="0.25">
      <c r="A69" s="126"/>
      <c r="B69" s="126"/>
      <c r="C69" s="126" t="s">
        <v>149</v>
      </c>
      <c r="D69" s="126"/>
      <c r="E69" s="126"/>
      <c r="F69" s="126"/>
      <c r="G69" s="126"/>
      <c r="H69" s="129">
        <v>16749565.76</v>
      </c>
      <c r="I69" s="131"/>
      <c r="J69" s="129">
        <v>16485149.24</v>
      </c>
      <c r="K69" s="130"/>
      <c r="L69" s="132">
        <f>H69-J69</f>
        <v>264416.51999999955</v>
      </c>
      <c r="M69" s="130"/>
      <c r="N69" s="129">
        <v>14109581.550000001</v>
      </c>
      <c r="O69" s="130"/>
      <c r="P69" s="132">
        <f>J69-N69</f>
        <v>2375567.6899999995</v>
      </c>
    </row>
    <row r="70" spans="1:16" ht="15.75" x14ac:dyDescent="0.25">
      <c r="A70" s="126"/>
      <c r="B70" s="126"/>
      <c r="C70" s="126" t="s">
        <v>150</v>
      </c>
      <c r="D70" s="126"/>
      <c r="E70" s="126"/>
      <c r="F70" s="126"/>
      <c r="G70" s="126"/>
      <c r="H70" s="129">
        <v>26684076.48</v>
      </c>
      <c r="I70" s="131"/>
      <c r="J70" s="129">
        <v>37924585.670000002</v>
      </c>
      <c r="K70" s="130"/>
      <c r="L70" s="132">
        <f>H70-J70</f>
        <v>-11240509.190000001</v>
      </c>
      <c r="M70" s="130"/>
      <c r="N70" s="129">
        <v>35595275.839999996</v>
      </c>
      <c r="O70" s="130"/>
      <c r="P70" s="132">
        <f>J70-N70</f>
        <v>2329309.8300000057</v>
      </c>
    </row>
    <row r="71" spans="1:16" ht="15.75" x14ac:dyDescent="0.25">
      <c r="A71" s="126"/>
      <c r="B71" s="126"/>
      <c r="C71" s="126" t="s">
        <v>151</v>
      </c>
      <c r="D71" s="126"/>
      <c r="E71" s="126"/>
      <c r="F71" s="126"/>
      <c r="G71" s="126"/>
      <c r="H71" s="159">
        <v>120000</v>
      </c>
      <c r="I71" s="131"/>
      <c r="J71" s="159">
        <v>2010000</v>
      </c>
      <c r="K71" s="130"/>
      <c r="L71" s="132">
        <f>H71-J71</f>
        <v>-1890000</v>
      </c>
      <c r="M71" s="130"/>
      <c r="N71" s="160">
        <v>1788696.4</v>
      </c>
      <c r="O71" s="130"/>
      <c r="P71" s="132">
        <f>J71-N71</f>
        <v>221303.60000000009</v>
      </c>
    </row>
    <row r="72" spans="1:16" ht="15.75" x14ac:dyDescent="0.25">
      <c r="A72" s="126"/>
      <c r="B72" s="122" t="s">
        <v>157</v>
      </c>
      <c r="C72" s="122"/>
      <c r="D72" s="126"/>
      <c r="E72" s="126"/>
      <c r="F72" s="126"/>
      <c r="G72" s="126"/>
      <c r="H72" s="131"/>
      <c r="I72" s="131"/>
      <c r="J72" s="131"/>
      <c r="K72" s="130"/>
      <c r="L72" s="130"/>
      <c r="M72" s="130"/>
      <c r="N72" s="131"/>
      <c r="O72" s="130"/>
      <c r="P72" s="130"/>
    </row>
    <row r="73" spans="1:16" ht="15.75" x14ac:dyDescent="0.25">
      <c r="A73" s="126"/>
      <c r="B73" s="126"/>
      <c r="C73" s="126" t="s">
        <v>149</v>
      </c>
      <c r="D73" s="126"/>
      <c r="E73" s="126"/>
      <c r="F73" s="126"/>
      <c r="G73" s="126"/>
      <c r="H73" s="129">
        <v>78418085.239999995</v>
      </c>
      <c r="I73" s="131"/>
      <c r="J73" s="129">
        <v>74912063.900000006</v>
      </c>
      <c r="K73" s="130"/>
      <c r="L73" s="132">
        <f>H73-J73</f>
        <v>3506021.3399999887</v>
      </c>
      <c r="M73" s="130"/>
      <c r="N73" s="129">
        <v>62314376.089999989</v>
      </c>
      <c r="O73" s="130"/>
      <c r="P73" s="132">
        <f>J73-N73</f>
        <v>12597687.810000017</v>
      </c>
    </row>
    <row r="74" spans="1:16" ht="15.75" x14ac:dyDescent="0.25">
      <c r="A74" s="126"/>
      <c r="B74" s="126"/>
      <c r="C74" s="126" t="s">
        <v>150</v>
      </c>
      <c r="D74" s="126"/>
      <c r="E74" s="126"/>
      <c r="F74" s="126"/>
      <c r="G74" s="126"/>
      <c r="H74" s="129">
        <v>142076388.15000001</v>
      </c>
      <c r="I74" s="131"/>
      <c r="J74" s="129">
        <v>151280177.14000002</v>
      </c>
      <c r="K74" s="130"/>
      <c r="L74" s="132">
        <f>H74-J74</f>
        <v>-9203788.9900000095</v>
      </c>
      <c r="M74" s="130"/>
      <c r="N74" s="129">
        <v>119030896.34999999</v>
      </c>
      <c r="O74" s="130"/>
      <c r="P74" s="132">
        <f>J74-N74</f>
        <v>32249280.790000021</v>
      </c>
    </row>
    <row r="75" spans="1:16" ht="15.75" x14ac:dyDescent="0.25">
      <c r="A75" s="126"/>
      <c r="B75" s="126"/>
      <c r="C75" s="126" t="s">
        <v>151</v>
      </c>
      <c r="D75" s="126"/>
      <c r="E75" s="126"/>
      <c r="F75" s="126"/>
      <c r="G75" s="126"/>
      <c r="H75" s="129">
        <v>164165000</v>
      </c>
      <c r="I75" s="131"/>
      <c r="J75" s="129">
        <v>618869818.75999999</v>
      </c>
      <c r="K75" s="130"/>
      <c r="L75" s="132">
        <f>H75-J75</f>
        <v>-454704818.75999999</v>
      </c>
      <c r="M75" s="130"/>
      <c r="N75" s="129">
        <v>55892241.420000002</v>
      </c>
      <c r="O75" s="130"/>
      <c r="P75" s="132">
        <f>J75-N75</f>
        <v>562977577.34000003</v>
      </c>
    </row>
    <row r="76" spans="1:16" ht="15.75" x14ac:dyDescent="0.25">
      <c r="A76" s="126"/>
      <c r="B76" s="122" t="s">
        <v>158</v>
      </c>
      <c r="C76" s="161"/>
      <c r="D76" s="162"/>
      <c r="E76" s="162"/>
      <c r="F76" s="163"/>
      <c r="G76" s="126"/>
      <c r="H76" s="131"/>
      <c r="I76" s="131"/>
      <c r="J76" s="131"/>
      <c r="K76" s="130"/>
      <c r="L76" s="130"/>
      <c r="M76" s="130"/>
      <c r="N76" s="131"/>
      <c r="O76" s="130"/>
      <c r="P76" s="130"/>
    </row>
    <row r="77" spans="1:16" ht="15.75" hidden="1" x14ac:dyDescent="0.25">
      <c r="A77" s="126"/>
      <c r="B77" s="126"/>
      <c r="C77" s="126" t="s">
        <v>159</v>
      </c>
      <c r="D77" s="126"/>
      <c r="E77" s="126"/>
      <c r="F77" s="126"/>
      <c r="G77" s="126"/>
      <c r="H77" s="131"/>
      <c r="I77" s="131"/>
      <c r="J77" s="131"/>
      <c r="K77" s="130"/>
      <c r="L77" s="130"/>
      <c r="M77" s="130"/>
      <c r="N77" s="131"/>
      <c r="O77" s="130"/>
      <c r="P77" s="132"/>
    </row>
    <row r="78" spans="1:16" ht="15.75" hidden="1" x14ac:dyDescent="0.25">
      <c r="A78" s="126"/>
      <c r="B78" s="126"/>
      <c r="C78" s="126"/>
      <c r="D78" s="126" t="s">
        <v>160</v>
      </c>
      <c r="E78" s="126"/>
      <c r="F78" s="126"/>
      <c r="G78" s="126"/>
      <c r="H78" s="131"/>
      <c r="I78" s="131"/>
      <c r="J78" s="131"/>
      <c r="K78" s="130"/>
      <c r="L78" s="132">
        <f>H78-J78</f>
        <v>0</v>
      </c>
      <c r="M78" s="130"/>
      <c r="N78" s="131"/>
      <c r="O78" s="130"/>
      <c r="P78" s="132">
        <f>J78-N78</f>
        <v>0</v>
      </c>
    </row>
    <row r="79" spans="1:16" ht="15.75" x14ac:dyDescent="0.25">
      <c r="A79" s="126"/>
      <c r="B79" s="126"/>
      <c r="C79" s="126" t="s">
        <v>159</v>
      </c>
      <c r="D79" s="126"/>
      <c r="E79" s="126"/>
      <c r="F79" s="126"/>
      <c r="G79" s="126"/>
      <c r="H79" s="129"/>
      <c r="I79" s="131"/>
      <c r="J79" s="129"/>
      <c r="K79" s="130"/>
      <c r="L79" s="132"/>
      <c r="M79" s="130"/>
      <c r="N79" s="129"/>
      <c r="O79" s="130"/>
      <c r="P79" s="132"/>
    </row>
    <row r="80" spans="1:16" ht="15.75" x14ac:dyDescent="0.25">
      <c r="A80" s="126"/>
      <c r="B80" s="126"/>
      <c r="C80" s="126"/>
      <c r="D80" s="126" t="s">
        <v>160</v>
      </c>
      <c r="E80" s="126"/>
      <c r="F80" s="126"/>
      <c r="G80" s="126"/>
      <c r="H80" s="129">
        <v>45965580.939999998</v>
      </c>
      <c r="I80" s="131"/>
      <c r="J80" s="129">
        <v>49108874.439999998</v>
      </c>
      <c r="K80" s="130"/>
      <c r="L80" s="132">
        <f>H80-J80</f>
        <v>-3143293.5</v>
      </c>
      <c r="M80" s="130"/>
      <c r="N80" s="129">
        <v>10687840.5</v>
      </c>
      <c r="O80" s="130"/>
      <c r="P80" s="132">
        <f>J80-N80</f>
        <v>38421033.939999998</v>
      </c>
    </row>
    <row r="81" spans="1:16" ht="15.75" x14ac:dyDescent="0.25">
      <c r="A81" s="126"/>
      <c r="B81" s="126"/>
      <c r="C81" s="126"/>
      <c r="D81" s="126" t="s">
        <v>161</v>
      </c>
      <c r="E81" s="126"/>
      <c r="F81" s="126"/>
      <c r="G81" s="126"/>
      <c r="H81" s="129"/>
      <c r="I81" s="131"/>
      <c r="J81" s="129"/>
      <c r="K81" s="130"/>
      <c r="L81" s="132">
        <v>0</v>
      </c>
      <c r="M81" s="130"/>
      <c r="N81" s="129">
        <v>27653353.720000003</v>
      </c>
      <c r="O81" s="130"/>
      <c r="P81" s="132">
        <f>J81-N81</f>
        <v>-27653353.720000003</v>
      </c>
    </row>
    <row r="82" spans="1:16" ht="15.75" x14ac:dyDescent="0.25">
      <c r="A82" s="126"/>
      <c r="B82" s="126"/>
      <c r="C82" s="126" t="s">
        <v>162</v>
      </c>
      <c r="D82" s="126"/>
      <c r="E82" s="126"/>
      <c r="F82" s="126"/>
      <c r="G82" s="126"/>
      <c r="H82" s="131"/>
      <c r="I82" s="131"/>
      <c r="J82" s="131"/>
      <c r="K82" s="130"/>
      <c r="L82" s="130"/>
      <c r="M82" s="130"/>
      <c r="N82" s="131"/>
      <c r="O82" s="130"/>
      <c r="P82" s="130"/>
    </row>
    <row r="83" spans="1:16" ht="15.75" x14ac:dyDescent="0.25">
      <c r="A83" s="126"/>
      <c r="B83" s="126"/>
      <c r="C83" s="126"/>
      <c r="D83" s="126" t="s">
        <v>150</v>
      </c>
      <c r="E83" s="126"/>
      <c r="F83" s="126"/>
      <c r="G83" s="126"/>
      <c r="H83" s="129">
        <v>29003941.759999998</v>
      </c>
      <c r="I83" s="131"/>
      <c r="J83" s="129">
        <v>58628415.030000001</v>
      </c>
      <c r="K83" s="130"/>
      <c r="L83" s="132">
        <f>H83-J83</f>
        <v>-29624473.270000003</v>
      </c>
      <c r="M83" s="130"/>
      <c r="N83" s="129">
        <v>51789959.030000001</v>
      </c>
      <c r="O83" s="130"/>
      <c r="P83" s="132">
        <f>J83-N83</f>
        <v>6838456</v>
      </c>
    </row>
    <row r="84" spans="1:16" ht="15.75" x14ac:dyDescent="0.25">
      <c r="A84" s="126"/>
      <c r="B84" s="126"/>
      <c r="C84" s="126"/>
      <c r="D84" s="126" t="s">
        <v>151</v>
      </c>
      <c r="E84" s="126"/>
      <c r="F84" s="126"/>
      <c r="G84" s="126"/>
      <c r="H84" s="129">
        <v>26342530.789999999</v>
      </c>
      <c r="I84" s="131"/>
      <c r="J84" s="129">
        <v>14704025.26</v>
      </c>
      <c r="K84" s="130"/>
      <c r="L84" s="132">
        <f>H84-J84</f>
        <v>11638505.529999999</v>
      </c>
      <c r="M84" s="130"/>
      <c r="N84" s="129">
        <v>0</v>
      </c>
      <c r="O84" s="130"/>
      <c r="P84" s="132">
        <f>J84-N84</f>
        <v>14704025.26</v>
      </c>
    </row>
    <row r="85" spans="1:16" ht="15.75" x14ac:dyDescent="0.25">
      <c r="A85" s="126"/>
      <c r="B85" s="126"/>
      <c r="C85" s="126" t="s">
        <v>163</v>
      </c>
      <c r="D85" s="126"/>
      <c r="E85" s="126"/>
      <c r="F85" s="126"/>
      <c r="G85" s="126"/>
      <c r="H85" s="131"/>
      <c r="I85" s="131"/>
      <c r="J85" s="131"/>
      <c r="K85" s="130"/>
      <c r="L85" s="130"/>
      <c r="M85" s="130"/>
      <c r="N85" s="131"/>
      <c r="O85" s="130"/>
      <c r="P85" s="132"/>
    </row>
    <row r="86" spans="1:16" ht="15.75" x14ac:dyDescent="0.25">
      <c r="A86" s="126"/>
      <c r="B86" s="126"/>
      <c r="C86" s="126"/>
      <c r="D86" s="126" t="s">
        <v>150</v>
      </c>
      <c r="E86" s="126"/>
      <c r="F86" s="126"/>
      <c r="G86" s="126"/>
      <c r="H86" s="129"/>
      <c r="I86" s="131"/>
      <c r="J86" s="129"/>
      <c r="K86" s="130"/>
      <c r="L86" s="132">
        <f>H86-J86</f>
        <v>0</v>
      </c>
      <c r="M86" s="130"/>
      <c r="N86" s="129">
        <v>423852.48000000004</v>
      </c>
      <c r="O86" s="130"/>
      <c r="P86" s="132">
        <f>J86-N86</f>
        <v>-423852.48000000004</v>
      </c>
    </row>
    <row r="87" spans="1:16" ht="15.75" x14ac:dyDescent="0.25">
      <c r="A87" s="126"/>
      <c r="B87" s="126"/>
      <c r="C87" s="126"/>
      <c r="D87" s="126" t="s">
        <v>151</v>
      </c>
      <c r="E87" s="126"/>
      <c r="F87" s="126"/>
      <c r="G87" s="126"/>
      <c r="H87" s="129">
        <v>11000000</v>
      </c>
      <c r="I87" s="131"/>
      <c r="J87" s="129">
        <v>195599800</v>
      </c>
      <c r="K87" s="130"/>
      <c r="L87" s="132">
        <f>H87-J87</f>
        <v>-184599800</v>
      </c>
      <c r="M87" s="130"/>
      <c r="N87" s="129">
        <v>132959247.60999998</v>
      </c>
      <c r="O87" s="130"/>
      <c r="P87" s="132">
        <f>J87-N87</f>
        <v>62640552.390000015</v>
      </c>
    </row>
    <row r="88" spans="1:16" ht="15.75" hidden="1" x14ac:dyDescent="0.25">
      <c r="A88" s="126"/>
      <c r="B88" s="126"/>
      <c r="C88" s="126" t="s">
        <v>164</v>
      </c>
      <c r="D88" s="126"/>
      <c r="E88" s="126"/>
      <c r="F88" s="126"/>
      <c r="G88" s="126"/>
      <c r="H88" s="131"/>
      <c r="I88" s="131"/>
      <c r="J88" s="131"/>
      <c r="K88" s="130"/>
      <c r="L88" s="130"/>
      <c r="M88" s="130"/>
      <c r="N88" s="131"/>
      <c r="O88" s="130"/>
      <c r="P88" s="132"/>
    </row>
    <row r="89" spans="1:16" ht="15.75" hidden="1" x14ac:dyDescent="0.25">
      <c r="A89" s="126"/>
      <c r="B89" s="126"/>
      <c r="C89" s="126"/>
      <c r="D89" s="126" t="s">
        <v>150</v>
      </c>
      <c r="E89" s="126"/>
      <c r="F89" s="126"/>
      <c r="G89" s="126"/>
      <c r="H89" s="131"/>
      <c r="I89" s="131"/>
      <c r="J89" s="131"/>
      <c r="K89" s="130"/>
      <c r="L89" s="132">
        <f>H89-J89</f>
        <v>0</v>
      </c>
      <c r="M89" s="130"/>
      <c r="N89" s="131"/>
      <c r="O89" s="130"/>
      <c r="P89" s="132">
        <f>J89-N89</f>
        <v>0</v>
      </c>
    </row>
    <row r="90" spans="1:16" ht="15.75" hidden="1" x14ac:dyDescent="0.25">
      <c r="A90" s="126"/>
      <c r="B90" s="126"/>
      <c r="C90" s="126"/>
      <c r="D90" s="126" t="s">
        <v>151</v>
      </c>
      <c r="E90" s="126"/>
      <c r="F90" s="126"/>
      <c r="G90" s="126"/>
      <c r="H90" s="131"/>
      <c r="I90" s="131"/>
      <c r="J90" s="131"/>
      <c r="K90" s="130"/>
      <c r="L90" s="132">
        <f>H90-J90</f>
        <v>0</v>
      </c>
      <c r="M90" s="130"/>
      <c r="N90" s="131"/>
      <c r="O90" s="130"/>
      <c r="P90" s="132">
        <f>J90-N90</f>
        <v>0</v>
      </c>
    </row>
    <row r="91" spans="1:16" ht="15.75" hidden="1" x14ac:dyDescent="0.25">
      <c r="A91" s="126"/>
      <c r="B91" s="126"/>
      <c r="C91" s="126" t="s">
        <v>165</v>
      </c>
      <c r="D91" s="126"/>
      <c r="E91" s="126"/>
      <c r="F91" s="126"/>
      <c r="G91" s="126"/>
      <c r="H91" s="131"/>
      <c r="I91" s="131"/>
      <c r="J91" s="131"/>
      <c r="K91" s="130"/>
      <c r="L91" s="130"/>
      <c r="M91" s="130"/>
      <c r="N91" s="131"/>
      <c r="O91" s="130"/>
      <c r="P91" s="132"/>
    </row>
    <row r="92" spans="1:16" ht="15.75" hidden="1" x14ac:dyDescent="0.25">
      <c r="A92" s="126"/>
      <c r="B92" s="126"/>
      <c r="C92" s="126" t="s">
        <v>165</v>
      </c>
      <c r="D92" s="126"/>
      <c r="E92" s="126"/>
      <c r="F92" s="126"/>
      <c r="G92" s="126"/>
      <c r="H92" s="131"/>
      <c r="I92" s="131"/>
      <c r="J92" s="131"/>
      <c r="K92" s="130"/>
      <c r="L92" s="132"/>
      <c r="M92" s="130"/>
      <c r="N92" s="131"/>
      <c r="O92" s="130"/>
      <c r="P92" s="132"/>
    </row>
    <row r="93" spans="1:16" ht="15.75" hidden="1" x14ac:dyDescent="0.25">
      <c r="A93" s="126"/>
      <c r="B93" s="126"/>
      <c r="C93" s="126"/>
      <c r="D93" s="126" t="s">
        <v>150</v>
      </c>
      <c r="E93" s="126"/>
      <c r="F93" s="126"/>
      <c r="G93" s="126"/>
      <c r="H93" s="129"/>
      <c r="I93" s="131"/>
      <c r="J93" s="129"/>
      <c r="K93" s="130"/>
      <c r="L93" s="132">
        <f>H93-J93</f>
        <v>0</v>
      </c>
      <c r="M93" s="130"/>
      <c r="N93" s="129"/>
      <c r="O93" s="130"/>
      <c r="P93" s="132">
        <f>J93-N93</f>
        <v>0</v>
      </c>
    </row>
    <row r="94" spans="1:16" ht="15.75" hidden="1" x14ac:dyDescent="0.25">
      <c r="A94" s="126"/>
      <c r="B94" s="126"/>
      <c r="C94" s="126"/>
      <c r="D94" s="126" t="s">
        <v>151</v>
      </c>
      <c r="E94" s="126"/>
      <c r="F94" s="126"/>
      <c r="G94" s="126"/>
      <c r="H94" s="129"/>
      <c r="I94" s="131"/>
      <c r="J94" s="129"/>
      <c r="K94" s="130"/>
      <c r="L94" s="132">
        <f>H94-J94</f>
        <v>0</v>
      </c>
      <c r="M94" s="130"/>
      <c r="N94" s="129"/>
      <c r="O94" s="130"/>
      <c r="P94" s="132">
        <f>J94-N94</f>
        <v>0</v>
      </c>
    </row>
    <row r="95" spans="1:16" ht="15.75" x14ac:dyDescent="0.25">
      <c r="A95" s="126"/>
      <c r="B95" s="126"/>
      <c r="C95" s="126" t="s">
        <v>166</v>
      </c>
      <c r="D95" s="126"/>
      <c r="E95" s="126"/>
      <c r="F95" s="126"/>
      <c r="G95" s="126"/>
      <c r="H95" s="131"/>
      <c r="I95" s="131"/>
      <c r="J95" s="131"/>
      <c r="K95" s="130"/>
      <c r="L95" s="130"/>
      <c r="M95" s="130"/>
      <c r="N95" s="131"/>
      <c r="O95" s="130"/>
      <c r="P95" s="132"/>
    </row>
    <row r="96" spans="1:16" ht="15.75" x14ac:dyDescent="0.25">
      <c r="A96" s="126"/>
      <c r="B96" s="126"/>
      <c r="C96" s="126"/>
      <c r="D96" s="126" t="s">
        <v>167</v>
      </c>
      <c r="E96" s="126"/>
      <c r="F96" s="126"/>
      <c r="G96" s="126"/>
      <c r="H96" s="129">
        <v>2800000</v>
      </c>
      <c r="I96" s="131"/>
      <c r="J96" s="129">
        <v>2800000</v>
      </c>
      <c r="K96" s="130"/>
      <c r="L96" s="132">
        <f t="shared" ref="L96:L101" si="3">H96-J96</f>
        <v>0</v>
      </c>
      <c r="M96" s="130">
        <v>2396000</v>
      </c>
      <c r="N96" s="129">
        <v>2660000</v>
      </c>
      <c r="O96" s="130"/>
      <c r="P96" s="132">
        <f t="shared" ref="P96:P101" si="4">J96-N96</f>
        <v>140000</v>
      </c>
    </row>
    <row r="97" spans="1:16" ht="15.75" x14ac:dyDescent="0.25">
      <c r="A97" s="126"/>
      <c r="B97" s="126"/>
      <c r="C97" s="126"/>
      <c r="D97" s="126" t="s">
        <v>168</v>
      </c>
      <c r="E97" s="126"/>
      <c r="F97" s="126"/>
      <c r="G97" s="126"/>
      <c r="H97" s="129">
        <v>28440000</v>
      </c>
      <c r="I97" s="131"/>
      <c r="J97" s="129">
        <v>28440000</v>
      </c>
      <c r="K97" s="130"/>
      <c r="L97" s="132">
        <f t="shared" si="3"/>
        <v>0</v>
      </c>
      <c r="M97" s="130"/>
      <c r="N97" s="129">
        <v>28440000</v>
      </c>
      <c r="O97" s="130"/>
      <c r="P97" s="132">
        <f t="shared" si="4"/>
        <v>0</v>
      </c>
    </row>
    <row r="98" spans="1:16" ht="15.75" x14ac:dyDescent="0.25">
      <c r="A98" s="126"/>
      <c r="B98" s="126"/>
      <c r="C98" s="126"/>
      <c r="D98" s="126" t="s">
        <v>169</v>
      </c>
      <c r="E98" s="126"/>
      <c r="F98" s="126"/>
      <c r="G98" s="126"/>
      <c r="H98" s="129">
        <v>672389.99</v>
      </c>
      <c r="I98" s="131"/>
      <c r="J98" s="129">
        <v>672389.99</v>
      </c>
      <c r="K98" s="130"/>
      <c r="L98" s="132">
        <f t="shared" si="3"/>
        <v>0</v>
      </c>
      <c r="M98" s="130"/>
      <c r="N98" s="129">
        <v>672292.51</v>
      </c>
      <c r="O98" s="130"/>
      <c r="P98" s="132">
        <f t="shared" si="4"/>
        <v>97.479999999981374</v>
      </c>
    </row>
    <row r="99" spans="1:16" ht="15.75" x14ac:dyDescent="0.25">
      <c r="A99" s="126"/>
      <c r="B99" s="126"/>
      <c r="C99" s="126"/>
      <c r="D99" s="126" t="s">
        <v>170</v>
      </c>
      <c r="E99" s="126"/>
      <c r="F99" s="126"/>
      <c r="G99" s="126"/>
      <c r="H99" s="129"/>
      <c r="I99" s="131"/>
      <c r="J99" s="129">
        <v>44632622.440000005</v>
      </c>
      <c r="K99" s="130"/>
      <c r="L99" s="132">
        <f t="shared" si="3"/>
        <v>-44632622.440000005</v>
      </c>
      <c r="M99" s="130"/>
      <c r="N99" s="129">
        <v>43168829.969999999</v>
      </c>
      <c r="O99" s="130"/>
      <c r="P99" s="132">
        <f t="shared" si="4"/>
        <v>1463792.4700000063</v>
      </c>
    </row>
    <row r="100" spans="1:16" ht="15.75" x14ac:dyDescent="0.25">
      <c r="A100" s="126"/>
      <c r="B100" s="126"/>
      <c r="C100" s="126"/>
      <c r="D100" s="126" t="s">
        <v>171</v>
      </c>
      <c r="E100" s="126"/>
      <c r="F100" s="126"/>
      <c r="G100" s="126"/>
      <c r="H100" s="129"/>
      <c r="I100" s="131"/>
      <c r="J100" s="129">
        <v>15122372.49</v>
      </c>
      <c r="K100" s="130"/>
      <c r="L100" s="132">
        <f t="shared" si="3"/>
        <v>-15122372.49</v>
      </c>
      <c r="M100" s="130"/>
      <c r="N100" s="129">
        <v>15122372.489999998</v>
      </c>
      <c r="O100" s="130"/>
      <c r="P100" s="132">
        <f t="shared" si="4"/>
        <v>0</v>
      </c>
    </row>
    <row r="101" spans="1:16" ht="15.75" hidden="1" x14ac:dyDescent="0.25">
      <c r="A101" s="126"/>
      <c r="B101" s="126"/>
      <c r="C101" s="126"/>
      <c r="D101" s="126" t="s">
        <v>172</v>
      </c>
      <c r="E101" s="126"/>
      <c r="F101" s="126"/>
      <c r="G101" s="126"/>
      <c r="H101" s="130"/>
      <c r="I101" s="131"/>
      <c r="J101" s="130"/>
      <c r="K101" s="130"/>
      <c r="L101" s="132">
        <f t="shared" si="3"/>
        <v>0</v>
      </c>
      <c r="M101" s="130"/>
      <c r="N101" s="130"/>
      <c r="O101" s="130"/>
      <c r="P101" s="132">
        <f t="shared" si="4"/>
        <v>0</v>
      </c>
    </row>
    <row r="102" spans="1:16" ht="15.75" x14ac:dyDescent="0.25">
      <c r="A102" s="126"/>
      <c r="B102" s="126"/>
      <c r="C102" s="122" t="s">
        <v>173</v>
      </c>
      <c r="D102" s="126"/>
      <c r="E102" s="126"/>
      <c r="F102" s="164"/>
      <c r="G102" s="126"/>
      <c r="H102" s="165">
        <f>SUM(H49:H101)</f>
        <v>1237031644.01</v>
      </c>
      <c r="I102" s="166"/>
      <c r="J102" s="165">
        <f>SUM(J49:J101)</f>
        <v>2079244197.1100001</v>
      </c>
      <c r="K102" s="166"/>
      <c r="L102" s="167">
        <f>SUM(L49:L101)</f>
        <v>-842212553.10000014</v>
      </c>
      <c r="M102" s="166"/>
      <c r="N102" s="165">
        <f>SUM(N49:N101)</f>
        <v>1200515258.0699999</v>
      </c>
      <c r="O102" s="166"/>
      <c r="P102" s="167">
        <f>SUM(P49:P101)</f>
        <v>878728939.04000008</v>
      </c>
    </row>
    <row r="103" spans="1:16" ht="15.75" x14ac:dyDescent="0.25">
      <c r="A103" s="122" t="s">
        <v>174</v>
      </c>
      <c r="B103" s="126"/>
      <c r="D103" s="126"/>
      <c r="E103" s="126"/>
      <c r="F103" s="126"/>
      <c r="G103" s="126"/>
      <c r="H103" s="130"/>
      <c r="I103" s="130"/>
      <c r="J103" s="130"/>
      <c r="K103" s="130"/>
      <c r="L103" s="168"/>
      <c r="M103" s="130"/>
      <c r="N103" s="130"/>
      <c r="O103" s="130"/>
      <c r="P103" s="168"/>
    </row>
    <row r="104" spans="1:16" ht="15.75" x14ac:dyDescent="0.25">
      <c r="A104" s="126"/>
      <c r="B104" s="122" t="s">
        <v>148</v>
      </c>
      <c r="C104" s="126"/>
      <c r="D104" s="126"/>
      <c r="E104" s="126"/>
      <c r="F104" s="126"/>
      <c r="G104" s="126"/>
      <c r="H104" s="130"/>
      <c r="I104" s="130"/>
      <c r="J104" s="130"/>
      <c r="K104" s="130"/>
      <c r="L104" s="130"/>
      <c r="M104" s="130"/>
      <c r="N104" s="130"/>
      <c r="O104" s="130"/>
      <c r="P104" s="132"/>
    </row>
    <row r="105" spans="1:16" ht="15.75" x14ac:dyDescent="0.25">
      <c r="A105" s="126"/>
      <c r="B105" s="126"/>
      <c r="C105" s="126" t="s">
        <v>151</v>
      </c>
      <c r="D105" s="126"/>
      <c r="E105" s="126"/>
      <c r="F105" s="126"/>
      <c r="G105" s="126"/>
      <c r="H105" s="131">
        <v>69919676.039999992</v>
      </c>
      <c r="I105" s="131"/>
      <c r="J105" s="131">
        <v>67859676.040000007</v>
      </c>
      <c r="K105" s="130"/>
      <c r="L105" s="132">
        <f>H105-J105</f>
        <v>2059999.9999999851</v>
      </c>
      <c r="M105" s="130"/>
      <c r="N105" s="131">
        <v>45365119.600000001</v>
      </c>
      <c r="O105" s="130"/>
      <c r="P105" s="132">
        <f>J105-N105</f>
        <v>22494556.440000005</v>
      </c>
    </row>
    <row r="106" spans="1:16" ht="15.75" x14ac:dyDescent="0.25">
      <c r="A106" s="126"/>
      <c r="B106" s="122" t="s">
        <v>152</v>
      </c>
      <c r="C106" s="126"/>
      <c r="D106" s="126"/>
      <c r="E106" s="126"/>
      <c r="F106" s="126"/>
      <c r="G106" s="126"/>
      <c r="H106" s="131"/>
      <c r="I106" s="131"/>
      <c r="J106" s="131"/>
      <c r="K106" s="130"/>
      <c r="L106" s="130"/>
      <c r="M106" s="130"/>
      <c r="N106" s="131"/>
      <c r="O106" s="130"/>
      <c r="P106" s="132"/>
    </row>
    <row r="107" spans="1:16" ht="15.75" x14ac:dyDescent="0.25">
      <c r="A107" s="126"/>
      <c r="B107" s="126"/>
      <c r="C107" s="126" t="s">
        <v>151</v>
      </c>
      <c r="D107" s="126"/>
      <c r="E107" s="126"/>
      <c r="F107" s="126"/>
      <c r="G107" s="126"/>
      <c r="H107" s="132">
        <v>43064471.539999999</v>
      </c>
      <c r="I107" s="131"/>
      <c r="J107" s="131">
        <v>36073979.109999999</v>
      </c>
      <c r="K107" s="130"/>
      <c r="L107" s="132">
        <f>H107-J107</f>
        <v>6990492.4299999997</v>
      </c>
      <c r="M107" s="130"/>
      <c r="N107" s="131">
        <v>23902747.530000001</v>
      </c>
      <c r="O107" s="130"/>
      <c r="P107" s="132">
        <f>J107-N107</f>
        <v>12171231.579999998</v>
      </c>
    </row>
    <row r="108" spans="1:16" ht="15.75" x14ac:dyDescent="0.25">
      <c r="A108" s="126"/>
      <c r="B108" s="122" t="s">
        <v>153</v>
      </c>
      <c r="C108" s="126"/>
      <c r="D108" s="126"/>
      <c r="E108" s="126"/>
      <c r="F108" s="126"/>
      <c r="G108" s="126"/>
      <c r="H108" s="131"/>
      <c r="I108" s="131"/>
      <c r="J108" s="131"/>
      <c r="K108" s="130"/>
      <c r="L108" s="130"/>
      <c r="M108" s="130"/>
      <c r="N108" s="131"/>
      <c r="O108" s="130"/>
      <c r="P108" s="132"/>
    </row>
    <row r="109" spans="1:16" ht="15.75" x14ac:dyDescent="0.25">
      <c r="A109" s="126"/>
      <c r="B109" s="126"/>
      <c r="C109" s="126" t="s">
        <v>151</v>
      </c>
      <c r="D109" s="126"/>
      <c r="E109" s="126"/>
      <c r="F109" s="126"/>
      <c r="G109" s="126"/>
      <c r="H109" s="131">
        <v>457920.15</v>
      </c>
      <c r="I109" s="131"/>
      <c r="J109" s="131">
        <v>457920.15</v>
      </c>
      <c r="K109" s="130"/>
      <c r="L109" s="132">
        <f>H109-J109</f>
        <v>0</v>
      </c>
      <c r="M109" s="130"/>
      <c r="N109" s="131">
        <v>144760</v>
      </c>
      <c r="O109" s="130"/>
      <c r="P109" s="132">
        <f>J109-N109</f>
        <v>313160.15000000002</v>
      </c>
    </row>
    <row r="110" spans="1:16" ht="15.75" hidden="1" x14ac:dyDescent="0.25">
      <c r="A110" s="126"/>
      <c r="B110" s="122" t="s">
        <v>154</v>
      </c>
      <c r="C110" s="126"/>
      <c r="D110" s="126"/>
      <c r="E110" s="126"/>
      <c r="F110" s="126"/>
      <c r="G110" s="126"/>
      <c r="H110" s="131"/>
      <c r="I110" s="131"/>
      <c r="J110" s="131"/>
      <c r="K110" s="130"/>
      <c r="L110" s="130"/>
      <c r="M110" s="130"/>
      <c r="N110" s="131"/>
      <c r="O110" s="130"/>
      <c r="P110" s="132"/>
    </row>
    <row r="111" spans="1:16" ht="15.75" hidden="1" x14ac:dyDescent="0.25">
      <c r="A111" s="126"/>
      <c r="B111" s="122"/>
      <c r="C111" s="126" t="s">
        <v>151</v>
      </c>
      <c r="D111" s="126"/>
      <c r="E111" s="126"/>
      <c r="F111" s="126"/>
      <c r="G111" s="126"/>
      <c r="H111" s="131"/>
      <c r="I111" s="131"/>
      <c r="J111" s="131"/>
      <c r="K111" s="130"/>
      <c r="L111" s="132">
        <f>H111-J111</f>
        <v>0</v>
      </c>
      <c r="M111" s="130"/>
      <c r="N111" s="131"/>
      <c r="O111" s="130"/>
      <c r="P111" s="132">
        <f>J111-N111</f>
        <v>0</v>
      </c>
    </row>
    <row r="112" spans="1:16" ht="15.75" x14ac:dyDescent="0.25">
      <c r="A112" s="126"/>
      <c r="B112" s="122" t="s">
        <v>155</v>
      </c>
      <c r="C112" s="126"/>
      <c r="D112" s="126"/>
      <c r="E112" s="126"/>
      <c r="F112" s="126"/>
      <c r="G112" s="126"/>
      <c r="H112" s="131"/>
      <c r="I112" s="131"/>
      <c r="J112" s="131"/>
      <c r="K112" s="130"/>
      <c r="L112" s="130"/>
      <c r="M112" s="130"/>
      <c r="N112" s="131"/>
      <c r="O112" s="130"/>
      <c r="P112" s="132"/>
    </row>
    <row r="113" spans="1:16" ht="15.75" x14ac:dyDescent="0.25">
      <c r="A113" s="126"/>
      <c r="B113" s="122"/>
      <c r="C113" s="126" t="s">
        <v>151</v>
      </c>
      <c r="D113" s="126"/>
      <c r="E113" s="126"/>
      <c r="F113" s="126"/>
      <c r="G113" s="126"/>
      <c r="H113" s="131">
        <v>95000</v>
      </c>
      <c r="I113" s="131"/>
      <c r="J113" s="131">
        <v>95000</v>
      </c>
      <c r="K113" s="130"/>
      <c r="L113" s="132">
        <f>H113-J113</f>
        <v>0</v>
      </c>
      <c r="M113" s="130"/>
      <c r="N113" s="131"/>
      <c r="O113" s="130"/>
      <c r="P113" s="132">
        <f>J113-N113</f>
        <v>95000</v>
      </c>
    </row>
    <row r="114" spans="1:16" ht="15.75" hidden="1" x14ac:dyDescent="0.25">
      <c r="A114" s="126"/>
      <c r="B114" s="122" t="s">
        <v>156</v>
      </c>
      <c r="C114" s="126"/>
      <c r="D114" s="126"/>
      <c r="E114" s="126"/>
      <c r="F114" s="126"/>
      <c r="G114" s="126"/>
      <c r="H114" s="131"/>
      <c r="I114" s="131"/>
      <c r="J114" s="131"/>
      <c r="K114" s="130"/>
      <c r="L114" s="130"/>
      <c r="M114" s="130"/>
      <c r="N114" s="131"/>
      <c r="O114" s="130"/>
      <c r="P114" s="132"/>
    </row>
    <row r="115" spans="1:16" ht="15.75" hidden="1" x14ac:dyDescent="0.25">
      <c r="A115" s="126"/>
      <c r="B115" s="122"/>
      <c r="C115" s="126" t="s">
        <v>151</v>
      </c>
      <c r="D115" s="126"/>
      <c r="E115" s="126"/>
      <c r="F115" s="126"/>
      <c r="G115" s="126"/>
      <c r="H115" s="131"/>
      <c r="I115" s="131"/>
      <c r="J115" s="131"/>
      <c r="K115" s="130"/>
      <c r="L115" s="132">
        <f>H115-J115</f>
        <v>0</v>
      </c>
      <c r="M115" s="130"/>
      <c r="N115" s="131"/>
      <c r="O115" s="130"/>
      <c r="P115" s="132">
        <f>J115-N115</f>
        <v>0</v>
      </c>
    </row>
    <row r="116" spans="1:16" ht="15.75" x14ac:dyDescent="0.25">
      <c r="A116" s="126"/>
      <c r="B116" s="122" t="s">
        <v>157</v>
      </c>
      <c r="C116" s="126"/>
      <c r="D116" s="126"/>
      <c r="E116" s="126"/>
      <c r="F116" s="126"/>
      <c r="G116" s="126"/>
      <c r="H116" s="131"/>
      <c r="I116" s="131"/>
      <c r="J116" s="131"/>
      <c r="K116" s="130"/>
      <c r="L116" s="130"/>
      <c r="M116" s="130"/>
      <c r="N116" s="131"/>
      <c r="O116" s="130"/>
      <c r="P116" s="132"/>
    </row>
    <row r="117" spans="1:16" ht="15.75" hidden="1" x14ac:dyDescent="0.25">
      <c r="A117" s="126"/>
      <c r="B117" s="122"/>
      <c r="C117" s="126" t="s">
        <v>150</v>
      </c>
      <c r="D117" s="126"/>
      <c r="E117" s="126"/>
      <c r="F117" s="126"/>
      <c r="G117" s="126"/>
      <c r="H117" s="131"/>
      <c r="I117" s="131"/>
      <c r="J117" s="131"/>
      <c r="K117" s="130"/>
      <c r="L117" s="131">
        <f>H117-J117</f>
        <v>0</v>
      </c>
      <c r="M117" s="130"/>
      <c r="N117" s="131"/>
      <c r="O117" s="130"/>
      <c r="P117" s="132">
        <f>J117-N117</f>
        <v>0</v>
      </c>
    </row>
    <row r="118" spans="1:16" ht="15.75" x14ac:dyDescent="0.25">
      <c r="A118" s="126"/>
      <c r="B118" s="122"/>
      <c r="C118" s="126" t="s">
        <v>151</v>
      </c>
      <c r="D118" s="126"/>
      <c r="E118" s="126"/>
      <c r="F118" s="126"/>
      <c r="G118" s="126"/>
      <c r="H118" s="131">
        <v>236214592.99000001</v>
      </c>
      <c r="I118" s="131"/>
      <c r="J118" s="131">
        <v>236214592.99000001</v>
      </c>
      <c r="K118" s="130"/>
      <c r="L118" s="131">
        <f>H118-J118</f>
        <v>0</v>
      </c>
      <c r="M118" s="130"/>
      <c r="N118" s="131">
        <v>136831708.68999997</v>
      </c>
      <c r="O118" s="130"/>
      <c r="P118" s="132">
        <f>J118-N118</f>
        <v>99382884.300000042</v>
      </c>
    </row>
    <row r="119" spans="1:16" ht="15.75" x14ac:dyDescent="0.25">
      <c r="A119" s="126"/>
      <c r="B119" s="122" t="s">
        <v>158</v>
      </c>
      <c r="C119" s="126"/>
      <c r="D119" s="126"/>
      <c r="E119" s="126"/>
      <c r="F119" s="126"/>
      <c r="G119" s="126"/>
      <c r="H119" s="131"/>
      <c r="I119" s="131"/>
      <c r="J119" s="131"/>
      <c r="K119" s="130"/>
      <c r="L119" s="130"/>
      <c r="M119" s="130"/>
      <c r="N119" s="131"/>
      <c r="O119" s="130"/>
      <c r="P119" s="132"/>
    </row>
    <row r="120" spans="1:16" ht="15.75" x14ac:dyDescent="0.25">
      <c r="A120" s="126"/>
      <c r="B120" s="122"/>
      <c r="C120" s="126" t="s">
        <v>150</v>
      </c>
      <c r="D120" s="126"/>
      <c r="E120" s="126"/>
      <c r="F120" s="126"/>
      <c r="G120" s="126"/>
      <c r="H120" s="131">
        <v>152063.46000000002</v>
      </c>
      <c r="I120" s="131"/>
      <c r="J120" s="131">
        <v>27218</v>
      </c>
      <c r="K120" s="130"/>
      <c r="L120" s="169">
        <f>H120-J120</f>
        <v>124845.46000000002</v>
      </c>
      <c r="M120" s="130"/>
      <c r="N120" s="131"/>
      <c r="O120" s="130"/>
      <c r="P120" s="132">
        <f>J120-N120</f>
        <v>27218</v>
      </c>
    </row>
    <row r="121" spans="1:16" ht="15.75" x14ac:dyDescent="0.25">
      <c r="A121" s="126"/>
      <c r="B121" s="122"/>
      <c r="C121" s="126" t="s">
        <v>151</v>
      </c>
      <c r="D121" s="126"/>
      <c r="E121" s="126"/>
      <c r="F121" s="126"/>
      <c r="G121" s="126"/>
      <c r="H121" s="170">
        <v>153248978.56999999</v>
      </c>
      <c r="I121" s="170"/>
      <c r="J121" s="170">
        <v>127499918.74999999</v>
      </c>
      <c r="K121" s="134"/>
      <c r="L121" s="170">
        <f>H121-J121</f>
        <v>25749059.820000008</v>
      </c>
      <c r="M121" s="134"/>
      <c r="N121" s="170">
        <v>73978319.00999999</v>
      </c>
      <c r="O121" s="134"/>
      <c r="P121" s="137">
        <f>J121-N121</f>
        <v>53521599.739999995</v>
      </c>
    </row>
    <row r="122" spans="1:16" s="172" customFormat="1" ht="15.75" x14ac:dyDescent="0.25">
      <c r="A122" s="122"/>
      <c r="B122" s="122"/>
      <c r="C122" s="122" t="s">
        <v>175</v>
      </c>
      <c r="D122" s="122"/>
      <c r="E122" s="122"/>
      <c r="F122" s="122"/>
      <c r="G122" s="171"/>
      <c r="H122" s="165">
        <f>SUM(H105:H121)</f>
        <v>503152702.75</v>
      </c>
      <c r="I122" s="165"/>
      <c r="J122" s="165">
        <f>SUM(J105:J121)</f>
        <v>468228305.04000002</v>
      </c>
      <c r="K122" s="165"/>
      <c r="L122" s="165">
        <f>SUM(L105:L121)</f>
        <v>34924397.709999993</v>
      </c>
      <c r="M122" s="165"/>
      <c r="N122" s="165">
        <f>SUM(N105:N121)</f>
        <v>280222654.82999992</v>
      </c>
      <c r="O122" s="165"/>
      <c r="P122" s="167">
        <f>SUM(P105:P121)</f>
        <v>188005650.21000004</v>
      </c>
    </row>
    <row r="123" spans="1:16" ht="15.75" x14ac:dyDescent="0.25">
      <c r="A123" s="122" t="s">
        <v>176</v>
      </c>
      <c r="B123" s="122"/>
      <c r="C123" s="126"/>
      <c r="D123" s="126"/>
      <c r="E123" s="126"/>
      <c r="F123" s="164" t="s">
        <v>102</v>
      </c>
      <c r="G123" s="126"/>
      <c r="H123" s="139">
        <f>H102+H122</f>
        <v>1740184346.76</v>
      </c>
      <c r="I123" s="134"/>
      <c r="J123" s="139">
        <f>J102+J122</f>
        <v>2547472502.1500001</v>
      </c>
      <c r="K123" s="134"/>
      <c r="L123" s="139">
        <f>L102+L122</f>
        <v>-807288155.3900001</v>
      </c>
      <c r="M123" s="134"/>
      <c r="N123" s="139">
        <f>N102+N122</f>
        <v>1480737912.8999999</v>
      </c>
      <c r="O123" s="134"/>
      <c r="P123" s="139">
        <f>P102+P122</f>
        <v>1066734589.2500001</v>
      </c>
    </row>
    <row r="124" spans="1:16" ht="16.5" thickBot="1" x14ac:dyDescent="0.3">
      <c r="A124" s="173" t="s">
        <v>177</v>
      </c>
      <c r="B124" s="174"/>
      <c r="C124" s="174"/>
      <c r="D124" s="174"/>
      <c r="E124" s="174"/>
      <c r="F124" s="164">
        <v>35</v>
      </c>
      <c r="G124" s="174"/>
      <c r="H124" s="175">
        <f>H45-H123</f>
        <v>17102641.99000001</v>
      </c>
      <c r="I124" s="175"/>
      <c r="J124" s="175">
        <f>J45-J123</f>
        <v>20459115.249999523</v>
      </c>
      <c r="K124" s="175">
        <f>+K43-K123</f>
        <v>0</v>
      </c>
      <c r="L124" s="175">
        <f>L45-L123</f>
        <v>-3356473.2599998713</v>
      </c>
      <c r="M124" s="175">
        <f>+M43-M123</f>
        <v>0</v>
      </c>
      <c r="N124" s="175">
        <f>N45-N123</f>
        <v>285993031.77000022</v>
      </c>
      <c r="O124" s="175">
        <f>+O43-O123</f>
        <v>0</v>
      </c>
      <c r="P124" s="175">
        <f>P45-P123</f>
        <v>-265533916.5200001</v>
      </c>
    </row>
    <row r="125" spans="1:16" ht="15.75" thickTop="1" x14ac:dyDescent="0.25"/>
    <row r="126" spans="1:16" ht="15.75" x14ac:dyDescent="0.25">
      <c r="A126" s="218" t="s">
        <v>36</v>
      </c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</row>
    <row r="127" spans="1:16" x14ac:dyDescent="0.25">
      <c r="N127" s="176"/>
    </row>
    <row r="128" spans="1:16" x14ac:dyDescent="0.25">
      <c r="J128" s="177"/>
    </row>
    <row r="129" spans="10:16" x14ac:dyDescent="0.25">
      <c r="J129" s="177"/>
      <c r="N129" s="178"/>
      <c r="P129" s="208"/>
    </row>
    <row r="130" spans="10:16" x14ac:dyDescent="0.25">
      <c r="L130" s="178"/>
    </row>
    <row r="131" spans="10:16" x14ac:dyDescent="0.25">
      <c r="L131" s="178"/>
    </row>
    <row r="132" spans="10:16" x14ac:dyDescent="0.25">
      <c r="L132" s="178"/>
    </row>
    <row r="133" spans="10:16" x14ac:dyDescent="0.25">
      <c r="L133" s="179"/>
    </row>
  </sheetData>
  <sheetProtection algorithmName="SHA-512" hashValue="NdvF5Yq3dHHPHyCKn54FyGbKmD/iAzZusaouYNBYD4zGTibklwHGxlQlnJajJDHG60LalLnUJLQO6nZdDCbb3w==" saltValue="3FIAyS9oAJo3hi+A5ispmQ==" spinCount="100000" sheet="1" objects="1" scenarios="1" selectLockedCells="1" selectUnlockedCells="1"/>
  <mergeCells count="13">
    <mergeCell ref="K8:L8"/>
    <mergeCell ref="K9:L9"/>
    <mergeCell ref="A126:P126"/>
    <mergeCell ref="A1:P1"/>
    <mergeCell ref="A2:P2"/>
    <mergeCell ref="A3:P3"/>
    <mergeCell ref="A4:P4"/>
    <mergeCell ref="A5:P5"/>
    <mergeCell ref="A7:E9"/>
    <mergeCell ref="F7:F9"/>
    <mergeCell ref="G7:J7"/>
    <mergeCell ref="K7:L7"/>
    <mergeCell ref="G8:J8"/>
  </mergeCells>
  <conditionalFormatting sqref="C114:C116">
    <cfRule type="duplicateValues" dxfId="2" priority="3" stopIfTrue="1"/>
  </conditionalFormatting>
  <conditionalFormatting sqref="C114:C115">
    <cfRule type="duplicateValues" dxfId="1" priority="2" stopIfTrue="1"/>
  </conditionalFormatting>
  <conditionalFormatting sqref="C116">
    <cfRule type="duplicateValues" dxfId="0" priority="1" stopIfTrue="1"/>
  </conditionalFormatting>
  <pageMargins left="0.98425196850393704" right="0.98425196850393704" top="1.4960629921259843" bottom="0.98425196850393704" header="0.51181102362204722" footer="0.51181102362204722"/>
  <pageSetup scale="69" firstPageNumber="8" fitToHeight="0" orientation="landscape" useFirstPageNumber="1" horizontalDpi="360" verticalDpi="360" r:id="rId1"/>
  <headerFooter>
    <oddFooter>&amp;C&amp;"Times New Roman,Regular"&amp;12&amp;P</oddFooter>
    <evenFooter>&amp;C&amp;"Times New Roman,Regular"&amp;12 10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SFPO</vt:lpstr>
      <vt:lpstr>SFPER</vt:lpstr>
      <vt:lpstr>SCNAE</vt:lpstr>
      <vt:lpstr>SCF</vt:lpstr>
      <vt:lpstr>SCBAA</vt:lpstr>
      <vt:lpstr>SCBAA!Print_Area</vt:lpstr>
      <vt:lpstr>SCF!Print_Area</vt:lpstr>
      <vt:lpstr>SCNAE!Print_Area</vt:lpstr>
      <vt:lpstr>SFPER!Print_Area</vt:lpstr>
      <vt:lpstr>SFPO!Print_Area</vt:lpstr>
      <vt:lpstr>SCBAA!Print_Titles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City of Panabo, Davao del Norte</dc:creator>
  <cp:lastModifiedBy>Riziel C. Garcia</cp:lastModifiedBy>
  <dcterms:created xsi:type="dcterms:W3CDTF">2015-06-05T18:17:20Z</dcterms:created>
  <dcterms:modified xsi:type="dcterms:W3CDTF">2022-06-28T09:48:16Z</dcterms:modified>
</cp:coreProperties>
</file>