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rimsonRed\Downloads\OneDrive_2024-12-20\Region 11\17_eAAR_CY2023_Panabo City-DdN\AAR\"/>
    </mc:Choice>
  </mc:AlternateContent>
  <xr:revisionPtr revIDLastSave="0" documentId="13_ncr:1_{91E1BA0F-DF6B-4B66-9813-75F676CCD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FPOS" sheetId="2" r:id="rId1"/>
    <sheet name="SFPER" sheetId="3" r:id="rId2"/>
    <sheet name="SCNAE" sheetId="4" r:id="rId3"/>
    <sheet name="SCF" sheetId="5" r:id="rId4"/>
    <sheet name="SCBAA" sheetId="7" r:id="rId5"/>
  </sheets>
  <definedNames>
    <definedName name="_xlnm.Print_Area" localSheetId="4">SCBAA!$A$1:$P$123</definedName>
    <definedName name="_xlnm.Print_Area" localSheetId="3">SCF!$A$1:$F$50</definedName>
    <definedName name="_xlnm.Print_Area" localSheetId="2">SCNAE!$A$1:$E$22</definedName>
    <definedName name="_xlnm.Print_Area" localSheetId="1">SFPER!$A$1:$E$33</definedName>
    <definedName name="_xlnm.Print_Area" localSheetId="0">SFPOS!$A$1:$F$50</definedName>
    <definedName name="_xlnm.Print_Titles" localSheetId="4">SCBAA!$7:$9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4" i="7" l="1"/>
  <c r="L84" i="7"/>
  <c r="J19" i="3" l="1"/>
  <c r="J20" i="3" s="1"/>
  <c r="J21" i="3" s="1"/>
  <c r="L78" i="7" l="1"/>
  <c r="P43" i="7"/>
  <c r="L43" i="7"/>
  <c r="L118" i="7" l="1"/>
  <c r="L115" i="7"/>
  <c r="L106" i="7"/>
  <c r="L104" i="7"/>
  <c r="L102" i="7"/>
  <c r="L97" i="7"/>
  <c r="L96" i="7"/>
  <c r="L95" i="7"/>
  <c r="L94" i="7"/>
  <c r="L93" i="7"/>
  <c r="L83" i="7"/>
  <c r="L81" i="7"/>
  <c r="L80" i="7"/>
  <c r="L77" i="7"/>
  <c r="L74" i="7"/>
  <c r="L73" i="7"/>
  <c r="L72" i="7"/>
  <c r="L70" i="7"/>
  <c r="L69" i="7"/>
  <c r="L68" i="7"/>
  <c r="L58" i="7"/>
  <c r="L57" i="7"/>
  <c r="L56" i="7"/>
  <c r="L54" i="7"/>
  <c r="L53" i="7"/>
  <c r="L52" i="7"/>
  <c r="L50" i="7"/>
  <c r="L49" i="7"/>
  <c r="L48" i="7"/>
  <c r="L28" i="7"/>
  <c r="L26" i="7"/>
  <c r="P19" i="7"/>
  <c r="N119" i="7"/>
  <c r="J119" i="7"/>
  <c r="H119" i="7"/>
  <c r="L119" i="7" l="1"/>
  <c r="L99" i="7"/>
  <c r="H99" i="7" l="1"/>
  <c r="H120" i="7" s="1"/>
  <c r="O121" i="7" l="1"/>
  <c r="M121" i="7"/>
  <c r="K121" i="7"/>
  <c r="P118" i="7"/>
  <c r="P117" i="7"/>
  <c r="P115" i="7"/>
  <c r="P114" i="7"/>
  <c r="P112" i="7"/>
  <c r="P110" i="7"/>
  <c r="P108" i="7"/>
  <c r="P106" i="7"/>
  <c r="P104" i="7"/>
  <c r="P102" i="7"/>
  <c r="N99" i="7"/>
  <c r="N120" i="7" s="1"/>
  <c r="J99" i="7"/>
  <c r="J120" i="7" s="1"/>
  <c r="P98" i="7"/>
  <c r="L120" i="7"/>
  <c r="P97" i="7"/>
  <c r="P96" i="7"/>
  <c r="P95" i="7"/>
  <c r="P94" i="7"/>
  <c r="P93" i="7"/>
  <c r="P91" i="7"/>
  <c r="P90" i="7"/>
  <c r="P87" i="7"/>
  <c r="P86" i="7"/>
  <c r="P83" i="7"/>
  <c r="P81" i="7"/>
  <c r="P80" i="7"/>
  <c r="P78" i="7"/>
  <c r="P77" i="7"/>
  <c r="P74" i="7"/>
  <c r="P73" i="7"/>
  <c r="P72" i="7"/>
  <c r="P70" i="7"/>
  <c r="P69" i="7"/>
  <c r="P68" i="7"/>
  <c r="P66" i="7"/>
  <c r="P65" i="7"/>
  <c r="P64" i="7"/>
  <c r="P62" i="7"/>
  <c r="P61" i="7"/>
  <c r="P60" i="7"/>
  <c r="P58" i="7"/>
  <c r="P57" i="7"/>
  <c r="P56" i="7"/>
  <c r="P54" i="7"/>
  <c r="P53" i="7"/>
  <c r="P52" i="7"/>
  <c r="P50" i="7"/>
  <c r="P49" i="7"/>
  <c r="P48" i="7"/>
  <c r="O44" i="7"/>
  <c r="M44" i="7"/>
  <c r="K44" i="7"/>
  <c r="I44" i="7"/>
  <c r="P41" i="7"/>
  <c r="L41" i="7"/>
  <c r="P40" i="7"/>
  <c r="L40" i="7"/>
  <c r="P39" i="7"/>
  <c r="L39" i="7"/>
  <c r="P38" i="7"/>
  <c r="P37" i="7"/>
  <c r="L37" i="7"/>
  <c r="P36" i="7"/>
  <c r="L36" i="7"/>
  <c r="P35" i="7"/>
  <c r="L35" i="7"/>
  <c r="P33" i="7"/>
  <c r="L33" i="7"/>
  <c r="P32" i="7"/>
  <c r="L32" i="7"/>
  <c r="P31" i="7"/>
  <c r="L31" i="7"/>
  <c r="P29" i="7"/>
  <c r="L29" i="7"/>
  <c r="P28" i="7"/>
  <c r="P26" i="7"/>
  <c r="P24" i="7"/>
  <c r="L24" i="7"/>
  <c r="N22" i="7"/>
  <c r="J22" i="7"/>
  <c r="H22" i="7"/>
  <c r="P21" i="7"/>
  <c r="L21" i="7"/>
  <c r="P20" i="7"/>
  <c r="L20" i="7"/>
  <c r="L19" i="7"/>
  <c r="N17" i="7"/>
  <c r="J17" i="7"/>
  <c r="H17" i="7"/>
  <c r="P16" i="7"/>
  <c r="L16" i="7"/>
  <c r="P15" i="7"/>
  <c r="L15" i="7"/>
  <c r="P14" i="7"/>
  <c r="L14" i="7"/>
  <c r="J42" i="7" l="1"/>
  <c r="J44" i="7" s="1"/>
  <c r="J121" i="7" s="1"/>
  <c r="P119" i="7"/>
  <c r="P17" i="7"/>
  <c r="N42" i="7"/>
  <c r="N44" i="7" s="1"/>
  <c r="N121" i="7" s="1"/>
  <c r="P99" i="7"/>
  <c r="H42" i="7"/>
  <c r="H44" i="7" s="1"/>
  <c r="H121" i="7" s="1"/>
  <c r="L22" i="7"/>
  <c r="P22" i="7"/>
  <c r="L17" i="7"/>
  <c r="P120" i="7" l="1"/>
  <c r="L42" i="7"/>
  <c r="P42" i="7"/>
  <c r="P44" i="7" s="1"/>
  <c r="D15" i="3"/>
  <c r="J15" i="3" s="1"/>
  <c r="L44" i="7" l="1"/>
  <c r="L121" i="7" s="1"/>
  <c r="P121" i="7"/>
  <c r="D22" i="3"/>
  <c r="D24" i="3" l="1"/>
  <c r="D29" i="3" s="1"/>
  <c r="D16" i="4" s="1"/>
  <c r="D17" i="4" s="1"/>
  <c r="D40" i="2" l="1"/>
  <c r="D35" i="2"/>
  <c r="D23" i="2"/>
  <c r="D17" i="2"/>
  <c r="D41" i="2" l="1"/>
  <c r="F40" i="5"/>
  <c r="F37" i="5"/>
  <c r="F32" i="5"/>
  <c r="F29" i="5"/>
  <c r="F24" i="5"/>
  <c r="F17" i="5"/>
  <c r="F25" i="5" l="1"/>
  <c r="F41" i="5"/>
  <c r="F33" i="5"/>
  <c r="D40" i="5"/>
  <c r="D37" i="5"/>
  <c r="D32" i="5"/>
  <c r="D29" i="5"/>
  <c r="D24" i="5"/>
  <c r="D17" i="5"/>
  <c r="E14" i="4"/>
  <c r="H13" i="4"/>
  <c r="G13" i="4"/>
  <c r="H12" i="4"/>
  <c r="H10" i="4"/>
  <c r="H28" i="3"/>
  <c r="F28" i="3"/>
  <c r="H27" i="3"/>
  <c r="F27" i="3"/>
  <c r="H26" i="3"/>
  <c r="F26" i="3"/>
  <c r="E22" i="3"/>
  <c r="H22" i="3" s="1"/>
  <c r="F22" i="3"/>
  <c r="H21" i="3"/>
  <c r="F21" i="3"/>
  <c r="H20" i="3"/>
  <c r="F20" i="3"/>
  <c r="H19" i="3"/>
  <c r="F19" i="3"/>
  <c r="H18" i="3"/>
  <c r="F18" i="3"/>
  <c r="H14" i="3"/>
  <c r="F14" i="3"/>
  <c r="F13" i="3"/>
  <c r="H13" i="3"/>
  <c r="E15" i="3"/>
  <c r="H12" i="3"/>
  <c r="F12" i="3"/>
  <c r="H11" i="3"/>
  <c r="F11" i="3"/>
  <c r="E40" i="2"/>
  <c r="H40" i="2" s="1"/>
  <c r="G40" i="2"/>
  <c r="H39" i="2"/>
  <c r="G39" i="2"/>
  <c r="H38" i="2"/>
  <c r="G38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E35" i="2"/>
  <c r="E23" i="2"/>
  <c r="H22" i="2"/>
  <c r="G22" i="2"/>
  <c r="H21" i="2"/>
  <c r="G21" i="2"/>
  <c r="H20" i="2"/>
  <c r="G20" i="2"/>
  <c r="E17" i="2"/>
  <c r="H17" i="2" s="1"/>
  <c r="G17" i="2"/>
  <c r="H16" i="2"/>
  <c r="G16" i="2"/>
  <c r="H15" i="2"/>
  <c r="G15" i="2"/>
  <c r="H14" i="2"/>
  <c r="G14" i="2"/>
  <c r="H13" i="2"/>
  <c r="G13" i="2"/>
  <c r="H12" i="2"/>
  <c r="G12" i="2"/>
  <c r="D41" i="5" l="1"/>
  <c r="D33" i="5"/>
  <c r="D25" i="5"/>
  <c r="F43" i="5"/>
  <c r="F46" i="5" s="1"/>
  <c r="F52" i="5" s="1"/>
  <c r="E24" i="3"/>
  <c r="E29" i="3" s="1"/>
  <c r="D24" i="2"/>
  <c r="G23" i="2"/>
  <c r="E41" i="2"/>
  <c r="H41" i="2" s="1"/>
  <c r="E24" i="2"/>
  <c r="H23" i="2"/>
  <c r="H14" i="4"/>
  <c r="H24" i="2" l="1"/>
  <c r="D44" i="5"/>
  <c r="H24" i="3"/>
  <c r="D43" i="5"/>
  <c r="G24" i="2"/>
  <c r="F24" i="3"/>
  <c r="E16" i="4"/>
  <c r="H29" i="3"/>
  <c r="F29" i="3"/>
  <c r="G41" i="2"/>
  <c r="D46" i="5" l="1"/>
  <c r="D52" i="5" s="1"/>
  <c r="G16" i="4"/>
  <c r="H16" i="4"/>
  <c r="E17" i="4"/>
  <c r="E18" i="4"/>
  <c r="D10" i="4" l="1"/>
  <c r="D14" i="4" s="1"/>
  <c r="D18" i="4" s="1"/>
  <c r="D44" i="2" s="1"/>
  <c r="G10" i="4" l="1"/>
  <c r="H44" i="2"/>
  <c r="E45" i="2"/>
  <c r="E52" i="2" s="1"/>
  <c r="G14" i="4"/>
  <c r="G44" i="2" l="1"/>
  <c r="D45" i="2"/>
  <c r="D52" i="2" s="1"/>
  <c r="H45" i="2"/>
  <c r="G45" i="2" l="1"/>
</calcChain>
</file>

<file path=xl/sharedStrings.xml><?xml version="1.0" encoding="utf-8"?>
<sst xmlns="http://schemas.openxmlformats.org/spreadsheetml/2006/main" count="267" uniqueCount="181">
  <si>
    <t>City Government of Panabo</t>
  </si>
  <si>
    <t>Province of Davao del Norte</t>
  </si>
  <si>
    <t>STATEMENT OF FINANCIAL POSITION</t>
  </si>
  <si>
    <t>All Funds</t>
  </si>
  <si>
    <t>(In Philippine Peso)</t>
  </si>
  <si>
    <t>Note</t>
  </si>
  <si>
    <t>ASSETS</t>
  </si>
  <si>
    <t>Current Assets</t>
  </si>
  <si>
    <t xml:space="preserve">    Cash and Cash Equivalents</t>
  </si>
  <si>
    <t xml:space="preserve">    Investments</t>
  </si>
  <si>
    <t xml:space="preserve">    Receivables</t>
  </si>
  <si>
    <t xml:space="preserve">    Inventories</t>
  </si>
  <si>
    <t xml:space="preserve">    Prepayments and Deferred Charges</t>
  </si>
  <si>
    <t>Total Current Assets</t>
  </si>
  <si>
    <t xml:space="preserve">    Non-Current Assets</t>
  </si>
  <si>
    <t xml:space="preserve">    Intangible Assets</t>
  </si>
  <si>
    <t>Total Non-Current Assets</t>
  </si>
  <si>
    <t>Total Assets</t>
  </si>
  <si>
    <t>LIABILITIES</t>
  </si>
  <si>
    <t>Current Liabilities</t>
  </si>
  <si>
    <t xml:space="preserve">    Financial Liabilities</t>
  </si>
  <si>
    <t xml:space="preserve">    Inter-Agency Payables</t>
  </si>
  <si>
    <t xml:space="preserve">    Intra-Agency Payables</t>
  </si>
  <si>
    <t xml:space="preserve">    Trust Liabilities</t>
  </si>
  <si>
    <t xml:space="preserve">    Provisions</t>
  </si>
  <si>
    <t xml:space="preserve">    Deferred Credits/Unearned Income</t>
  </si>
  <si>
    <t xml:space="preserve">    Other Payables</t>
  </si>
  <si>
    <t>Total Current Liabilities</t>
  </si>
  <si>
    <t>Non-Current Liabilities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</si>
  <si>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</si>
  <si>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</si>
  <si>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</si>
  <si>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</si>
  <si>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</si>
  <si>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(See accompanying Notes to Financial Statements.)</t>
  </si>
  <si>
    <t>STATEMENT OF FINANCIAL PERFORMANCE</t>
  </si>
  <si>
    <t xml:space="preserve">Revenue </t>
  </si>
  <si>
    <t xml:space="preserve">     Tax Revenue</t>
  </si>
  <si>
    <t xml:space="preserve">     Service and Business Income</t>
  </si>
  <si>
    <t xml:space="preserve">     Shares, Grants and Donations</t>
  </si>
  <si>
    <t>Total Revenue</t>
  </si>
  <si>
    <t>Less: Current Operating Expenses</t>
  </si>
  <si>
    <t xml:space="preserve">      Personnel Services</t>
  </si>
  <si>
    <t xml:space="preserve">      Non-cash Expenses</t>
  </si>
  <si>
    <t xml:space="preserve">      Financial Expenses</t>
  </si>
  <si>
    <t>Current Operating Expenses</t>
  </si>
  <si>
    <t>Surplus (Deficit) from Current Operation</t>
  </si>
  <si>
    <t xml:space="preserve">      Add (Deduct): </t>
  </si>
  <si>
    <t>Transfers, Assistance and Subsidy From</t>
  </si>
  <si>
    <t xml:space="preserve">      Transfers, Assistance and Subsidy To</t>
  </si>
  <si>
    <t xml:space="preserve">      Miscellaneous Income</t>
  </si>
  <si>
    <t>Surplus(Deficit) for the period</t>
  </si>
  <si>
    <t>STATEMENT OF CHANGES IN NET ASSETS/EQUITY</t>
  </si>
  <si>
    <t xml:space="preserve">Balance at January 1 </t>
  </si>
  <si>
    <t>Add (Deduct):</t>
  </si>
  <si>
    <t>Changes in Accounting Policy</t>
  </si>
  <si>
    <t>Prior Period Errors</t>
  </si>
  <si>
    <t>Restated Balance</t>
  </si>
  <si>
    <t>Add (Deduct) Changes in net assets/equity during the year</t>
  </si>
  <si>
    <t>Surplus (Deficit) for the period</t>
  </si>
  <si>
    <t>Total changes during the year</t>
  </si>
  <si>
    <t>STATEMENT OF CASH FLOWS</t>
  </si>
  <si>
    <t>Cash Flows from Operating Activities</t>
  </si>
  <si>
    <t>Cash Inflows</t>
  </si>
  <si>
    <t xml:space="preserve">     Share from Internal Revenue Allotment</t>
  </si>
  <si>
    <t xml:space="preserve">     Interest Income</t>
  </si>
  <si>
    <t xml:space="preserve">     Other Receipts</t>
  </si>
  <si>
    <t xml:space="preserve">    Total Cash Inflows</t>
  </si>
  <si>
    <t>Cash Outflows</t>
  </si>
  <si>
    <t xml:space="preserve">    Interest Expense</t>
  </si>
  <si>
    <t xml:space="preserve">    Total Cash Outflows</t>
  </si>
  <si>
    <t>Net Cash Flows from Operating Activities</t>
  </si>
  <si>
    <t>Cash Flow from Investing Activities</t>
  </si>
  <si>
    <t xml:space="preserve">Cash Inflows </t>
  </si>
  <si>
    <t xml:space="preserve">     Proceeds from Sale/Disposal of PPE</t>
  </si>
  <si>
    <t xml:space="preserve">     Total Cash Inflows</t>
  </si>
  <si>
    <t>Purchase/Construction of PPE</t>
  </si>
  <si>
    <t>Net Cash Flows from  Investing Activities</t>
  </si>
  <si>
    <t>Cash Flows from Financing Activities</t>
  </si>
  <si>
    <t>Proceeds from Domestic Loans</t>
  </si>
  <si>
    <t>Payment of Long-Term Liabilities</t>
  </si>
  <si>
    <t>Total Cash Provided by Operating, Investing</t>
  </si>
  <si>
    <t xml:space="preserve">               and Financing Activities</t>
  </si>
  <si>
    <t>Add: Cash at the Beginning of the year</t>
  </si>
  <si>
    <t>Adjustment to prior year cash balance</t>
  </si>
  <si>
    <t>Cash Balance at the End of the Year</t>
  </si>
  <si>
    <t xml:space="preserve"> </t>
  </si>
  <si>
    <t xml:space="preserve">City Government of Panabo </t>
  </si>
  <si>
    <t>STATEMENT OF COMPARISON OF BUDGET AND ACTUAL AMOUNTS</t>
  </si>
  <si>
    <t>PARTICULARS</t>
  </si>
  <si>
    <t xml:space="preserve">Budgeted </t>
  </si>
  <si>
    <t xml:space="preserve">Difference </t>
  </si>
  <si>
    <t>Amounts</t>
  </si>
  <si>
    <t>Original and</t>
  </si>
  <si>
    <t>Actual</t>
  </si>
  <si>
    <t xml:space="preserve">Final Budget </t>
  </si>
  <si>
    <t>Original</t>
  </si>
  <si>
    <t>Final</t>
  </si>
  <si>
    <t>and Actual</t>
  </si>
  <si>
    <t>Revenue</t>
  </si>
  <si>
    <t xml:space="preserve">A.  Local Sources </t>
  </si>
  <si>
    <t>1.  Tax Revenue</t>
  </si>
  <si>
    <t>a.  Tax Revenue - Property</t>
  </si>
  <si>
    <t>b. 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</si>
  <si>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</si>
  <si>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</si>
  <si>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</si>
  <si>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</si>
  <si>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</si>
  <si>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</si>
  <si>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</si>
  <si>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</si>
  <si>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</si>
  <si>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 Share from GOCCs</t>
  </si>
  <si>
    <t>a. Share from PCSO</t>
  </si>
  <si>
    <t>3.  Other Shares from National Tax Collections</t>
  </si>
  <si>
    <t>a. Share from Ecozone</t>
  </si>
  <si>
    <t>b.  Share from National Wealth</t>
  </si>
  <si>
    <t>a.  Grants and Donations</t>
  </si>
  <si>
    <t>b.  Other Subsidy Income</t>
  </si>
  <si>
    <t>a.  Sale of Capital Assets</t>
  </si>
  <si>
    <t>b.  Sale of Investments</t>
  </si>
  <si>
    <t>c.  Proceeds from Collections of Loan Receivable</t>
  </si>
  <si>
    <t>C. Receipts from Borrowings</t>
  </si>
  <si>
    <t>a. Grants and Donations</t>
  </si>
  <si>
    <t>b. Other Subsidy Income</t>
  </si>
  <si>
    <t>Total Revenue and Receipts</t>
  </si>
  <si>
    <t>Continuing Appropriations</t>
  </si>
  <si>
    <t xml:space="preserve">Grand Total Revenue and Receipts </t>
  </si>
  <si>
    <t xml:space="preserve">Expenditures </t>
  </si>
  <si>
    <t>Current Aprropriations</t>
  </si>
  <si>
    <t>General Public Services</t>
  </si>
  <si>
    <t>Personnel Services</t>
  </si>
  <si>
    <t>Maintenance and Other Operating Expenses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</si>
  <si>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</si>
  <si>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</si>
  <si>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</si>
  <si>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</si>
  <si>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</si>
  <si>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</si>
  <si>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</si>
  <si>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</si>
  <si>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</si>
  <si>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</si>
  <si>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</si>
  <si>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</si>
  <si>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</si>
  <si>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Share from National Wealth</t>
  </si>
  <si>
    <t>Allocation for Senior Citizens and PWD</t>
  </si>
  <si>
    <t>Others</t>
  </si>
  <si>
    <t>Aid to Barangays</t>
  </si>
  <si>
    <t>Confidential Fund</t>
  </si>
  <si>
    <t>2% Discretionary Fund</t>
  </si>
  <si>
    <t>MPBF</t>
  </si>
  <si>
    <t>Subsidy to Economic Enterprise/Special Accounts</t>
  </si>
  <si>
    <t>Subsidy to Other Funds</t>
  </si>
  <si>
    <t>Total Current Approrpiations</t>
  </si>
  <si>
    <t>Continuing Aprropriations</t>
  </si>
  <si>
    <t>Total Continuing Approrpiations</t>
  </si>
  <si>
    <t>Total Appropriations</t>
  </si>
  <si>
    <t xml:space="preserve">Surplus (Deficit) for the current period </t>
  </si>
  <si>
    <t xml:space="preserve">    Other Expenses</t>
  </si>
  <si>
    <t>4.  Other Receipts</t>
  </si>
  <si>
    <t>5.  Inter-local Transfer</t>
  </si>
  <si>
    <t>6.  Capital /Investment Receipts</t>
  </si>
  <si>
    <t>Balance at December 31, 2022</t>
  </si>
  <si>
    <t>As at December 31, 2023</t>
  </si>
  <si>
    <t>(With Comparative Figures for CY 2022)</t>
  </si>
  <si>
    <t>For the Year Ended December 31, 2023</t>
  </si>
  <si>
    <t xml:space="preserve">    Property, Plant and Equipment</t>
  </si>
  <si>
    <t xml:space="preserve">    Investment Property</t>
  </si>
  <si>
    <t>11,12</t>
  </si>
  <si>
    <t>C. Receipts from Grants, Donations and Subsidy</t>
  </si>
  <si>
    <t>19, 26</t>
  </si>
  <si>
    <t xml:space="preserve">     Collection from Taxpayers</t>
  </si>
  <si>
    <t xml:space="preserve">     Receipts from Business/Service Income</t>
  </si>
  <si>
    <t>Payments to Employees</t>
  </si>
  <si>
    <t>Payment of Expenses</t>
  </si>
  <si>
    <t>Payments to Suppliers and Creditors</t>
  </si>
  <si>
    <t xml:space="preserve"> Share from National Taxes</t>
  </si>
  <si>
    <t xml:space="preserve">  Maintenance &amp; Other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</si>
</sst>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#,##0.00_ ;\-#,##0.00\ "/>
    <numFmt numFmtId="166" formatCode="#,##0.00;[Black]\(#,##0.00\)"/>
    <numFmt numFmtId="167" formatCode="#,##0.0000000_);\(#,##0.0000000\)"/>
    <numFmt numFmtId="168" formatCode="#,##0.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C00000"/>
      <name val="Times New Roman"/>
      <family val="1"/>
    </font>
    <font>
      <sz val="12"/>
      <name val="Times New Roman"/>
      <family val="1"/>
    </font>
    <font>
      <sz val="11"/>
      <color theme="0" tint="-0.249977111117893"/>
      <name val="Calibri"/>
      <family val="2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b/>
      <sz val="11"/>
      <color theme="0" tint="-0.249977111117893"/>
      <name val="Times New Roman"/>
      <family val="1"/>
    </font>
    <font>
      <sz val="10"/>
      <color theme="1"/>
      <name val="Verdana"/>
      <family val="2"/>
    </font>
    <font>
      <sz val="10"/>
      <color theme="0" tint="-0.249977111117893"/>
      <name val="Verdana"/>
      <family val="2"/>
    </font>
    <font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0" tint="-0.1499984740745262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0" tint="-0.1499984740745262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2">
    <xf numFmtId="0" fontId="0" fillId="0" borderId="0" xfId="0"/>
    <xf numFmtId="0" fontId="2" fillId="0" borderId="0" xfId="0" applyFont="1"/>
    <xf numFmtId="0" fontId="7" fillId="0" borderId="0" xfId="0" applyFont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2" applyFont="1" applyAlignment="1">
      <alignment horizontal="right" vertical="center" wrapText="1"/>
    </xf>
    <xf numFmtId="164" fontId="7" fillId="0" borderId="0" xfId="2" applyFont="1" applyBorder="1" applyAlignment="1">
      <alignment horizontal="right" vertical="center" wrapText="1"/>
    </xf>
    <xf numFmtId="43" fontId="0" fillId="0" borderId="0" xfId="0" applyNumberFormat="1"/>
    <xf numFmtId="43" fontId="2" fillId="0" borderId="0" xfId="0" applyNumberFormat="1" applyFont="1"/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64" fontId="7" fillId="0" borderId="1" xfId="2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164" fontId="8" fillId="0" borderId="2" xfId="2" applyFont="1" applyBorder="1" applyAlignment="1">
      <alignment horizontal="right" vertical="center" wrapText="1"/>
    </xf>
    <xf numFmtId="164" fontId="8" fillId="0" borderId="0" xfId="2" applyFont="1" applyBorder="1" applyAlignment="1">
      <alignment horizontal="right" vertical="center" wrapText="1"/>
    </xf>
    <xf numFmtId="164" fontId="0" fillId="0" borderId="0" xfId="0" applyNumberFormat="1"/>
    <xf numFmtId="164" fontId="12" fillId="0" borderId="0" xfId="0" applyNumberFormat="1" applyFont="1"/>
    <xf numFmtId="0" fontId="12" fillId="0" borderId="0" xfId="0" applyFont="1"/>
    <xf numFmtId="43" fontId="1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164" fontId="7" fillId="0" borderId="1" xfId="2" applyFont="1" applyFill="1" applyBorder="1" applyAlignment="1">
      <alignment horizontal="right" vertical="center" wrapText="1"/>
    </xf>
    <xf numFmtId="164" fontId="7" fillId="0" borderId="0" xfId="2" applyFont="1" applyFill="1" applyBorder="1" applyAlignment="1">
      <alignment horizontal="right" vertical="center" wrapText="1"/>
    </xf>
    <xf numFmtId="43" fontId="13" fillId="0" borderId="0" xfId="0" applyNumberFormat="1" applyFont="1" applyAlignment="1">
      <alignment horizontal="left" vertical="center" wrapText="1"/>
    </xf>
    <xf numFmtId="4" fontId="15" fillId="0" borderId="0" xfId="0" applyNumberFormat="1" applyFont="1"/>
    <xf numFmtId="4" fontId="16" fillId="0" borderId="0" xfId="0" applyNumberFormat="1" applyFont="1"/>
    <xf numFmtId="4" fontId="17" fillId="0" borderId="0" xfId="0" applyNumberFormat="1" applyFont="1"/>
    <xf numFmtId="164" fontId="8" fillId="0" borderId="3" xfId="2" applyFont="1" applyBorder="1" applyAlignment="1">
      <alignment horizontal="right" vertical="center" wrapText="1"/>
    </xf>
    <xf numFmtId="43" fontId="14" fillId="0" borderId="0" xfId="0" applyNumberFormat="1" applyFont="1"/>
    <xf numFmtId="164" fontId="14" fillId="0" borderId="0" xfId="0" applyNumberFormat="1" applyFont="1"/>
    <xf numFmtId="10" fontId="13" fillId="0" borderId="0" xfId="1" applyNumberFormat="1" applyFont="1" applyBorder="1"/>
    <xf numFmtId="10" fontId="14" fillId="0" borderId="0" xfId="1" applyNumberFormat="1" applyFont="1" applyBorder="1"/>
    <xf numFmtId="0" fontId="8" fillId="0" borderId="0" xfId="0" applyFont="1" applyAlignment="1">
      <alignment horizontal="left" vertical="center" wrapText="1"/>
    </xf>
    <xf numFmtId="43" fontId="14" fillId="0" borderId="0" xfId="0" applyNumberFormat="1" applyFont="1" applyAlignment="1">
      <alignment horizontal="left" vertical="center" wrapText="1"/>
    </xf>
    <xf numFmtId="164" fontId="15" fillId="0" borderId="0" xfId="2" applyFont="1" applyFill="1" applyBorder="1" applyAlignment="1">
      <alignment horizontal="right" vertical="center" wrapText="1"/>
    </xf>
    <xf numFmtId="43" fontId="12" fillId="0" borderId="0" xfId="0" applyNumberFormat="1" applyFont="1"/>
    <xf numFmtId="164" fontId="8" fillId="0" borderId="1" xfId="2" applyFont="1" applyBorder="1" applyAlignment="1">
      <alignment horizontal="right" vertical="center" wrapText="1"/>
    </xf>
    <xf numFmtId="164" fontId="7" fillId="0" borderId="0" xfId="2" applyFont="1" applyAlignment="1">
      <alignment vertical="center" wrapText="1"/>
    </xf>
    <xf numFmtId="164" fontId="7" fillId="0" borderId="0" xfId="2" applyFont="1" applyBorder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164" fontId="8" fillId="0" borderId="4" xfId="2" applyFont="1" applyBorder="1" applyAlignment="1">
      <alignment horizontal="right" vertical="center" wrapText="1"/>
    </xf>
    <xf numFmtId="0" fontId="18" fillId="0" borderId="0" xfId="0" applyFont="1"/>
    <xf numFmtId="0" fontId="20" fillId="0" borderId="0" xfId="0" applyFont="1"/>
    <xf numFmtId="0" fontId="7" fillId="0" borderId="0" xfId="0" applyFont="1" applyAlignment="1">
      <alignment horizontal="left" vertical="center" wrapText="1" indent="2"/>
    </xf>
    <xf numFmtId="165" fontId="0" fillId="0" borderId="0" xfId="0" applyNumberFormat="1"/>
    <xf numFmtId="39" fontId="7" fillId="0" borderId="0" xfId="2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43" fontId="3" fillId="0" borderId="0" xfId="0" applyNumberFormat="1" applyFont="1" applyAlignment="1">
      <alignment horizontal="center"/>
    </xf>
    <xf numFmtId="164" fontId="0" fillId="0" borderId="0" xfId="2" applyFont="1" applyBorder="1" applyAlignment="1">
      <alignment horizontal="right"/>
    </xf>
    <xf numFmtId="164" fontId="0" fillId="0" borderId="0" xfId="2" applyFont="1" applyBorder="1"/>
    <xf numFmtId="0" fontId="21" fillId="0" borderId="0" xfId="0" applyFont="1" applyAlignment="1">
      <alignment horizontal="center" vertical="center" wrapText="1"/>
    </xf>
    <xf numFmtId="39" fontId="8" fillId="0" borderId="2" xfId="2" applyNumberFormat="1" applyFont="1" applyBorder="1" applyAlignment="1">
      <alignment horizontal="right" vertical="center" wrapText="1"/>
    </xf>
    <xf numFmtId="164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3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 wrapText="1" indent="3"/>
    </xf>
    <xf numFmtId="43" fontId="0" fillId="0" borderId="0" xfId="0" applyNumberFormat="1" applyAlignment="1">
      <alignment horizontal="left"/>
    </xf>
    <xf numFmtId="164" fontId="3" fillId="0" borderId="0" xfId="2" applyFont="1" applyBorder="1"/>
    <xf numFmtId="39" fontId="7" fillId="0" borderId="1" xfId="2" applyNumberFormat="1" applyFont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7" fillId="0" borderId="0" xfId="0" applyFont="1" applyAlignment="1">
      <alignment vertical="center" wrapText="1"/>
    </xf>
    <xf numFmtId="39" fontId="8" fillId="0" borderId="3" xfId="2" applyNumberFormat="1" applyFont="1" applyBorder="1" applyAlignment="1">
      <alignment vertical="center" wrapText="1"/>
    </xf>
    <xf numFmtId="164" fontId="8" fillId="0" borderId="3" xfId="2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43" fontId="3" fillId="0" borderId="0" xfId="0" applyNumberFormat="1" applyFont="1"/>
    <xf numFmtId="164" fontId="0" fillId="0" borderId="0" xfId="2" applyFont="1"/>
    <xf numFmtId="39" fontId="20" fillId="0" borderId="0" xfId="2" applyNumberFormat="1" applyFont="1"/>
    <xf numFmtId="164" fontId="20" fillId="0" borderId="0" xfId="2" applyFont="1"/>
    <xf numFmtId="2" fontId="7" fillId="0" borderId="0" xfId="2" applyNumberFormat="1" applyFont="1" applyAlignment="1">
      <alignment horizontal="right" vertical="center" wrapText="1"/>
    </xf>
    <xf numFmtId="164" fontId="8" fillId="0" borderId="0" xfId="2" applyFont="1" applyFill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2"/>
    </xf>
    <xf numFmtId="164" fontId="8" fillId="0" borderId="1" xfId="2" applyFont="1" applyBorder="1" applyAlignment="1">
      <alignment vertical="center"/>
    </xf>
    <xf numFmtId="0" fontId="8" fillId="0" borderId="1" xfId="0" applyFont="1" applyBorder="1" applyAlignment="1">
      <alignment horizontal="justify" vertical="center" wrapText="1"/>
    </xf>
    <xf numFmtId="0" fontId="9" fillId="0" borderId="0" xfId="0" applyFont="1" applyAlignment="1">
      <alignment horizontal="left" vertical="center" wrapText="1"/>
    </xf>
    <xf numFmtId="164" fontId="7" fillId="0" borderId="0" xfId="2" applyFont="1" applyAlignment="1">
      <alignment horizontal="center" vertical="center" wrapText="1"/>
    </xf>
    <xf numFmtId="164" fontId="7" fillId="0" borderId="0" xfId="2" applyFont="1" applyBorder="1" applyAlignment="1">
      <alignment horizontal="center" vertical="center" wrapText="1"/>
    </xf>
    <xf numFmtId="164" fontId="8" fillId="0" borderId="0" xfId="2" applyFont="1" applyAlignment="1">
      <alignment horizontal="right" vertical="center" wrapText="1"/>
    </xf>
    <xf numFmtId="164" fontId="7" fillId="0" borderId="0" xfId="2" applyFont="1" applyFill="1" applyAlignment="1">
      <alignment horizontal="right" vertical="center" wrapText="1"/>
    </xf>
    <xf numFmtId="164" fontId="8" fillId="0" borderId="5" xfId="2" applyFont="1" applyBorder="1" applyAlignment="1">
      <alignment horizontal="right" vertical="center" wrapText="1"/>
    </xf>
    <xf numFmtId="0" fontId="8" fillId="0" borderId="0" xfId="0" applyFont="1" applyAlignment="1">
      <alignment horizontal="left" wrapText="1"/>
    </xf>
    <xf numFmtId="39" fontId="8" fillId="0" borderId="0" xfId="2" applyNumberFormat="1" applyFont="1" applyAlignment="1">
      <alignment horizontal="right" vertical="center" wrapText="1"/>
    </xf>
    <xf numFmtId="39" fontId="7" fillId="0" borderId="1" xfId="2" applyNumberFormat="1" applyFont="1" applyFill="1" applyBorder="1" applyAlignment="1">
      <alignment horizontal="right" vertical="center" wrapText="1"/>
    </xf>
    <xf numFmtId="39" fontId="8" fillId="0" borderId="0" xfId="2" applyNumberFormat="1" applyFont="1" applyBorder="1" applyAlignment="1">
      <alignment vertical="center" wrapText="1"/>
    </xf>
    <xf numFmtId="164" fontId="8" fillId="0" borderId="0" xfId="2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3"/>
    </xf>
    <xf numFmtId="164" fontId="20" fillId="0" borderId="0" xfId="2" applyFont="1" applyBorder="1"/>
    <xf numFmtId="164" fontId="22" fillId="0" borderId="0" xfId="2" applyFont="1"/>
    <xf numFmtId="164" fontId="22" fillId="0" borderId="0" xfId="2" applyFont="1" applyBorder="1"/>
    <xf numFmtId="164" fontId="3" fillId="0" borderId="0" xfId="2" applyFont="1"/>
    <xf numFmtId="166" fontId="7" fillId="0" borderId="0" xfId="2" applyNumberFormat="1" applyFont="1" applyAlignment="1">
      <alignment horizontal="right" vertical="center" wrapText="1"/>
    </xf>
    <xf numFmtId="166" fontId="7" fillId="0" borderId="0" xfId="2" applyNumberFormat="1" applyFont="1" applyFill="1" applyAlignment="1">
      <alignment horizontal="right" vertical="center" wrapText="1"/>
    </xf>
    <xf numFmtId="43" fontId="20" fillId="0" borderId="0" xfId="0" applyNumberFormat="1" applyFont="1"/>
    <xf numFmtId="0" fontId="12" fillId="0" borderId="0" xfId="0" applyFont="1" applyAlignment="1">
      <alignment wrapText="1"/>
    </xf>
    <xf numFmtId="164" fontId="7" fillId="0" borderId="1" xfId="4" applyNumberFormat="1" applyFont="1" applyFill="1" applyBorder="1" applyAlignment="1">
      <alignment horizontal="right" vertical="center" wrapText="1"/>
    </xf>
    <xf numFmtId="166" fontId="8" fillId="0" borderId="0" xfId="2" applyNumberFormat="1" applyFont="1" applyAlignment="1">
      <alignment horizontal="right" vertical="center" wrapText="1"/>
    </xf>
    <xf numFmtId="166" fontId="8" fillId="0" borderId="0" xfId="2" applyNumberFormat="1" applyFont="1" applyBorder="1" applyAlignment="1">
      <alignment horizontal="right" vertical="center" wrapText="1"/>
    </xf>
    <xf numFmtId="166" fontId="8" fillId="0" borderId="0" xfId="4" applyNumberFormat="1" applyFont="1" applyAlignment="1">
      <alignment horizontal="right" vertical="center" wrapText="1"/>
    </xf>
    <xf numFmtId="166" fontId="7" fillId="0" borderId="0" xfId="2" applyNumberFormat="1" applyFont="1" applyBorder="1" applyAlignment="1">
      <alignment horizontal="right" vertical="center" wrapText="1"/>
    </xf>
    <xf numFmtId="164" fontId="8" fillId="0" borderId="2" xfId="2" applyFont="1" applyFill="1" applyBorder="1" applyAlignment="1">
      <alignment horizontal="right" vertical="center" wrapText="1"/>
    </xf>
    <xf numFmtId="2" fontId="20" fillId="0" borderId="0" xfId="0" applyNumberFormat="1" applyFont="1"/>
    <xf numFmtId="39" fontId="7" fillId="0" borderId="0" xfId="2" applyNumberFormat="1" applyFont="1" applyFill="1" applyAlignment="1">
      <alignment horizontal="right" vertical="center" wrapText="1"/>
    </xf>
    <xf numFmtId="39" fontId="7" fillId="0" borderId="0" xfId="2" applyNumberFormat="1" applyFont="1" applyFill="1" applyBorder="1" applyAlignment="1">
      <alignment horizontal="right" vertical="center" wrapText="1"/>
    </xf>
    <xf numFmtId="39" fontId="11" fillId="0" borderId="0" xfId="2" applyNumberFormat="1" applyFont="1" applyFill="1" applyBorder="1" applyAlignment="1">
      <alignment horizontal="right" vertical="center" wrapText="1"/>
    </xf>
    <xf numFmtId="39" fontId="8" fillId="0" borderId="2" xfId="2" applyNumberFormat="1" applyFont="1" applyFill="1" applyBorder="1" applyAlignment="1">
      <alignment horizontal="right" vertical="center" wrapText="1"/>
    </xf>
    <xf numFmtId="39" fontId="11" fillId="0" borderId="0" xfId="2" applyNumberFormat="1" applyFont="1" applyFill="1" applyAlignment="1">
      <alignment horizontal="right" vertical="center" wrapText="1"/>
    </xf>
    <xf numFmtId="164" fontId="11" fillId="0" borderId="0" xfId="2" applyFont="1" applyFill="1" applyAlignment="1">
      <alignment horizontal="right" vertical="center" wrapText="1"/>
    </xf>
    <xf numFmtId="43" fontId="25" fillId="0" borderId="0" xfId="0" applyNumberFormat="1" applyFont="1"/>
    <xf numFmtId="0" fontId="25" fillId="0" borderId="0" xfId="0" applyFont="1"/>
    <xf numFmtId="166" fontId="7" fillId="0" borderId="1" xfId="2" applyNumberFormat="1" applyFont="1" applyBorder="1" applyAlignment="1">
      <alignment horizontal="right" vertical="center" wrapText="1"/>
    </xf>
    <xf numFmtId="166" fontId="7" fillId="0" borderId="1" xfId="2" applyNumberFormat="1" applyFont="1" applyFill="1" applyBorder="1" applyAlignment="1">
      <alignment horizontal="right" vertical="center" wrapText="1"/>
    </xf>
    <xf numFmtId="166" fontId="8" fillId="0" borderId="5" xfId="2" applyNumberFormat="1" applyFont="1" applyBorder="1" applyAlignment="1">
      <alignment horizontal="right" vertical="center" wrapText="1"/>
    </xf>
    <xf numFmtId="166" fontId="8" fillId="0" borderId="2" xfId="2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164" fontId="18" fillId="0" borderId="0" xfId="2" applyFont="1" applyBorder="1"/>
    <xf numFmtId="43" fontId="0" fillId="0" borderId="0" xfId="4" applyFont="1"/>
    <xf numFmtId="43" fontId="7" fillId="0" borderId="0" xfId="4" applyFont="1" applyAlignment="1">
      <alignment horizontal="right" vertical="center" wrapText="1"/>
    </xf>
    <xf numFmtId="0" fontId="26" fillId="0" borderId="0" xfId="0" applyFont="1"/>
    <xf numFmtId="164" fontId="26" fillId="0" borderId="0" xfId="2" applyFont="1"/>
    <xf numFmtId="164" fontId="26" fillId="0" borderId="0" xfId="2" applyFont="1" applyBorder="1"/>
    <xf numFmtId="43" fontId="7" fillId="0" borderId="1" xfId="4" applyFont="1" applyBorder="1" applyAlignment="1">
      <alignment horizontal="right" vertical="center" wrapText="1"/>
    </xf>
    <xf numFmtId="0" fontId="13" fillId="2" borderId="0" xfId="0" applyFont="1" applyFill="1" applyAlignment="1">
      <alignment horizontal="left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1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justify" vertical="center" wrapText="1"/>
    </xf>
    <xf numFmtId="164" fontId="7" fillId="2" borderId="0" xfId="3" applyFont="1" applyFill="1"/>
    <xf numFmtId="4" fontId="7" fillId="2" borderId="0" xfId="0" applyNumberFormat="1" applyFont="1" applyFill="1"/>
    <xf numFmtId="166" fontId="7" fillId="2" borderId="0" xfId="0" applyNumberFormat="1" applyFont="1" applyFill="1" applyAlignment="1">
      <alignment horizontal="right" vertical="center" wrapText="1"/>
    </xf>
    <xf numFmtId="166" fontId="7" fillId="2" borderId="0" xfId="0" applyNumberFormat="1" applyFont="1" applyFill="1"/>
    <xf numFmtId="166" fontId="7" fillId="2" borderId="0" xfId="3" applyNumberFormat="1" applyFont="1" applyFill="1"/>
    <xf numFmtId="166" fontId="7" fillId="2" borderId="1" xfId="0" applyNumberFormat="1" applyFont="1" applyFill="1" applyBorder="1" applyAlignment="1">
      <alignment horizontal="right" vertical="center" wrapText="1"/>
    </xf>
    <xf numFmtId="166" fontId="7" fillId="2" borderId="1" xfId="0" applyNumberFormat="1" applyFont="1" applyFill="1" applyBorder="1"/>
    <xf numFmtId="166" fontId="11" fillId="2" borderId="1" xfId="0" applyNumberFormat="1" applyFont="1" applyFill="1" applyBorder="1"/>
    <xf numFmtId="166" fontId="11" fillId="2" borderId="1" xfId="3" applyNumberFormat="1" applyFont="1" applyFill="1" applyBorder="1"/>
    <xf numFmtId="166" fontId="7" fillId="2" borderId="1" xfId="3" applyNumberFormat="1" applyFont="1" applyFill="1" applyBorder="1"/>
    <xf numFmtId="166" fontId="8" fillId="2" borderId="1" xfId="3" applyNumberFormat="1" applyFont="1" applyFill="1" applyBorder="1"/>
    <xf numFmtId="166" fontId="8" fillId="2" borderId="1" xfId="0" applyNumberFormat="1" applyFont="1" applyFill="1" applyBorder="1"/>
    <xf numFmtId="166" fontId="23" fillId="2" borderId="1" xfId="3" applyNumberFormat="1" applyFont="1" applyFill="1" applyBorder="1"/>
    <xf numFmtId="166" fontId="23" fillId="2" borderId="1" xfId="0" applyNumberFormat="1" applyFont="1" applyFill="1" applyBorder="1"/>
    <xf numFmtId="166" fontId="11" fillId="2" borderId="0" xfId="0" applyNumberFormat="1" applyFont="1" applyFill="1"/>
    <xf numFmtId="166" fontId="11" fillId="2" borderId="0" xfId="3" applyNumberFormat="1" applyFont="1" applyFill="1"/>
    <xf numFmtId="166" fontId="7" fillId="2" borderId="0" xfId="2" applyNumberFormat="1" applyFont="1" applyFill="1"/>
    <xf numFmtId="166" fontId="11" fillId="2" borderId="0" xfId="3" applyNumberFormat="1" applyFont="1" applyFill="1" applyBorder="1"/>
    <xf numFmtId="164" fontId="7" fillId="2" borderId="0" xfId="0" applyNumberFormat="1" applyFont="1" applyFill="1"/>
    <xf numFmtId="166" fontId="23" fillId="2" borderId="5" xfId="3" applyNumberFormat="1" applyFont="1" applyFill="1" applyBorder="1"/>
    <xf numFmtId="166" fontId="8" fillId="2" borderId="5" xfId="0" applyNumberFormat="1" applyFont="1" applyFill="1" applyBorder="1"/>
    <xf numFmtId="166" fontId="8" fillId="2" borderId="5" xfId="3" applyNumberFormat="1" applyFont="1" applyFill="1" applyBorder="1"/>
    <xf numFmtId="166" fontId="7" fillId="2" borderId="1" xfId="2" applyNumberFormat="1" applyFont="1" applyFill="1" applyBorder="1"/>
    <xf numFmtId="166" fontId="11" fillId="2" borderId="1" xfId="2" applyNumberFormat="1" applyFont="1" applyFill="1" applyBorder="1"/>
    <xf numFmtId="166" fontId="8" fillId="2" borderId="2" xfId="2" applyNumberFormat="1" applyFont="1" applyFill="1" applyBorder="1"/>
    <xf numFmtId="43" fontId="7" fillId="2" borderId="0" xfId="4" applyFont="1" applyFill="1" applyAlignment="1">
      <alignment horizontal="right" vertical="center" wrapText="1"/>
    </xf>
    <xf numFmtId="43" fontId="7" fillId="2" borderId="0" xfId="4" applyFont="1" applyFill="1"/>
    <xf numFmtId="0" fontId="8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horizontal="left" wrapText="1"/>
    </xf>
    <xf numFmtId="166" fontId="8" fillId="2" borderId="2" xfId="3" applyNumberFormat="1" applyFont="1" applyFill="1" applyBorder="1"/>
    <xf numFmtId="166" fontId="8" fillId="2" borderId="2" xfId="0" applyNumberFormat="1" applyFont="1" applyFill="1" applyBorder="1"/>
    <xf numFmtId="166" fontId="7" fillId="2" borderId="0" xfId="3" applyNumberFormat="1" applyFont="1" applyFill="1" applyBorder="1"/>
    <xf numFmtId="164" fontId="8" fillId="2" borderId="0" xfId="3" applyFont="1" applyFill="1"/>
    <xf numFmtId="0" fontId="2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166" fontId="8" fillId="2" borderId="3" xfId="0" applyNumberFormat="1" applyFont="1" applyFill="1" applyBorder="1" applyAlignment="1">
      <alignment horizontal="right"/>
    </xf>
    <xf numFmtId="4" fontId="13" fillId="2" borderId="0" xfId="0" applyNumberFormat="1" applyFont="1" applyFill="1" applyAlignment="1">
      <alignment horizontal="left"/>
    </xf>
    <xf numFmtId="167" fontId="13" fillId="2" borderId="0" xfId="0" applyNumberFormat="1" applyFont="1" applyFill="1" applyAlignment="1">
      <alignment horizontal="left"/>
    </xf>
    <xf numFmtId="164" fontId="13" fillId="2" borderId="0" xfId="0" applyNumberFormat="1" applyFont="1" applyFill="1" applyAlignment="1">
      <alignment horizontal="left"/>
    </xf>
    <xf numFmtId="168" fontId="13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center" vertical="center" wrapText="1"/>
    </xf>
    <xf numFmtId="4" fontId="26" fillId="0" borderId="0" xfId="0" applyNumberFormat="1" applyFont="1" applyAlignment="1">
      <alignment horizontal="center"/>
    </xf>
    <xf numFmtId="43" fontId="26" fillId="0" borderId="0" xfId="0" applyNumberFormat="1" applyFont="1"/>
    <xf numFmtId="4" fontId="28" fillId="0" borderId="0" xfId="0" applyNumberFormat="1" applyFont="1"/>
    <xf numFmtId="164" fontId="27" fillId="0" borderId="0" xfId="2" applyFont="1" applyBorder="1"/>
    <xf numFmtId="4" fontId="26" fillId="0" borderId="0" xfId="0" applyNumberFormat="1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center" wrapText="1"/>
    </xf>
    <xf numFmtId="0" fontId="8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</cellXfs>
  <cellStyles count="9">
    <cellStyle name="Comma" xfId="4" builtinId="3"/>
    <cellStyle name="Comma 2" xfId="2" xr:uid="{00000000-0005-0000-0000-000001000000}"/>
    <cellStyle name="Comma 2 2" xfId="5" xr:uid="{00000000-0005-0000-0000-000002000000}"/>
    <cellStyle name="Comma 2 3" xfId="3" xr:uid="{00000000-0005-0000-0000-000003000000}"/>
    <cellStyle name="Comma 2 3 2" xfId="6" xr:uid="{00000000-0005-0000-0000-000004000000}"/>
    <cellStyle name="Comma 3" xfId="7" xr:uid="{00000000-0005-0000-0000-000005000000}"/>
    <cellStyle name="Comma 7" xfId="8" xr:uid="{00000000-0005-0000-0000-000006000000}"/>
    <cellStyle name="Normal" xfId="0" builtinId="0"/>
    <cellStyle name="Percent" xfId="1" builtinId="5"/>
  </cellStyles>
  <dxfs count="3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showGridLines="0" tabSelected="1" zoomScaleNormal="100" zoomScaleSheetLayoutView="90" workbookViewId="0">
      <selection sqref="A1:F1"/>
    </sheetView>
  </sheetViews>
  <sheetFormatPr defaultRowHeight="15" x14ac:dyDescent="0.25"/>
  <cols>
    <col min="1" max="1" width="38.140625" customWidth="1"/>
    <col min="2" max="2" width="6.7109375" customWidth="1"/>
    <col min="3" max="3" width="1" customWidth="1"/>
    <col min="4" max="5" width="21.28515625" customWidth="1"/>
    <col min="6" max="6" width="0.85546875" customWidth="1"/>
    <col min="7" max="7" width="15.28515625" hidden="1" customWidth="1"/>
    <col min="8" max="8" width="16.85546875" hidden="1" customWidth="1"/>
    <col min="9" max="10" width="16.85546875" style="1" bestFit="1" customWidth="1"/>
    <col min="11" max="11" width="16.85546875" bestFit="1" customWidth="1"/>
  </cols>
  <sheetData>
    <row r="1" spans="1:9" ht="18.75" x14ac:dyDescent="0.3">
      <c r="A1" s="188" t="s">
        <v>0</v>
      </c>
      <c r="B1" s="188"/>
      <c r="C1" s="188"/>
      <c r="D1" s="188"/>
      <c r="E1" s="188"/>
      <c r="F1" s="188"/>
    </row>
    <row r="2" spans="1:9" ht="18.75" x14ac:dyDescent="0.25">
      <c r="A2" s="189" t="s">
        <v>1</v>
      </c>
      <c r="B2" s="189"/>
      <c r="C2" s="189"/>
      <c r="D2" s="189"/>
      <c r="E2" s="189"/>
      <c r="F2" s="189"/>
    </row>
    <row r="3" spans="1:9" ht="18.75" x14ac:dyDescent="0.25">
      <c r="A3" s="189" t="s">
        <v>2</v>
      </c>
      <c r="B3" s="189"/>
      <c r="C3" s="189"/>
      <c r="D3" s="189"/>
      <c r="E3" s="189"/>
      <c r="F3" s="189"/>
    </row>
    <row r="4" spans="1:9" ht="18.75" x14ac:dyDescent="0.25">
      <c r="A4" s="189" t="s">
        <v>3</v>
      </c>
      <c r="B4" s="189"/>
      <c r="C4" s="189"/>
      <c r="D4" s="189"/>
      <c r="E4" s="189"/>
      <c r="F4" s="189"/>
    </row>
    <row r="5" spans="1:9" ht="18.75" x14ac:dyDescent="0.25">
      <c r="A5" s="190" t="s">
        <v>166</v>
      </c>
      <c r="B5" s="190"/>
      <c r="C5" s="190"/>
      <c r="D5" s="190"/>
      <c r="E5" s="190"/>
      <c r="F5" s="190"/>
    </row>
    <row r="6" spans="1:9" ht="18.75" x14ac:dyDescent="0.25">
      <c r="A6" s="190" t="s">
        <v>167</v>
      </c>
      <c r="B6" s="190"/>
      <c r="C6" s="190"/>
      <c r="D6" s="190"/>
      <c r="E6" s="190"/>
      <c r="F6" s="190"/>
    </row>
    <row r="7" spans="1:9" ht="18.75" x14ac:dyDescent="0.25">
      <c r="A7" s="185" t="s">
        <v>4</v>
      </c>
      <c r="B7" s="185"/>
      <c r="C7" s="185"/>
      <c r="D7" s="185"/>
      <c r="E7" s="185"/>
      <c r="F7" s="185"/>
    </row>
    <row r="9" spans="1:9" ht="15.75" x14ac:dyDescent="0.25">
      <c r="A9" s="2"/>
      <c r="B9" s="3" t="s">
        <v>5</v>
      </c>
      <c r="C9" s="4"/>
      <c r="D9" s="3">
        <v>2023</v>
      </c>
      <c r="E9" s="3">
        <v>2022</v>
      </c>
      <c r="F9" s="4"/>
    </row>
    <row r="10" spans="1:9" ht="15.75" x14ac:dyDescent="0.25">
      <c r="A10" s="5" t="s">
        <v>6</v>
      </c>
      <c r="B10" s="2"/>
      <c r="C10" s="2"/>
      <c r="D10" s="2"/>
      <c r="E10" s="2"/>
      <c r="F10" s="2"/>
    </row>
    <row r="11" spans="1:9" ht="15.75" x14ac:dyDescent="0.25">
      <c r="A11" s="6" t="s">
        <v>7</v>
      </c>
      <c r="B11" s="7"/>
      <c r="C11" s="2"/>
      <c r="D11" s="2"/>
      <c r="E11" s="2"/>
      <c r="F11" s="2"/>
    </row>
    <row r="12" spans="1:9" ht="15.75" x14ac:dyDescent="0.25">
      <c r="A12" s="2" t="s">
        <v>8</v>
      </c>
      <c r="B12" s="8">
        <v>4</v>
      </c>
      <c r="C12" s="8"/>
      <c r="D12" s="9">
        <v>1431489766.9000001</v>
      </c>
      <c r="E12" s="9">
        <v>1500277075.8499999</v>
      </c>
      <c r="F12" s="10"/>
      <c r="G12" s="11" t="e">
        <f>D12-#REF!</f>
        <v>#REF!</v>
      </c>
      <c r="H12" s="11" t="e">
        <f>E12-#REF!</f>
        <v>#REF!</v>
      </c>
      <c r="I12" s="12"/>
    </row>
    <row r="13" spans="1:9" ht="15.75" x14ac:dyDescent="0.25">
      <c r="A13" s="2" t="s">
        <v>9</v>
      </c>
      <c r="B13" s="8">
        <v>5</v>
      </c>
      <c r="C13" s="8"/>
      <c r="D13" s="9">
        <v>32094941.359999999</v>
      </c>
      <c r="E13" s="9">
        <v>35790297.390000001</v>
      </c>
      <c r="F13" s="10"/>
      <c r="G13" s="11" t="e">
        <f>D13-#REF!</f>
        <v>#REF!</v>
      </c>
      <c r="H13" s="11" t="e">
        <f>E13-#REF!</f>
        <v>#REF!</v>
      </c>
    </row>
    <row r="14" spans="1:9" ht="15.75" x14ac:dyDescent="0.25">
      <c r="A14" s="2" t="s">
        <v>10</v>
      </c>
      <c r="B14" s="8">
        <v>6</v>
      </c>
      <c r="C14" s="8"/>
      <c r="D14" s="9">
        <v>278714731.56999999</v>
      </c>
      <c r="E14" s="9">
        <v>271255569.40000004</v>
      </c>
      <c r="F14" s="10"/>
      <c r="G14" s="11" t="e">
        <f>D14-#REF!</f>
        <v>#REF!</v>
      </c>
      <c r="H14" s="11" t="e">
        <f>E14-#REF!</f>
        <v>#REF!</v>
      </c>
    </row>
    <row r="15" spans="1:9" ht="15.75" x14ac:dyDescent="0.25">
      <c r="A15" s="2" t="s">
        <v>11</v>
      </c>
      <c r="B15" s="8">
        <v>7</v>
      </c>
      <c r="C15" s="8"/>
      <c r="D15" s="9">
        <v>75227016.789999992</v>
      </c>
      <c r="E15" s="9">
        <v>162587546.36000001</v>
      </c>
      <c r="F15" s="10"/>
      <c r="G15" s="11" t="e">
        <f>D15-#REF!</f>
        <v>#REF!</v>
      </c>
      <c r="H15" s="11" t="e">
        <f>E15-#REF!</f>
        <v>#REF!</v>
      </c>
    </row>
    <row r="16" spans="1:9" ht="15.75" x14ac:dyDescent="0.25">
      <c r="A16" s="13" t="s">
        <v>12</v>
      </c>
      <c r="B16" s="14">
        <v>8</v>
      </c>
      <c r="C16" s="8"/>
      <c r="D16" s="15">
        <v>36498998.310000002</v>
      </c>
      <c r="E16" s="15">
        <v>82238188.930000007</v>
      </c>
      <c r="F16" s="10"/>
      <c r="G16" s="11" t="e">
        <f>D16-#REF!</f>
        <v>#REF!</v>
      </c>
      <c r="H16" s="11" t="e">
        <f>E16-#REF!</f>
        <v>#REF!</v>
      </c>
    </row>
    <row r="17" spans="1:11" ht="15.75" x14ac:dyDescent="0.25">
      <c r="A17" s="5" t="s">
        <v>13</v>
      </c>
      <c r="B17" s="16"/>
      <c r="C17" s="8"/>
      <c r="D17" s="17">
        <f>SUM(D12:D16)</f>
        <v>1854025454.9299998</v>
      </c>
      <c r="E17" s="17">
        <f>SUM(E12:E16)</f>
        <v>2052148677.9300001</v>
      </c>
      <c r="F17" s="18"/>
      <c r="G17" s="11" t="e">
        <f>D17-#REF!</f>
        <v>#REF!</v>
      </c>
      <c r="H17" s="19" t="e">
        <f>E17-#REF!</f>
        <v>#REF!</v>
      </c>
      <c r="I17" s="20"/>
      <c r="J17" s="21"/>
      <c r="K17" s="20"/>
    </row>
    <row r="18" spans="1:11" ht="15.75" x14ac:dyDescent="0.25">
      <c r="A18" s="2"/>
      <c r="B18" s="7"/>
      <c r="C18" s="2"/>
      <c r="D18" s="9"/>
      <c r="E18" s="9"/>
      <c r="F18" s="10"/>
      <c r="H18" s="19"/>
      <c r="I18" s="20"/>
      <c r="J18" s="21"/>
      <c r="K18" s="21"/>
    </row>
    <row r="19" spans="1:11" ht="15.75" x14ac:dyDescent="0.25">
      <c r="A19" s="6" t="s">
        <v>14</v>
      </c>
      <c r="B19" s="7"/>
      <c r="C19" s="2"/>
      <c r="D19" s="9"/>
      <c r="E19" s="9"/>
      <c r="F19" s="10"/>
      <c r="I19" s="21"/>
      <c r="J19" s="21"/>
      <c r="K19" s="21"/>
    </row>
    <row r="20" spans="1:11" ht="15.75" x14ac:dyDescent="0.25">
      <c r="A20" s="2" t="s">
        <v>170</v>
      </c>
      <c r="B20" s="14">
        <v>9</v>
      </c>
      <c r="C20" s="8"/>
      <c r="D20" s="9">
        <v>19421906.869999997</v>
      </c>
      <c r="E20" s="9">
        <v>21468681.539999999</v>
      </c>
      <c r="F20" s="10"/>
      <c r="G20" s="11" t="e">
        <f>D20-#REF!</f>
        <v>#REF!</v>
      </c>
      <c r="H20" s="22" t="e">
        <f>E20-#REF!</f>
        <v>#REF!</v>
      </c>
      <c r="I20" s="23"/>
      <c r="J20" s="21"/>
      <c r="K20" s="23"/>
    </row>
    <row r="21" spans="1:11" ht="15.75" x14ac:dyDescent="0.25">
      <c r="A21" s="2" t="s">
        <v>169</v>
      </c>
      <c r="B21" s="8">
        <v>10</v>
      </c>
      <c r="C21" s="8"/>
      <c r="D21" s="9">
        <v>3303898897.2599988</v>
      </c>
      <c r="E21" s="9">
        <v>3103181840.5500002</v>
      </c>
      <c r="F21" s="10"/>
      <c r="G21" s="11" t="e">
        <f>D21-#REF!</f>
        <v>#REF!</v>
      </c>
      <c r="H21" s="22" t="e">
        <f>E21-#REF!</f>
        <v>#REF!</v>
      </c>
      <c r="I21" s="24"/>
      <c r="J21" s="21"/>
      <c r="K21" s="24"/>
    </row>
    <row r="22" spans="1:11" ht="15.75" x14ac:dyDescent="0.25">
      <c r="A22" s="2" t="s">
        <v>15</v>
      </c>
      <c r="B22" s="8">
        <v>10</v>
      </c>
      <c r="C22" s="8"/>
      <c r="D22" s="25">
        <v>1835383.3599999999</v>
      </c>
      <c r="E22" s="25">
        <v>42783.33</v>
      </c>
      <c r="F22" s="26"/>
      <c r="G22" s="11" t="e">
        <f>D22-#REF!</f>
        <v>#REF!</v>
      </c>
      <c r="H22" s="27" t="e">
        <f>E22-#REF!</f>
        <v>#REF!</v>
      </c>
      <c r="I22" s="28"/>
      <c r="J22" s="21"/>
      <c r="K22" s="28"/>
    </row>
    <row r="23" spans="1:11" ht="15.75" x14ac:dyDescent="0.25">
      <c r="A23" s="5" t="s">
        <v>16</v>
      </c>
      <c r="B23" s="16"/>
      <c r="C23" s="8"/>
      <c r="D23" s="17">
        <f>SUM(D20:D22)</f>
        <v>3325156187.4899988</v>
      </c>
      <c r="E23" s="17">
        <f>SUM(E20:E22)</f>
        <v>3124693305.4200001</v>
      </c>
      <c r="F23" s="18"/>
      <c r="G23" s="11" t="e">
        <f>D23-#REF!</f>
        <v>#REF!</v>
      </c>
      <c r="H23" s="29" t="e">
        <f>E23-#REF!</f>
        <v>#REF!</v>
      </c>
      <c r="I23" s="30"/>
      <c r="J23" s="21"/>
      <c r="K23" s="20"/>
    </row>
    <row r="24" spans="1:11" ht="16.5" thickBot="1" x14ac:dyDescent="0.3">
      <c r="A24" s="5" t="s">
        <v>17</v>
      </c>
      <c r="B24" s="16"/>
      <c r="C24" s="8"/>
      <c r="D24" s="31">
        <f>D23+D17</f>
        <v>5179181642.4199982</v>
      </c>
      <c r="E24" s="31">
        <f>E23+E17</f>
        <v>5176841983.3500004</v>
      </c>
      <c r="F24" s="18"/>
      <c r="G24" s="11" t="e">
        <f>D24-#REF!</f>
        <v>#REF!</v>
      </c>
      <c r="H24" s="22" t="e">
        <f>E24-#REF!</f>
        <v>#REF!</v>
      </c>
      <c r="I24" s="32"/>
      <c r="J24" s="33"/>
      <c r="K24" s="20"/>
    </row>
    <row r="25" spans="1:11" ht="16.5" thickTop="1" x14ac:dyDescent="0.25">
      <c r="A25" s="2"/>
      <c r="B25" s="16"/>
      <c r="C25" s="8"/>
      <c r="D25" s="9"/>
      <c r="E25" s="9"/>
      <c r="F25" s="10"/>
      <c r="H25" s="34"/>
      <c r="I25" s="35"/>
      <c r="J25" s="24"/>
      <c r="K25" s="21"/>
    </row>
    <row r="26" spans="1:11" ht="15.75" x14ac:dyDescent="0.25">
      <c r="A26" s="36" t="s">
        <v>18</v>
      </c>
      <c r="B26" s="16"/>
      <c r="C26" s="8"/>
      <c r="D26" s="9"/>
      <c r="E26" s="9"/>
      <c r="F26" s="10"/>
      <c r="H26" s="27"/>
      <c r="I26" s="37"/>
      <c r="J26" s="38"/>
      <c r="K26" s="21"/>
    </row>
    <row r="27" spans="1:11" ht="15.75" x14ac:dyDescent="0.25">
      <c r="A27" s="6" t="s">
        <v>19</v>
      </c>
      <c r="B27" s="16"/>
      <c r="C27" s="8"/>
      <c r="D27" s="9"/>
      <c r="E27" s="9"/>
      <c r="F27" s="10"/>
      <c r="H27" s="11"/>
      <c r="I27" s="39"/>
      <c r="J27" s="21"/>
      <c r="K27" s="21"/>
    </row>
    <row r="28" spans="1:11" ht="15.75" x14ac:dyDescent="0.25">
      <c r="A28" s="2" t="s">
        <v>20</v>
      </c>
      <c r="B28" s="14" t="s">
        <v>171</v>
      </c>
      <c r="C28" s="8"/>
      <c r="D28" s="84">
        <v>183430408.19</v>
      </c>
      <c r="E28" s="84">
        <v>198991303.02000001</v>
      </c>
      <c r="F28" s="10"/>
      <c r="G28" s="11" t="e">
        <f>D28-#REF!</f>
        <v>#REF!</v>
      </c>
      <c r="H28" s="11" t="e">
        <f>E28-#REF!</f>
        <v>#REF!</v>
      </c>
      <c r="I28" s="21"/>
      <c r="J28" s="21"/>
      <c r="K28" s="21"/>
    </row>
    <row r="29" spans="1:11" ht="15.75" x14ac:dyDescent="0.25">
      <c r="A29" s="2" t="s">
        <v>21</v>
      </c>
      <c r="B29" s="14">
        <v>13</v>
      </c>
      <c r="C29" s="8"/>
      <c r="D29" s="9">
        <v>101247247.83000001</v>
      </c>
      <c r="E29" s="9">
        <v>294647552.00999999</v>
      </c>
      <c r="F29" s="10"/>
      <c r="G29" s="11" t="e">
        <f>D29-#REF!</f>
        <v>#REF!</v>
      </c>
      <c r="H29" s="11" t="e">
        <f>E29-#REF!</f>
        <v>#REF!</v>
      </c>
      <c r="I29" s="21"/>
      <c r="J29" s="21"/>
      <c r="K29" s="99"/>
    </row>
    <row r="30" spans="1:11" ht="15.75" x14ac:dyDescent="0.25">
      <c r="A30" s="2" t="s">
        <v>22</v>
      </c>
      <c r="B30" s="8">
        <v>14</v>
      </c>
      <c r="C30" s="8"/>
      <c r="D30" s="9">
        <v>88777384.280000001</v>
      </c>
      <c r="E30" s="9">
        <v>43743842.230000004</v>
      </c>
      <c r="F30" s="10"/>
      <c r="G30" s="11" t="e">
        <f>D30-#REF!</f>
        <v>#REF!</v>
      </c>
      <c r="H30" s="11" t="e">
        <f>E30-#REF!</f>
        <v>#REF!</v>
      </c>
      <c r="I30" s="21"/>
      <c r="J30" s="21"/>
      <c r="K30" s="21"/>
    </row>
    <row r="31" spans="1:11" ht="15.75" x14ac:dyDescent="0.25">
      <c r="A31" s="2" t="s">
        <v>23</v>
      </c>
      <c r="B31" s="8">
        <v>15</v>
      </c>
      <c r="C31" s="8"/>
      <c r="D31" s="9">
        <v>196508030.51999998</v>
      </c>
      <c r="E31" s="9">
        <v>175149422.45999998</v>
      </c>
      <c r="F31" s="10"/>
      <c r="G31" s="11" t="e">
        <f>D31-#REF!</f>
        <v>#REF!</v>
      </c>
      <c r="H31" s="11" t="e">
        <f>E31-#REF!</f>
        <v>#REF!</v>
      </c>
      <c r="I31" s="21"/>
      <c r="J31" s="21"/>
      <c r="K31" s="21"/>
    </row>
    <row r="32" spans="1:11" ht="15.75" x14ac:dyDescent="0.25">
      <c r="A32" s="2" t="s">
        <v>24</v>
      </c>
      <c r="B32" s="8"/>
      <c r="C32" s="8"/>
      <c r="D32" s="9"/>
      <c r="E32" s="9"/>
      <c r="F32" s="10"/>
      <c r="G32" s="11" t="e">
        <f>D32-#REF!</f>
        <v>#REF!</v>
      </c>
      <c r="H32" s="11" t="e">
        <f>E32-#REF!</f>
        <v>#REF!</v>
      </c>
      <c r="I32" s="21"/>
      <c r="J32" s="21"/>
      <c r="K32" s="21"/>
    </row>
    <row r="33" spans="1:11" ht="15.75" x14ac:dyDescent="0.25">
      <c r="A33" s="13" t="s">
        <v>25</v>
      </c>
      <c r="B33" s="8">
        <v>16</v>
      </c>
      <c r="C33" s="8"/>
      <c r="D33" s="26">
        <v>33945926.960000001</v>
      </c>
      <c r="E33" s="10">
        <v>265397623.58000001</v>
      </c>
      <c r="F33" s="10"/>
      <c r="G33" s="11" t="e">
        <f>D33-#REF!</f>
        <v>#REF!</v>
      </c>
      <c r="H33" s="11" t="e">
        <f>E33-#REF!</f>
        <v>#REF!</v>
      </c>
      <c r="I33" s="21"/>
      <c r="J33" s="21"/>
      <c r="K33" s="21"/>
    </row>
    <row r="34" spans="1:11" ht="15.75" x14ac:dyDescent="0.25">
      <c r="A34" s="13" t="s">
        <v>26</v>
      </c>
      <c r="B34" s="8">
        <v>17</v>
      </c>
      <c r="C34" s="8"/>
      <c r="D34" s="25">
        <v>12519224.67</v>
      </c>
      <c r="E34" s="15">
        <v>26964250.600000001</v>
      </c>
      <c r="F34" s="10"/>
      <c r="G34" s="11" t="e">
        <f>D34-#REF!</f>
        <v>#REF!</v>
      </c>
      <c r="H34" s="11" t="e">
        <f>E34-#REF!</f>
        <v>#REF!</v>
      </c>
      <c r="I34" s="21"/>
      <c r="J34" s="21"/>
      <c r="K34" s="21"/>
    </row>
    <row r="35" spans="1:11" ht="15.75" x14ac:dyDescent="0.25">
      <c r="A35" s="5" t="s">
        <v>27</v>
      </c>
      <c r="B35" s="16"/>
      <c r="C35" s="8"/>
      <c r="D35" s="105">
        <f>SUM(D28:D34)</f>
        <v>616428222.44999993</v>
      </c>
      <c r="E35" s="17">
        <f>SUM(E28:E34)</f>
        <v>1004893993.9000001</v>
      </c>
      <c r="F35" s="18"/>
      <c r="G35" s="11" t="e">
        <f>D35-#REF!</f>
        <v>#REF!</v>
      </c>
      <c r="H35" s="19"/>
      <c r="I35" s="20"/>
      <c r="J35" s="21"/>
      <c r="K35" s="20"/>
    </row>
    <row r="36" spans="1:11" ht="15.75" x14ac:dyDescent="0.25">
      <c r="A36" s="2"/>
      <c r="B36" s="8"/>
      <c r="C36" s="8"/>
      <c r="D36" s="84"/>
      <c r="E36" s="9"/>
      <c r="F36" s="10"/>
      <c r="H36" s="19"/>
      <c r="I36" s="20"/>
      <c r="J36" s="21"/>
      <c r="K36" s="21"/>
    </row>
    <row r="37" spans="1:11" ht="15.75" x14ac:dyDescent="0.25">
      <c r="A37" s="6" t="s">
        <v>28</v>
      </c>
      <c r="B37" s="8"/>
      <c r="C37" s="8"/>
      <c r="D37" s="84"/>
      <c r="E37" s="9"/>
      <c r="F37" s="10"/>
      <c r="I37" s="21"/>
      <c r="J37" s="21"/>
      <c r="K37" s="21"/>
    </row>
    <row r="38" spans="1:11" ht="15.75" x14ac:dyDescent="0.25">
      <c r="A38" s="2" t="s">
        <v>20</v>
      </c>
      <c r="B38" s="8">
        <v>12</v>
      </c>
      <c r="C38" s="8"/>
      <c r="D38" s="84">
        <v>632934032.76999998</v>
      </c>
      <c r="E38" s="9">
        <v>586050843.98000002</v>
      </c>
      <c r="F38" s="10"/>
      <c r="G38" s="11" t="e">
        <f>D38-#REF!</f>
        <v>#REF!</v>
      </c>
      <c r="H38" s="11" t="e">
        <f>E38-#REF!</f>
        <v>#REF!</v>
      </c>
      <c r="I38" s="21"/>
      <c r="J38" s="39"/>
      <c r="K38" s="21"/>
    </row>
    <row r="39" spans="1:11" ht="15.75" x14ac:dyDescent="0.25">
      <c r="A39" s="13" t="s">
        <v>25</v>
      </c>
      <c r="B39" s="8">
        <v>16</v>
      </c>
      <c r="C39" s="8"/>
      <c r="D39" s="25">
        <v>121809248.63</v>
      </c>
      <c r="E39" s="15">
        <v>15168795.65</v>
      </c>
      <c r="F39" s="10"/>
      <c r="G39" s="11" t="e">
        <f>D39-#REF!</f>
        <v>#REF!</v>
      </c>
      <c r="H39" s="11" t="e">
        <f>E39-#REF!</f>
        <v>#REF!</v>
      </c>
      <c r="I39" s="21"/>
      <c r="J39" s="21"/>
      <c r="K39" s="21"/>
    </row>
    <row r="40" spans="1:11" ht="15.75" x14ac:dyDescent="0.25">
      <c r="A40" s="5" t="s">
        <v>29</v>
      </c>
      <c r="B40" s="8"/>
      <c r="C40" s="8"/>
      <c r="D40" s="17">
        <f>SUM(D38:D39)</f>
        <v>754743281.39999998</v>
      </c>
      <c r="E40" s="17">
        <f>SUM(E38:E39)</f>
        <v>601219639.63</v>
      </c>
      <c r="F40" s="18"/>
      <c r="G40" s="11" t="e">
        <f>D40-#REF!</f>
        <v>#REF!</v>
      </c>
      <c r="H40" s="19" t="e">
        <f>E40-#REF!</f>
        <v>#REF!</v>
      </c>
      <c r="I40" s="20"/>
      <c r="J40" s="39"/>
      <c r="K40" s="21"/>
    </row>
    <row r="41" spans="1:11" ht="15.75" x14ac:dyDescent="0.25">
      <c r="A41" s="5" t="s">
        <v>30</v>
      </c>
      <c r="B41" s="8"/>
      <c r="C41" s="8"/>
      <c r="D41" s="40">
        <f>D35+D40</f>
        <v>1371171503.8499999</v>
      </c>
      <c r="E41" s="40">
        <f>E35+E40</f>
        <v>1606113633.5300002</v>
      </c>
      <c r="F41" s="18"/>
      <c r="G41" s="11" t="e">
        <f>D41-#REF!</f>
        <v>#REF!</v>
      </c>
      <c r="H41" s="19" t="e">
        <f>E41-#REF!</f>
        <v>#REF!</v>
      </c>
      <c r="I41" s="20"/>
      <c r="J41" s="20"/>
      <c r="K41" s="20"/>
    </row>
    <row r="42" spans="1:11" ht="15.75" x14ac:dyDescent="0.25">
      <c r="A42" s="5"/>
      <c r="B42" s="186"/>
      <c r="C42" s="8"/>
      <c r="D42" s="41"/>
      <c r="E42" s="41"/>
      <c r="F42" s="42"/>
      <c r="H42" s="19"/>
      <c r="I42" s="21"/>
      <c r="J42" s="21"/>
      <c r="K42" s="21"/>
    </row>
    <row r="43" spans="1:11" ht="15.75" x14ac:dyDescent="0.25">
      <c r="A43" s="5" t="s">
        <v>31</v>
      </c>
      <c r="B43" s="186"/>
      <c r="C43" s="8"/>
      <c r="D43" s="41"/>
      <c r="E43" s="41"/>
      <c r="F43" s="42"/>
      <c r="H43" s="19"/>
      <c r="I43" s="20"/>
      <c r="K43" s="21"/>
    </row>
    <row r="44" spans="1:11" ht="15.75" x14ac:dyDescent="0.25">
      <c r="A44" s="2" t="s">
        <v>32</v>
      </c>
      <c r="B44" s="8">
        <v>29</v>
      </c>
      <c r="C44" s="8"/>
      <c r="D44" s="40">
        <f>SCNAE!D18</f>
        <v>3808010138.5699987</v>
      </c>
      <c r="E44" s="40">
        <v>3570728349.8199987</v>
      </c>
      <c r="F44" s="18"/>
      <c r="G44" s="11" t="e">
        <f>D44-#REF!</f>
        <v>#REF!</v>
      </c>
      <c r="H44" s="19" t="e">
        <f>E44-#REF!</f>
        <v>#REF!</v>
      </c>
      <c r="I44" s="20"/>
      <c r="J44" s="20"/>
      <c r="K44" s="21"/>
    </row>
    <row r="45" spans="1:11" ht="32.25" thickBot="1" x14ac:dyDescent="0.3">
      <c r="A45" s="36" t="s">
        <v>33</v>
      </c>
      <c r="B45" s="43"/>
      <c r="C45" s="43"/>
      <c r="D45" s="44">
        <f>D44+D41</f>
        <v>5179181642.4199982</v>
      </c>
      <c r="E45" s="44">
        <f>E44+E41</f>
        <v>5176841983.3499985</v>
      </c>
      <c r="F45" s="18"/>
      <c r="G45" s="11" t="e">
        <f>D45-#REF!</f>
        <v>#REF!</v>
      </c>
      <c r="H45" s="19" t="e">
        <f>E45-#REF!</f>
        <v>#REF!</v>
      </c>
      <c r="I45" s="20"/>
      <c r="J45" s="20"/>
      <c r="K45" s="20"/>
    </row>
    <row r="46" spans="1:11" ht="16.5" thickTop="1" x14ac:dyDescent="0.25">
      <c r="A46" s="45"/>
      <c r="B46" s="45"/>
      <c r="C46" s="45"/>
      <c r="D46" s="45"/>
      <c r="E46" s="45"/>
      <c r="F46" s="45"/>
      <c r="I46" s="21"/>
      <c r="J46" s="21"/>
      <c r="K46" s="21"/>
    </row>
    <row r="47" spans="1:11" ht="15.75" x14ac:dyDescent="0.25">
      <c r="A47" s="187" t="s">
        <v>34</v>
      </c>
      <c r="B47" s="187"/>
      <c r="C47" s="187"/>
      <c r="D47" s="187"/>
      <c r="E47" s="187"/>
      <c r="F47" s="187"/>
      <c r="I47" s="21"/>
      <c r="J47" s="21"/>
      <c r="K47" s="21"/>
    </row>
    <row r="48" spans="1:11" x14ac:dyDescent="0.25">
      <c r="I48" s="21"/>
      <c r="J48" s="21"/>
      <c r="K48" s="21"/>
    </row>
    <row r="49" spans="2:11" x14ac:dyDescent="0.25">
      <c r="D49" s="106"/>
      <c r="E49" s="98"/>
      <c r="F49" s="46"/>
      <c r="G49" s="46"/>
      <c r="H49" s="46"/>
      <c r="I49" s="21"/>
      <c r="J49" s="21"/>
      <c r="K49" s="21"/>
    </row>
    <row r="50" spans="2:11" ht="15.75" x14ac:dyDescent="0.25">
      <c r="B50" s="119"/>
      <c r="D50" s="19"/>
      <c r="E50" s="19"/>
      <c r="F50" s="19"/>
      <c r="I50" s="21"/>
      <c r="J50" s="21"/>
      <c r="K50" s="21"/>
    </row>
    <row r="51" spans="2:11" x14ac:dyDescent="0.25">
      <c r="D51" s="19"/>
      <c r="E51" s="19"/>
      <c r="F51" s="19"/>
      <c r="I51" s="21"/>
      <c r="J51" s="21"/>
      <c r="K51" s="21"/>
    </row>
    <row r="52" spans="2:11" x14ac:dyDescent="0.25">
      <c r="D52" s="19">
        <f>D24-D45</f>
        <v>0</v>
      </c>
      <c r="E52" s="19">
        <f>E24-E45</f>
        <v>0</v>
      </c>
      <c r="F52" s="19"/>
      <c r="I52" s="21"/>
      <c r="J52" s="21"/>
      <c r="K52" s="21"/>
    </row>
    <row r="53" spans="2:11" x14ac:dyDescent="0.25">
      <c r="D53" s="19"/>
      <c r="E53" s="19"/>
      <c r="F53" s="19"/>
      <c r="I53" s="21"/>
      <c r="J53" s="21"/>
      <c r="K53" s="21"/>
    </row>
    <row r="54" spans="2:11" x14ac:dyDescent="0.25">
      <c r="D54" s="19"/>
      <c r="E54" s="19"/>
      <c r="F54" s="19"/>
    </row>
    <row r="55" spans="2:11" x14ac:dyDescent="0.25">
      <c r="D55" s="19"/>
      <c r="E55" s="19"/>
      <c r="F55" s="19"/>
    </row>
    <row r="56" spans="2:11" x14ac:dyDescent="0.25">
      <c r="D56" s="19"/>
      <c r="E56" s="19"/>
      <c r="F56" s="19"/>
    </row>
    <row r="57" spans="2:11" x14ac:dyDescent="0.25">
      <c r="D57" s="19"/>
      <c r="E57" s="19"/>
      <c r="F57" s="19"/>
    </row>
  </sheetData>
  <sheetProtection algorithmName="SHA-512" hashValue="dfSvMh22KxWmxvBcrdc1biKKopXqDWuq8meO1Fvds0d/JJDE2MpUAurwpJxniQdDDq6CL+t5xmWqpx1fbpmpOw==" saltValue="TjNFHf1c/HpTbT0T7CBJOw==" spinCount="100000" sheet="1" objects="1" scenarios="1" selectLockedCells="1" selectUnlockedCells="1"/>
  <mergeCells count="9">
    <mergeCell ref="A7:F7"/>
    <mergeCell ref="B42:B43"/>
    <mergeCell ref="A47:F47"/>
    <mergeCell ref="A1:F1"/>
    <mergeCell ref="A2:F2"/>
    <mergeCell ref="A3:F3"/>
    <mergeCell ref="A4:F4"/>
    <mergeCell ref="A5:F5"/>
    <mergeCell ref="A6:F6"/>
  </mergeCells>
  <pageMargins left="1.5" right="1" top="1" bottom="1" header="0.5" footer="0.5"/>
  <pageSetup scale="82" orientation="portrait" horizontalDpi="360" verticalDpi="360" r:id="rId1"/>
  <headerFooter scaleWithDoc="0">
    <oddFooter>&amp;C&amp;"Times New Roman,Regular"&amp;12 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9"/>
  <sheetViews>
    <sheetView showGridLines="0" zoomScaleNormal="100" zoomScaleSheetLayoutView="100" workbookViewId="0">
      <selection sqref="A1:E1"/>
    </sheetView>
  </sheetViews>
  <sheetFormatPr defaultRowHeight="15" x14ac:dyDescent="0.25"/>
  <cols>
    <col min="1" max="1" width="38.140625" customWidth="1"/>
    <col min="2" max="2" width="7.42578125" customWidth="1"/>
    <col min="3" max="3" width="0.7109375" customWidth="1"/>
    <col min="4" max="5" width="21.28515625" style="71" customWidth="1"/>
    <col min="6" max="6" width="14.28515625" hidden="1" customWidth="1"/>
    <col min="7" max="7" width="16.85546875" hidden="1" customWidth="1"/>
    <col min="8" max="8" width="19.140625" hidden="1" customWidth="1"/>
    <col min="9" max="9" width="17" bestFit="1" customWidth="1"/>
    <col min="10" max="10" width="16.85546875" style="123" bestFit="1" customWidth="1"/>
    <col min="11" max="11" width="16.28515625" bestFit="1" customWidth="1"/>
  </cols>
  <sheetData>
    <row r="1" spans="1:11" ht="18.75" x14ac:dyDescent="0.3">
      <c r="A1" s="188" t="s">
        <v>0</v>
      </c>
      <c r="B1" s="188"/>
      <c r="C1" s="188"/>
      <c r="D1" s="188"/>
      <c r="E1" s="188"/>
    </row>
    <row r="2" spans="1:11" ht="18.75" x14ac:dyDescent="0.25">
      <c r="A2" s="189" t="s">
        <v>1</v>
      </c>
      <c r="B2" s="189"/>
      <c r="C2" s="189"/>
      <c r="D2" s="189"/>
      <c r="E2" s="189"/>
    </row>
    <row r="3" spans="1:11" ht="18.75" x14ac:dyDescent="0.25">
      <c r="A3" s="189" t="s">
        <v>35</v>
      </c>
      <c r="B3" s="189"/>
      <c r="C3" s="189"/>
      <c r="D3" s="189"/>
      <c r="E3" s="189"/>
    </row>
    <row r="4" spans="1:11" ht="18.75" x14ac:dyDescent="0.25">
      <c r="A4" s="189" t="s">
        <v>3</v>
      </c>
      <c r="B4" s="189"/>
      <c r="C4" s="189"/>
      <c r="D4" s="189"/>
      <c r="E4" s="189"/>
    </row>
    <row r="5" spans="1:11" ht="18.75" x14ac:dyDescent="0.25">
      <c r="A5" s="190" t="s">
        <v>168</v>
      </c>
      <c r="B5" s="190"/>
      <c r="C5" s="190"/>
      <c r="D5" s="190"/>
      <c r="E5" s="190"/>
    </row>
    <row r="6" spans="1:11" ht="18.75" x14ac:dyDescent="0.25">
      <c r="A6" s="190" t="s">
        <v>167</v>
      </c>
      <c r="B6" s="190"/>
      <c r="C6" s="190"/>
      <c r="D6" s="190"/>
      <c r="E6" s="190"/>
    </row>
    <row r="7" spans="1:11" ht="18.75" x14ac:dyDescent="0.25">
      <c r="A7" s="185" t="s">
        <v>4</v>
      </c>
      <c r="B7" s="185"/>
      <c r="C7" s="185"/>
      <c r="D7" s="185"/>
      <c r="E7" s="185"/>
    </row>
    <row r="9" spans="1:11" ht="15.75" x14ac:dyDescent="0.25">
      <c r="A9" s="2"/>
      <c r="B9" s="3" t="s">
        <v>5</v>
      </c>
      <c r="C9" s="4"/>
      <c r="D9" s="3">
        <v>2023</v>
      </c>
      <c r="E9" s="3">
        <v>2022</v>
      </c>
    </row>
    <row r="10" spans="1:11" ht="15.75" x14ac:dyDescent="0.25">
      <c r="A10" s="5" t="s">
        <v>36</v>
      </c>
      <c r="B10" s="2"/>
      <c r="C10" s="2"/>
      <c r="D10" s="9"/>
      <c r="E10" s="9"/>
    </row>
    <row r="11" spans="1:11" ht="15.75" x14ac:dyDescent="0.25">
      <c r="A11" s="2" t="s">
        <v>37</v>
      </c>
      <c r="B11" s="14">
        <v>18</v>
      </c>
      <c r="C11" s="8"/>
      <c r="D11" s="107">
        <v>348359123.56999999</v>
      </c>
      <c r="E11" s="84">
        <v>315477910.50999993</v>
      </c>
      <c r="F11" s="11" t="e">
        <f>D11-#REF!</f>
        <v>#REF!</v>
      </c>
      <c r="H11" s="11" t="e">
        <f>E11-#REF!</f>
        <v>#REF!</v>
      </c>
    </row>
    <row r="12" spans="1:11" ht="15.75" x14ac:dyDescent="0.25">
      <c r="A12" s="47" t="s">
        <v>179</v>
      </c>
      <c r="B12" s="14">
        <v>18</v>
      </c>
      <c r="C12" s="8"/>
      <c r="D12" s="107">
        <v>1064025769</v>
      </c>
      <c r="E12" s="84">
        <v>1248221550</v>
      </c>
      <c r="F12" s="11" t="e">
        <f>D12-#REF!</f>
        <v>#REF!</v>
      </c>
      <c r="H12" s="11" t="e">
        <f>E12-#REF!</f>
        <v>#REF!</v>
      </c>
    </row>
    <row r="13" spans="1:11" ht="15.75" x14ac:dyDescent="0.25">
      <c r="A13" s="2" t="s">
        <v>38</v>
      </c>
      <c r="B13" s="14" t="s">
        <v>173</v>
      </c>
      <c r="C13" s="8"/>
      <c r="D13" s="108">
        <v>161810358.27000001</v>
      </c>
      <c r="E13" s="26">
        <v>167594243.80000001</v>
      </c>
      <c r="F13" s="11" t="e">
        <f>D13-#REF!</f>
        <v>#REF!</v>
      </c>
      <c r="H13" s="11" t="e">
        <f>E13-#REF!</f>
        <v>#REF!</v>
      </c>
      <c r="I13" s="50"/>
      <c r="J13" s="180"/>
    </row>
    <row r="14" spans="1:11" ht="15.75" x14ac:dyDescent="0.25">
      <c r="A14" s="2" t="s">
        <v>39</v>
      </c>
      <c r="B14" s="14">
        <v>21</v>
      </c>
      <c r="C14" s="14"/>
      <c r="D14" s="109">
        <v>216920782.79000002</v>
      </c>
      <c r="E14" s="26">
        <v>84539859.239999995</v>
      </c>
      <c r="F14" s="11" t="e">
        <f>D14-#REF!</f>
        <v>#REF!</v>
      </c>
      <c r="G14" s="19"/>
      <c r="H14" s="51" t="e">
        <f>E14-#REF!</f>
        <v>#REF!</v>
      </c>
      <c r="I14" s="52"/>
      <c r="J14" s="125"/>
    </row>
    <row r="15" spans="1:11" ht="15.75" x14ac:dyDescent="0.25">
      <c r="A15" s="5" t="s">
        <v>40</v>
      </c>
      <c r="B15" s="54"/>
      <c r="C15" s="8"/>
      <c r="D15" s="110">
        <f>SUM(D11:D14)</f>
        <v>1791116033.6299999</v>
      </c>
      <c r="E15" s="105">
        <f>SUM(E11:E14)</f>
        <v>1815833563.55</v>
      </c>
      <c r="G15" s="19"/>
      <c r="H15" s="56"/>
      <c r="I15" s="52"/>
      <c r="J15" s="125">
        <f>D15+D26+D28</f>
        <v>1795099931.29</v>
      </c>
      <c r="K15" s="53"/>
    </row>
    <row r="16" spans="1:11" ht="15.75" x14ac:dyDescent="0.25">
      <c r="A16" s="5"/>
      <c r="B16" s="54"/>
      <c r="C16" s="8"/>
      <c r="D16" s="107"/>
      <c r="E16" s="84"/>
      <c r="H16" s="57"/>
      <c r="I16" s="58"/>
      <c r="J16" s="181"/>
      <c r="K16" s="11"/>
    </row>
    <row r="17" spans="1:10" ht="15.75" x14ac:dyDescent="0.25">
      <c r="A17" s="5" t="s">
        <v>41</v>
      </c>
      <c r="B17" s="54"/>
      <c r="C17" s="8"/>
      <c r="D17" s="107"/>
      <c r="E17" s="84"/>
      <c r="H17" s="59"/>
      <c r="I17" s="52"/>
      <c r="J17" s="125"/>
    </row>
    <row r="18" spans="1:10" ht="15.75" x14ac:dyDescent="0.25">
      <c r="A18" s="2" t="s">
        <v>42</v>
      </c>
      <c r="B18" s="14">
        <v>23</v>
      </c>
      <c r="C18" s="8"/>
      <c r="D18" s="107">
        <v>506938267.5200001</v>
      </c>
      <c r="E18" s="84">
        <v>464425296.26999992</v>
      </c>
      <c r="F18" s="11" t="e">
        <f>D18-#REF!</f>
        <v>#REF!</v>
      </c>
      <c r="H18" s="60" t="e">
        <f>E18-#REF!</f>
        <v>#REF!</v>
      </c>
      <c r="I18" s="52"/>
      <c r="J18" s="182"/>
    </row>
    <row r="19" spans="1:10" ht="31.5" x14ac:dyDescent="0.25">
      <c r="A19" s="47" t="s">
        <v>180</v>
      </c>
      <c r="B19" s="14">
        <v>24</v>
      </c>
      <c r="C19" s="8"/>
      <c r="D19" s="107">
        <v>497313249.05000001</v>
      </c>
      <c r="E19" s="84">
        <v>527080725.24000001</v>
      </c>
      <c r="F19" s="11" t="e">
        <f>D19-#REF!</f>
        <v>#REF!</v>
      </c>
      <c r="H19" s="62" t="e">
        <f>E19-#REF!</f>
        <v>#REF!</v>
      </c>
      <c r="I19" s="53"/>
      <c r="J19" s="125">
        <f>-D27</f>
        <v>32248441.16</v>
      </c>
    </row>
    <row r="20" spans="1:10" ht="15.75" x14ac:dyDescent="0.25">
      <c r="A20" s="2" t="s">
        <v>44</v>
      </c>
      <c r="B20" s="14">
        <v>25</v>
      </c>
      <c r="C20" s="8"/>
      <c r="D20" s="107">
        <v>39931714.57</v>
      </c>
      <c r="E20" s="84">
        <v>21498605.43</v>
      </c>
      <c r="F20" s="11" t="e">
        <f>D20-#REF!</f>
        <v>#REF!</v>
      </c>
      <c r="H20" s="51" t="e">
        <f>E20-#REF!</f>
        <v>#REF!</v>
      </c>
      <c r="I20" s="50"/>
      <c r="J20" s="183">
        <f>D19+J19</f>
        <v>529561690.21000004</v>
      </c>
    </row>
    <row r="21" spans="1:10" ht="15.75" x14ac:dyDescent="0.25">
      <c r="A21" s="2" t="s">
        <v>43</v>
      </c>
      <c r="B21" s="14">
        <v>27</v>
      </c>
      <c r="C21" s="8"/>
      <c r="D21" s="88">
        <v>181878553.67000002</v>
      </c>
      <c r="E21" s="84">
        <v>123923101.2343749</v>
      </c>
      <c r="F21" s="11" t="e">
        <f>D21-#REF!</f>
        <v>#REF!</v>
      </c>
      <c r="H21" s="57" t="e">
        <f>E21-#REF!</f>
        <v>#REF!</v>
      </c>
      <c r="I21" s="65"/>
      <c r="J21" s="181">
        <f>J20+D21</f>
        <v>711440243.88000011</v>
      </c>
    </row>
    <row r="22" spans="1:10" ht="15.75" x14ac:dyDescent="0.25">
      <c r="A22" s="5" t="s">
        <v>45</v>
      </c>
      <c r="B22" s="54"/>
      <c r="C22" s="8"/>
      <c r="D22" s="110">
        <f>SUM(D18:D21)</f>
        <v>1226061784.8100002</v>
      </c>
      <c r="E22" s="105">
        <f>SUM(E18:E21)</f>
        <v>1136927728.1743748</v>
      </c>
      <c r="F22" s="11" t="e">
        <f>D22-#REF!</f>
        <v>#REF!</v>
      </c>
      <c r="G22" s="19"/>
      <c r="H22" s="57" t="e">
        <f>E22-#REF!</f>
        <v>#REF!</v>
      </c>
      <c r="I22" s="65"/>
    </row>
    <row r="23" spans="1:10" ht="15.75" x14ac:dyDescent="0.25">
      <c r="A23" s="2"/>
      <c r="B23" s="54"/>
      <c r="C23" s="8"/>
      <c r="D23" s="107"/>
      <c r="E23" s="84"/>
      <c r="H23" s="19"/>
      <c r="I23" s="19"/>
    </row>
    <row r="24" spans="1:10" ht="31.5" x14ac:dyDescent="0.25">
      <c r="A24" s="36" t="s">
        <v>46</v>
      </c>
      <c r="B24" s="54"/>
      <c r="C24" s="8"/>
      <c r="D24" s="110">
        <f>D15-D22</f>
        <v>565054248.81999969</v>
      </c>
      <c r="E24" s="105">
        <f>E15-E22</f>
        <v>678905835.37562513</v>
      </c>
      <c r="F24" s="11" t="e">
        <f>D24-#REF!</f>
        <v>#REF!</v>
      </c>
      <c r="G24" s="19"/>
      <c r="H24" s="11" t="e">
        <f>E24-#REF!</f>
        <v>#REF!</v>
      </c>
    </row>
    <row r="25" spans="1:10" ht="15.75" x14ac:dyDescent="0.25">
      <c r="A25" s="2" t="s">
        <v>47</v>
      </c>
      <c r="B25" s="54"/>
      <c r="C25" s="8"/>
      <c r="D25" s="107"/>
      <c r="E25" s="84"/>
    </row>
    <row r="26" spans="1:10" ht="31.5" x14ac:dyDescent="0.25">
      <c r="A26" s="61" t="s">
        <v>48</v>
      </c>
      <c r="B26" s="14">
        <v>20</v>
      </c>
      <c r="C26" s="8"/>
      <c r="D26" s="111">
        <v>1745000</v>
      </c>
      <c r="E26" s="112">
        <v>10612957.539999999</v>
      </c>
      <c r="F26" s="113" t="e">
        <f>D26-#REF!</f>
        <v>#REF!</v>
      </c>
      <c r="G26" s="114"/>
      <c r="H26" s="113" t="e">
        <f>E26-#REF!</f>
        <v>#REF!</v>
      </c>
      <c r="I26" s="114"/>
    </row>
    <row r="27" spans="1:10" ht="15.75" x14ac:dyDescent="0.25">
      <c r="A27" s="2" t="s">
        <v>49</v>
      </c>
      <c r="B27" s="14">
        <v>24</v>
      </c>
      <c r="C27" s="8"/>
      <c r="D27" s="26">
        <v>-32248441.16</v>
      </c>
      <c r="E27" s="26">
        <v>-21104847.27</v>
      </c>
      <c r="F27" s="11" t="e">
        <f>D27-#REF!</f>
        <v>#REF!</v>
      </c>
      <c r="H27" s="10" t="e">
        <f>E27+#REF!</f>
        <v>#REF!</v>
      </c>
      <c r="I27" s="10"/>
      <c r="J27" s="184"/>
    </row>
    <row r="28" spans="1:10" ht="15.75" x14ac:dyDescent="0.25">
      <c r="A28" s="2" t="s">
        <v>50</v>
      </c>
      <c r="B28" s="14">
        <v>22</v>
      </c>
      <c r="C28" s="8"/>
      <c r="D28" s="88">
        <v>2238897.66</v>
      </c>
      <c r="E28" s="25">
        <v>2218956.2500000005</v>
      </c>
      <c r="F28" s="11" t="e">
        <f>D28-#REF!</f>
        <v>#REF!</v>
      </c>
      <c r="H28" s="10" t="e">
        <f>E28-#REF!</f>
        <v>#REF!</v>
      </c>
      <c r="I28" s="10"/>
    </row>
    <row r="29" spans="1:10" ht="16.5" thickBot="1" x14ac:dyDescent="0.3">
      <c r="A29" s="5" t="s">
        <v>51</v>
      </c>
      <c r="B29" s="66"/>
      <c r="C29" s="66"/>
      <c r="D29" s="67">
        <f>SUM(D24:D28)</f>
        <v>536789705.31999969</v>
      </c>
      <c r="E29" s="68">
        <f>SUM(E24:E28)</f>
        <v>670632901.89562511</v>
      </c>
      <c r="F29" s="11" t="e">
        <f>D29-#REF!</f>
        <v>#REF!</v>
      </c>
      <c r="G29" s="19"/>
      <c r="H29" s="19" t="e">
        <f>E29-#REF!</f>
        <v>#REF!</v>
      </c>
      <c r="I29" s="19"/>
    </row>
    <row r="30" spans="1:10" ht="16.5" thickTop="1" x14ac:dyDescent="0.25">
      <c r="A30" s="45"/>
      <c r="B30" s="45"/>
      <c r="C30" s="45"/>
      <c r="D30" s="69"/>
      <c r="E30" s="69"/>
      <c r="G30" s="19"/>
      <c r="H30" s="19"/>
      <c r="I30" s="19"/>
    </row>
    <row r="31" spans="1:10" ht="15.75" x14ac:dyDescent="0.25">
      <c r="A31" s="187" t="s">
        <v>34</v>
      </c>
      <c r="B31" s="187"/>
      <c r="C31" s="187"/>
      <c r="D31" s="187"/>
      <c r="E31" s="187"/>
      <c r="H31" s="70"/>
    </row>
    <row r="33" spans="2:9" ht="15.75" x14ac:dyDescent="0.25">
      <c r="B33" s="119"/>
    </row>
    <row r="34" spans="2:9" x14ac:dyDescent="0.25">
      <c r="D34" s="72"/>
      <c r="E34" s="73"/>
      <c r="F34" s="46"/>
      <c r="G34" s="46"/>
      <c r="H34" s="46"/>
      <c r="I34" s="46"/>
    </row>
    <row r="35" spans="2:9" x14ac:dyDescent="0.25">
      <c r="D35" s="72"/>
      <c r="E35" s="73"/>
      <c r="F35" s="46"/>
      <c r="G35" s="46"/>
      <c r="H35" s="46"/>
      <c r="I35" s="46"/>
    </row>
    <row r="36" spans="2:9" x14ac:dyDescent="0.25">
      <c r="D36" s="72"/>
      <c r="E36" s="73"/>
      <c r="F36" s="46"/>
      <c r="G36" s="46"/>
      <c r="H36" s="46"/>
      <c r="I36" s="46"/>
    </row>
    <row r="37" spans="2:9" x14ac:dyDescent="0.25">
      <c r="D37" s="72"/>
      <c r="E37" s="73"/>
      <c r="F37" s="46"/>
      <c r="G37" s="46"/>
      <c r="H37" s="46"/>
      <c r="I37" s="46"/>
    </row>
    <row r="38" spans="2:9" x14ac:dyDescent="0.25">
      <c r="D38" s="73"/>
      <c r="E38" s="73"/>
      <c r="F38" s="46"/>
      <c r="G38" s="46"/>
      <c r="H38" s="46"/>
      <c r="I38" s="46"/>
    </row>
    <row r="39" spans="2:9" x14ac:dyDescent="0.25">
      <c r="D39" s="73"/>
      <c r="E39" s="73"/>
      <c r="F39" s="46"/>
      <c r="G39" s="46"/>
      <c r="H39" s="46"/>
      <c r="I39" s="46"/>
    </row>
  </sheetData>
  <sheetProtection algorithmName="SHA-512" hashValue="YBoMt9IcPfW4snxr23FORbreD6NYTdKOcfelXTYrhLxVHqMZrCqsiu2wMaie0kXFONSgAWV3QriKD6TwqcCJjw==" saltValue="2WAMihwflH5IcYKhH6boYQ==" spinCount="100000" sheet="1" objects="1" scenarios="1" selectLockedCells="1" selectUnlockedCells="1"/>
  <mergeCells count="8">
    <mergeCell ref="A7:E7"/>
    <mergeCell ref="A31:E31"/>
    <mergeCell ref="A1:E1"/>
    <mergeCell ref="A2:E2"/>
    <mergeCell ref="A3:E3"/>
    <mergeCell ref="A4:E4"/>
    <mergeCell ref="A5:E5"/>
    <mergeCell ref="A6:E6"/>
  </mergeCells>
  <pageMargins left="1.5" right="1" top="1" bottom="1" header="0.5" footer="0.5"/>
  <pageSetup scale="86" orientation="portrait" r:id="rId1"/>
  <headerFooter scaleWithDoc="0">
    <oddFooter xml:space="preserve">&amp;C&amp;"Times New Roman,Regular"&amp;12 7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8"/>
  <sheetViews>
    <sheetView showGridLines="0" zoomScaleNormal="100" zoomScaleSheetLayoutView="100" workbookViewId="0">
      <selection sqref="A1:E1"/>
    </sheetView>
  </sheetViews>
  <sheetFormatPr defaultRowHeight="15" x14ac:dyDescent="0.25"/>
  <cols>
    <col min="1" max="1" width="41.42578125" customWidth="1"/>
    <col min="2" max="2" width="5.7109375" bestFit="1" customWidth="1"/>
    <col min="3" max="3" width="0.85546875" customWidth="1"/>
    <col min="4" max="5" width="21.28515625" style="71" customWidth="1"/>
    <col min="6" max="6" width="15.28515625" bestFit="1" customWidth="1"/>
    <col min="7" max="8" width="16.85546875" hidden="1" customWidth="1"/>
  </cols>
  <sheetData>
    <row r="1" spans="1:8" ht="17.45" x14ac:dyDescent="0.3">
      <c r="A1" s="188" t="s">
        <v>0</v>
      </c>
      <c r="B1" s="188"/>
      <c r="C1" s="188"/>
      <c r="D1" s="188"/>
      <c r="E1" s="188"/>
    </row>
    <row r="2" spans="1:8" ht="17.45" x14ac:dyDescent="0.3">
      <c r="A2" s="189" t="s">
        <v>1</v>
      </c>
      <c r="B2" s="189"/>
      <c r="C2" s="189"/>
      <c r="D2" s="189"/>
      <c r="E2" s="189"/>
    </row>
    <row r="3" spans="1:8" ht="17.45" x14ac:dyDescent="0.3">
      <c r="A3" s="189" t="s">
        <v>52</v>
      </c>
      <c r="B3" s="189"/>
      <c r="C3" s="189"/>
      <c r="D3" s="189"/>
      <c r="E3" s="189"/>
    </row>
    <row r="4" spans="1:8" ht="17.45" x14ac:dyDescent="0.3">
      <c r="A4" s="189" t="s">
        <v>3</v>
      </c>
      <c r="B4" s="189"/>
      <c r="C4" s="189"/>
      <c r="D4" s="189"/>
      <c r="E4" s="189"/>
    </row>
    <row r="5" spans="1:8" ht="18" x14ac:dyDescent="0.3">
      <c r="A5" s="190" t="s">
        <v>168</v>
      </c>
      <c r="B5" s="190"/>
      <c r="C5" s="190"/>
      <c r="D5" s="190"/>
      <c r="E5" s="190"/>
    </row>
    <row r="6" spans="1:8" ht="15.75" customHeight="1" x14ac:dyDescent="0.3">
      <c r="A6" s="190" t="s">
        <v>167</v>
      </c>
      <c r="B6" s="190"/>
      <c r="C6" s="190"/>
      <c r="D6" s="190"/>
      <c r="E6" s="190"/>
    </row>
    <row r="7" spans="1:8" ht="18" x14ac:dyDescent="0.3">
      <c r="A7" s="185" t="s">
        <v>4</v>
      </c>
      <c r="B7" s="185"/>
      <c r="C7" s="185"/>
      <c r="D7" s="185"/>
      <c r="E7" s="185"/>
    </row>
    <row r="8" spans="1:8" ht="14.45" x14ac:dyDescent="0.3">
      <c r="D8" s="53"/>
      <c r="E8" s="53"/>
    </row>
    <row r="9" spans="1:8" ht="15.6" x14ac:dyDescent="0.3">
      <c r="A9" s="4"/>
      <c r="B9" s="3" t="s">
        <v>5</v>
      </c>
      <c r="C9" s="8"/>
      <c r="D9" s="3">
        <v>2023</v>
      </c>
      <c r="E9" s="3">
        <v>2022</v>
      </c>
    </row>
    <row r="10" spans="1:8" ht="15.6" x14ac:dyDescent="0.3">
      <c r="A10" s="36" t="s">
        <v>53</v>
      </c>
      <c r="B10" s="8"/>
      <c r="C10" s="8"/>
      <c r="D10" s="9">
        <f>E18</f>
        <v>3570728349.8199992</v>
      </c>
      <c r="E10" s="9">
        <v>3027056416.3899994</v>
      </c>
      <c r="G10" s="11" t="e">
        <f>D10-#REF!</f>
        <v>#REF!</v>
      </c>
      <c r="H10" s="11" t="e">
        <f>E10-#REF!</f>
        <v>#REF!</v>
      </c>
    </row>
    <row r="11" spans="1:8" ht="15.6" x14ac:dyDescent="0.3">
      <c r="A11" s="13" t="s">
        <v>54</v>
      </c>
      <c r="B11" s="8"/>
      <c r="C11" s="8"/>
      <c r="D11" s="9"/>
      <c r="E11" s="9"/>
    </row>
    <row r="12" spans="1:8" ht="15.6" x14ac:dyDescent="0.3">
      <c r="A12" s="13" t="s">
        <v>55</v>
      </c>
      <c r="B12" s="8"/>
      <c r="C12" s="8"/>
      <c r="D12" s="122">
        <v>6756702.6500000004</v>
      </c>
      <c r="E12" s="74"/>
      <c r="H12" s="48" t="e">
        <f>E12-#REF!</f>
        <v>#REF!</v>
      </c>
    </row>
    <row r="13" spans="1:8" ht="15.6" x14ac:dyDescent="0.3">
      <c r="A13" s="13" t="s">
        <v>56</v>
      </c>
      <c r="B13" s="8">
        <v>28</v>
      </c>
      <c r="C13" s="8"/>
      <c r="D13" s="15">
        <v>-306264619.22000003</v>
      </c>
      <c r="E13" s="15">
        <v>-126960968.46562509</v>
      </c>
      <c r="F13" s="11"/>
      <c r="G13" s="19" t="e">
        <f>D13-#REF!</f>
        <v>#REF!</v>
      </c>
      <c r="H13" s="19" t="e">
        <f>E13-#REF!</f>
        <v>#REF!</v>
      </c>
    </row>
    <row r="14" spans="1:8" ht="15.6" x14ac:dyDescent="0.3">
      <c r="A14" s="36" t="s">
        <v>57</v>
      </c>
      <c r="B14" s="4"/>
      <c r="C14" s="4"/>
      <c r="D14" s="18">
        <f>SUM(D10:D13)</f>
        <v>3271220433.249999</v>
      </c>
      <c r="E14" s="75">
        <f>E10+E12+E13</f>
        <v>2900095447.9243741</v>
      </c>
      <c r="G14" s="19" t="e">
        <f>D14-#REF!</f>
        <v>#REF!</v>
      </c>
      <c r="H14" s="19" t="e">
        <f>E14-#REF!</f>
        <v>#REF!</v>
      </c>
    </row>
    <row r="15" spans="1:8" ht="31.15" x14ac:dyDescent="0.3">
      <c r="A15" s="76" t="s">
        <v>58</v>
      </c>
      <c r="B15" s="76"/>
      <c r="C15" s="76"/>
      <c r="D15" s="76"/>
      <c r="E15" s="66"/>
    </row>
    <row r="16" spans="1:8" ht="15.6" x14ac:dyDescent="0.3">
      <c r="A16" s="13" t="s">
        <v>59</v>
      </c>
      <c r="B16" s="8"/>
      <c r="C16" s="8"/>
      <c r="D16" s="15">
        <f>SFPER!D29</f>
        <v>536789705.31999969</v>
      </c>
      <c r="E16" s="15">
        <f>SFPER!E29</f>
        <v>670632901.89562511</v>
      </c>
      <c r="G16" s="11" t="e">
        <f>D16-#REF!</f>
        <v>#REF!</v>
      </c>
      <c r="H16" s="11" t="e">
        <f>E16-#REF!</f>
        <v>#REF!</v>
      </c>
    </row>
    <row r="17" spans="1:9" ht="15.6" x14ac:dyDescent="0.3">
      <c r="A17" s="77" t="s">
        <v>60</v>
      </c>
      <c r="B17" s="8"/>
      <c r="C17" s="8"/>
      <c r="D17" s="78">
        <f>D16</f>
        <v>536789705.31999969</v>
      </c>
      <c r="E17" s="78">
        <f>E16</f>
        <v>670632901.89562511</v>
      </c>
      <c r="G17" s="19"/>
      <c r="H17" s="19"/>
    </row>
    <row r="18" spans="1:9" ht="15.6" x14ac:dyDescent="0.3">
      <c r="A18" s="36" t="s">
        <v>165</v>
      </c>
      <c r="B18" s="8">
        <v>29</v>
      </c>
      <c r="C18" s="4"/>
      <c r="D18" s="18">
        <f>D14+D17</f>
        <v>3808010138.5699987</v>
      </c>
      <c r="E18" s="18">
        <f>E14+E16</f>
        <v>3570728349.8199992</v>
      </c>
      <c r="F18" s="11"/>
      <c r="G18" s="19"/>
      <c r="H18" s="19"/>
    </row>
    <row r="19" spans="1:9" ht="15.6" x14ac:dyDescent="0.3">
      <c r="A19" s="45"/>
      <c r="B19" s="45"/>
      <c r="C19" s="45"/>
      <c r="D19" s="120"/>
      <c r="E19" s="120"/>
      <c r="G19" s="19"/>
      <c r="I19" s="19"/>
    </row>
    <row r="20" spans="1:9" ht="15.6" x14ac:dyDescent="0.3">
      <c r="A20" s="187" t="s">
        <v>34</v>
      </c>
      <c r="B20" s="187"/>
      <c r="C20" s="187"/>
      <c r="D20" s="187"/>
      <c r="E20" s="187"/>
    </row>
    <row r="22" spans="1:9" ht="15.6" x14ac:dyDescent="0.3">
      <c r="B22" s="119"/>
    </row>
    <row r="27" spans="1:9" ht="14.45" x14ac:dyDescent="0.3">
      <c r="B27" s="46"/>
      <c r="C27" s="46"/>
      <c r="D27" s="73"/>
      <c r="E27" s="73"/>
    </row>
    <row r="28" spans="1:9" x14ac:dyDescent="0.25">
      <c r="B28" s="46"/>
      <c r="C28" s="46"/>
      <c r="D28" s="73"/>
      <c r="E28" s="73"/>
    </row>
  </sheetData>
  <sheetProtection algorithmName="SHA-512" hashValue="2qAoJbmpDk2HZSisnyXrCAXjB2+T5xdTr50SB/EcFhSevgMk6M25hAhpKMmjHFtvkbIz3CM5MO3zLwmFXawZeA==" saltValue="JKLaTmnjewML+qKTTobtHA==" spinCount="100000" sheet="1" objects="1" scenarios="1" selectLockedCells="1" selectUnlockedCells="1"/>
  <mergeCells count="8">
    <mergeCell ref="A7:E7"/>
    <mergeCell ref="A20:E20"/>
    <mergeCell ref="A1:E1"/>
    <mergeCell ref="A2:E2"/>
    <mergeCell ref="A3:E3"/>
    <mergeCell ref="A4:E4"/>
    <mergeCell ref="A5:E5"/>
    <mergeCell ref="A6:E6"/>
  </mergeCells>
  <pageMargins left="1.5" right="1" top="1" bottom="1" header="0.5" footer="0.5"/>
  <pageSetup scale="84" orientation="portrait" r:id="rId1"/>
  <headerFooter scaleWithDoc="0">
    <oddFooter xml:space="preserve">&amp;C&amp;"Times New Roman,Regular"&amp;12 8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8"/>
  <sheetViews>
    <sheetView showGridLines="0" zoomScaleNormal="100" zoomScaleSheetLayoutView="100" workbookViewId="0">
      <selection sqref="A1:F1"/>
    </sheetView>
  </sheetViews>
  <sheetFormatPr defaultRowHeight="15" x14ac:dyDescent="0.25"/>
  <cols>
    <col min="1" max="1" width="42.42578125" customWidth="1"/>
    <col min="2" max="2" width="5.7109375" bestFit="1" customWidth="1"/>
    <col min="3" max="3" width="0.85546875" customWidth="1"/>
    <col min="4" max="4" width="19.42578125" style="71" bestFit="1" customWidth="1"/>
    <col min="5" max="5" width="2.140625" style="53" customWidth="1"/>
    <col min="6" max="6" width="18.7109375" style="71" customWidth="1"/>
    <col min="8" max="8" width="17.7109375" bestFit="1" customWidth="1"/>
    <col min="9" max="9" width="16.85546875" bestFit="1" customWidth="1"/>
  </cols>
  <sheetData>
    <row r="1" spans="1:6" ht="17.45" x14ac:dyDescent="0.3">
      <c r="A1" s="188" t="s">
        <v>0</v>
      </c>
      <c r="B1" s="188"/>
      <c r="C1" s="188"/>
      <c r="D1" s="188"/>
      <c r="E1" s="188"/>
      <c r="F1" s="188"/>
    </row>
    <row r="2" spans="1:6" ht="17.45" x14ac:dyDescent="0.3">
      <c r="A2" s="189" t="s">
        <v>1</v>
      </c>
      <c r="B2" s="189"/>
      <c r="C2" s="189"/>
      <c r="D2" s="189"/>
      <c r="E2" s="189"/>
      <c r="F2" s="189"/>
    </row>
    <row r="3" spans="1:6" ht="17.45" x14ac:dyDescent="0.3">
      <c r="A3" s="189" t="s">
        <v>61</v>
      </c>
      <c r="B3" s="189"/>
      <c r="C3" s="189"/>
      <c r="D3" s="189"/>
      <c r="E3" s="189"/>
      <c r="F3" s="189"/>
    </row>
    <row r="4" spans="1:6" ht="17.45" x14ac:dyDescent="0.3">
      <c r="A4" s="189" t="s">
        <v>3</v>
      </c>
      <c r="B4" s="189"/>
      <c r="C4" s="189"/>
      <c r="D4" s="189"/>
      <c r="E4" s="189"/>
      <c r="F4" s="189"/>
    </row>
    <row r="5" spans="1:6" ht="18" x14ac:dyDescent="0.3">
      <c r="A5" s="190" t="s">
        <v>168</v>
      </c>
      <c r="B5" s="190"/>
      <c r="C5" s="190"/>
      <c r="D5" s="190"/>
      <c r="E5" s="190"/>
      <c r="F5" s="190"/>
    </row>
    <row r="6" spans="1:6" ht="18" x14ac:dyDescent="0.3">
      <c r="A6" s="190" t="s">
        <v>167</v>
      </c>
      <c r="B6" s="190"/>
      <c r="C6" s="190"/>
      <c r="D6" s="190"/>
      <c r="E6" s="190"/>
      <c r="F6" s="190"/>
    </row>
    <row r="7" spans="1:6" ht="18" x14ac:dyDescent="0.3">
      <c r="A7" s="185" t="s">
        <v>4</v>
      </c>
      <c r="B7" s="185"/>
      <c r="C7" s="185"/>
      <c r="D7" s="185"/>
      <c r="E7" s="185"/>
      <c r="F7" s="185"/>
    </row>
    <row r="9" spans="1:6" ht="15.6" x14ac:dyDescent="0.3">
      <c r="A9" s="2"/>
      <c r="B9" s="79" t="s">
        <v>5</v>
      </c>
      <c r="C9" s="5"/>
      <c r="D9" s="3">
        <v>2023</v>
      </c>
      <c r="E9" s="4"/>
      <c r="F9" s="3">
        <v>2022</v>
      </c>
    </row>
    <row r="10" spans="1:6" ht="15.6" x14ac:dyDescent="0.3">
      <c r="A10" s="5" t="s">
        <v>62</v>
      </c>
      <c r="B10" s="2"/>
      <c r="C10" s="2"/>
      <c r="D10" s="2"/>
      <c r="E10" s="2"/>
      <c r="F10" s="2"/>
    </row>
    <row r="11" spans="1:6" ht="16.149999999999999" x14ac:dyDescent="0.3">
      <c r="A11" s="80" t="s">
        <v>63</v>
      </c>
      <c r="B11" s="8"/>
      <c r="C11" s="8"/>
      <c r="D11" s="81"/>
      <c r="E11" s="82"/>
      <c r="F11" s="81"/>
    </row>
    <row r="12" spans="1:6" ht="15.6" x14ac:dyDescent="0.3">
      <c r="A12" s="13" t="s">
        <v>174</v>
      </c>
      <c r="B12" s="8"/>
      <c r="C12" s="8"/>
      <c r="D12" s="96">
        <v>382556504.44999999</v>
      </c>
      <c r="E12" s="10"/>
      <c r="F12" s="9">
        <v>398152682.96000004</v>
      </c>
    </row>
    <row r="13" spans="1:6" ht="15.6" x14ac:dyDescent="0.3">
      <c r="A13" s="13" t="s">
        <v>64</v>
      </c>
      <c r="B13" s="8"/>
      <c r="C13" s="8"/>
      <c r="D13" s="96">
        <v>1064025769</v>
      </c>
      <c r="E13" s="10"/>
      <c r="F13" s="9">
        <v>1248221550</v>
      </c>
    </row>
    <row r="14" spans="1:6" ht="15.6" x14ac:dyDescent="0.3">
      <c r="A14" s="13" t="s">
        <v>175</v>
      </c>
      <c r="B14" s="8"/>
      <c r="C14" s="8"/>
      <c r="D14" s="96">
        <v>138968640.84</v>
      </c>
      <c r="E14" s="10"/>
      <c r="F14" s="9">
        <v>63908116.440000005</v>
      </c>
    </row>
    <row r="15" spans="1:6" ht="15.6" x14ac:dyDescent="0.3">
      <c r="A15" s="13" t="s">
        <v>65</v>
      </c>
      <c r="B15" s="8"/>
      <c r="C15" s="8"/>
      <c r="D15" s="96">
        <v>689399.09</v>
      </c>
      <c r="E15" s="10"/>
      <c r="F15" s="9">
        <v>723892.41999999993</v>
      </c>
    </row>
    <row r="16" spans="1:6" ht="15.6" x14ac:dyDescent="0.3">
      <c r="A16" s="13" t="s">
        <v>66</v>
      </c>
      <c r="B16" s="8"/>
      <c r="C16" s="8"/>
      <c r="D16" s="115">
        <v>379831233.85000002</v>
      </c>
      <c r="E16" s="10"/>
      <c r="F16" s="15">
        <v>434253082.73000002</v>
      </c>
    </row>
    <row r="17" spans="1:9" ht="15.6" x14ac:dyDescent="0.3">
      <c r="A17" s="36" t="s">
        <v>67</v>
      </c>
      <c r="B17" s="8"/>
      <c r="C17" s="8"/>
      <c r="D17" s="101">
        <f>+SUM(D12:D16)</f>
        <v>1966071547.23</v>
      </c>
      <c r="E17" s="18"/>
      <c r="F17" s="83">
        <f>+SUM(F12:F16)</f>
        <v>2145259324.5500002</v>
      </c>
      <c r="H17" s="19"/>
      <c r="I17" s="19"/>
    </row>
    <row r="18" spans="1:9" ht="16.149999999999999" x14ac:dyDescent="0.3">
      <c r="A18" s="80" t="s">
        <v>68</v>
      </c>
      <c r="B18" s="8"/>
      <c r="C18" s="8"/>
      <c r="D18" s="96"/>
      <c r="E18" s="10"/>
      <c r="F18" s="9"/>
      <c r="H18" s="19"/>
      <c r="I18" s="19"/>
    </row>
    <row r="19" spans="1:9" ht="15.6" x14ac:dyDescent="0.3">
      <c r="A19" s="47" t="s">
        <v>177</v>
      </c>
      <c r="B19" s="8"/>
      <c r="C19" s="8"/>
      <c r="D19" s="97">
        <v>312639175.50999999</v>
      </c>
      <c r="E19" s="10"/>
      <c r="F19" s="9">
        <v>290276322.34999996</v>
      </c>
    </row>
    <row r="20" spans="1:9" ht="15.6" x14ac:dyDescent="0.3">
      <c r="A20" s="47" t="s">
        <v>178</v>
      </c>
      <c r="B20" s="8"/>
      <c r="C20" s="8"/>
      <c r="D20" s="96">
        <v>7792407.4199999999</v>
      </c>
      <c r="E20" s="10"/>
      <c r="F20" s="9">
        <v>107005799.10800001</v>
      </c>
    </row>
    <row r="21" spans="1:9" ht="15.6" x14ac:dyDescent="0.3">
      <c r="A21" s="47" t="s">
        <v>176</v>
      </c>
      <c r="B21" s="8"/>
      <c r="C21" s="8"/>
      <c r="D21" s="96">
        <v>488578661.63</v>
      </c>
      <c r="E21" s="10"/>
      <c r="F21" s="9">
        <v>530779906.25999999</v>
      </c>
    </row>
    <row r="22" spans="1:9" ht="15.6" x14ac:dyDescent="0.3">
      <c r="A22" s="13" t="s">
        <v>69</v>
      </c>
      <c r="B22" s="8"/>
      <c r="C22" s="8"/>
      <c r="D22" s="96">
        <v>38988267.07</v>
      </c>
      <c r="E22" s="10"/>
      <c r="F22" s="9">
        <v>20139327.800000001</v>
      </c>
    </row>
    <row r="23" spans="1:9" ht="15.6" x14ac:dyDescent="0.3">
      <c r="A23" s="13" t="s">
        <v>161</v>
      </c>
      <c r="B23" s="8"/>
      <c r="C23" s="8"/>
      <c r="D23" s="116">
        <v>691115765.31999993</v>
      </c>
      <c r="E23" s="10"/>
      <c r="F23" s="15">
        <v>959457535.76999998</v>
      </c>
    </row>
    <row r="24" spans="1:9" ht="15.6" x14ac:dyDescent="0.3">
      <c r="A24" s="36" t="s">
        <v>70</v>
      </c>
      <c r="B24" s="8"/>
      <c r="C24" s="8"/>
      <c r="D24" s="101">
        <f>+SUM(D19:D23)</f>
        <v>1539114276.9499998</v>
      </c>
      <c r="E24" s="18"/>
      <c r="F24" s="83">
        <f>+SUM(F19:F23)</f>
        <v>1907658891.2879999</v>
      </c>
      <c r="H24" s="19"/>
      <c r="I24" s="19"/>
    </row>
    <row r="25" spans="1:9" ht="15.75" x14ac:dyDescent="0.25">
      <c r="A25" s="36" t="s">
        <v>71</v>
      </c>
      <c r="B25" s="8"/>
      <c r="C25" s="8"/>
      <c r="D25" s="117">
        <f>D17-D24</f>
        <v>426957270.28000021</v>
      </c>
      <c r="E25" s="18"/>
      <c r="F25" s="85">
        <f>F17-F24</f>
        <v>237600433.26200032</v>
      </c>
      <c r="H25" s="19"/>
      <c r="I25" s="19"/>
    </row>
    <row r="26" spans="1:9" ht="15.75" x14ac:dyDescent="0.25">
      <c r="A26" s="86" t="s">
        <v>72</v>
      </c>
      <c r="B26" s="8"/>
      <c r="C26" s="8"/>
      <c r="D26" s="96"/>
      <c r="E26" s="10"/>
      <c r="F26" s="9"/>
      <c r="H26" s="19"/>
      <c r="I26" s="19"/>
    </row>
    <row r="27" spans="1:9" ht="15.75" x14ac:dyDescent="0.25">
      <c r="A27" s="80" t="s">
        <v>73</v>
      </c>
      <c r="B27" s="8"/>
      <c r="C27" s="8"/>
      <c r="D27" s="96"/>
      <c r="E27" s="10"/>
      <c r="F27" s="9"/>
    </row>
    <row r="28" spans="1:9" ht="15.75" x14ac:dyDescent="0.25">
      <c r="A28" s="13" t="s">
        <v>74</v>
      </c>
      <c r="B28" s="8"/>
      <c r="C28" s="8"/>
      <c r="D28" s="115">
        <v>5782102.5300000003</v>
      </c>
      <c r="E28" s="10"/>
      <c r="F28" s="126">
        <v>11519.46</v>
      </c>
    </row>
    <row r="29" spans="1:9" ht="15.75" x14ac:dyDescent="0.25">
      <c r="A29" s="36" t="s">
        <v>75</v>
      </c>
      <c r="B29" s="8"/>
      <c r="C29" s="8"/>
      <c r="D29" s="101">
        <f>+D28</f>
        <v>5782102.5300000003</v>
      </c>
      <c r="E29" s="18"/>
      <c r="F29" s="87">
        <f>+F28</f>
        <v>11519.46</v>
      </c>
    </row>
    <row r="30" spans="1:9" ht="15.75" x14ac:dyDescent="0.25">
      <c r="A30" s="80" t="s">
        <v>68</v>
      </c>
      <c r="B30" s="8"/>
      <c r="C30" s="8"/>
      <c r="D30" s="96"/>
      <c r="E30" s="10"/>
      <c r="F30" s="9"/>
    </row>
    <row r="31" spans="1:9" ht="15.75" x14ac:dyDescent="0.25">
      <c r="A31" s="13" t="s">
        <v>76</v>
      </c>
      <c r="B31" s="8"/>
      <c r="C31" s="8"/>
      <c r="D31" s="115">
        <v>561245441.85000002</v>
      </c>
      <c r="E31" s="10"/>
      <c r="F31" s="15">
        <v>460803164.59999996</v>
      </c>
    </row>
    <row r="32" spans="1:9" ht="15.75" x14ac:dyDescent="0.25">
      <c r="A32" s="36" t="s">
        <v>70</v>
      </c>
      <c r="B32" s="8"/>
      <c r="C32" s="8"/>
      <c r="D32" s="118">
        <f>+D31</f>
        <v>561245441.85000002</v>
      </c>
      <c r="E32" s="18"/>
      <c r="F32" s="55">
        <f>+F31</f>
        <v>460803164.59999996</v>
      </c>
    </row>
    <row r="33" spans="1:10" ht="15.75" x14ac:dyDescent="0.25">
      <c r="A33" s="36" t="s">
        <v>77</v>
      </c>
      <c r="B33" s="8"/>
      <c r="C33" s="8"/>
      <c r="D33" s="103">
        <f>+D29-D32</f>
        <v>-555463339.32000005</v>
      </c>
      <c r="E33" s="102"/>
      <c r="F33" s="103">
        <f>+F29-F32</f>
        <v>-460791645.13999999</v>
      </c>
    </row>
    <row r="34" spans="1:10" ht="15.75" x14ac:dyDescent="0.25">
      <c r="A34" s="86" t="s">
        <v>78</v>
      </c>
      <c r="B34" s="8"/>
      <c r="C34" s="8"/>
      <c r="D34" s="96"/>
      <c r="E34" s="104"/>
      <c r="F34" s="96"/>
    </row>
    <row r="35" spans="1:10" ht="15.75" x14ac:dyDescent="0.25">
      <c r="A35" s="80" t="s">
        <v>63</v>
      </c>
      <c r="B35" s="8"/>
      <c r="C35" s="8"/>
      <c r="D35" s="96"/>
      <c r="E35" s="10"/>
      <c r="F35" s="9"/>
    </row>
    <row r="36" spans="1:10" ht="15.75" x14ac:dyDescent="0.25">
      <c r="A36" s="13" t="s">
        <v>79</v>
      </c>
      <c r="B36" s="8"/>
      <c r="C36" s="8"/>
      <c r="D36" s="96">
        <v>125793000</v>
      </c>
      <c r="E36" s="10"/>
      <c r="F36" s="9">
        <v>401068580.09000003</v>
      </c>
    </row>
    <row r="37" spans="1:10" ht="15.75" x14ac:dyDescent="0.25">
      <c r="A37" s="36" t="s">
        <v>67</v>
      </c>
      <c r="B37" s="8"/>
      <c r="C37" s="8"/>
      <c r="D37" s="118">
        <f>+D36</f>
        <v>125793000</v>
      </c>
      <c r="E37" s="10"/>
      <c r="F37" s="55">
        <f>+F36</f>
        <v>401068580.09000003</v>
      </c>
    </row>
    <row r="38" spans="1:10" ht="15.75" x14ac:dyDescent="0.25">
      <c r="A38" s="80" t="s">
        <v>68</v>
      </c>
      <c r="B38" s="8"/>
      <c r="C38" s="8"/>
      <c r="D38" s="96"/>
      <c r="E38" s="10"/>
      <c r="F38" s="9"/>
    </row>
    <row r="39" spans="1:10" ht="15.75" x14ac:dyDescent="0.25">
      <c r="A39" s="13" t="s">
        <v>80</v>
      </c>
      <c r="B39" s="8"/>
      <c r="C39" s="8"/>
      <c r="D39" s="116">
        <v>66074239.909999996</v>
      </c>
      <c r="E39" s="10"/>
      <c r="F39" s="15">
        <v>32681550.449999999</v>
      </c>
    </row>
    <row r="40" spans="1:10" ht="15.75" x14ac:dyDescent="0.25">
      <c r="A40" s="36" t="s">
        <v>70</v>
      </c>
      <c r="B40" s="8"/>
      <c r="C40" s="8"/>
      <c r="D40" s="118">
        <f>+D39</f>
        <v>66074239.909999996</v>
      </c>
      <c r="E40" s="10"/>
      <c r="F40" s="55">
        <f>+F39</f>
        <v>32681550.449999999</v>
      </c>
    </row>
    <row r="41" spans="1:10" ht="15.75" x14ac:dyDescent="0.25">
      <c r="A41" s="36" t="s">
        <v>78</v>
      </c>
      <c r="B41" s="8"/>
      <c r="C41" s="8"/>
      <c r="D41" s="55">
        <f>D37-D40</f>
        <v>59718760.090000004</v>
      </c>
      <c r="E41" s="18"/>
      <c r="F41" s="55">
        <f>F37-F40</f>
        <v>368387029.64000005</v>
      </c>
    </row>
    <row r="42" spans="1:10" ht="15.75" x14ac:dyDescent="0.25">
      <c r="A42" s="191" t="s">
        <v>81</v>
      </c>
      <c r="B42" s="191"/>
      <c r="C42" s="5"/>
      <c r="D42" s="89"/>
      <c r="E42" s="90"/>
      <c r="F42" s="90"/>
    </row>
    <row r="43" spans="1:10" ht="15.75" x14ac:dyDescent="0.25">
      <c r="A43" s="191" t="s">
        <v>82</v>
      </c>
      <c r="B43" s="191"/>
      <c r="C43" s="5"/>
      <c r="D43" s="18">
        <f>D25+D33+D41</f>
        <v>-68787308.949999839</v>
      </c>
      <c r="E43" s="89"/>
      <c r="F43" s="89">
        <f>F25+F33+F41</f>
        <v>145195817.76200038</v>
      </c>
    </row>
    <row r="44" spans="1:10" ht="15.75" x14ac:dyDescent="0.25">
      <c r="A44" s="36" t="s">
        <v>83</v>
      </c>
      <c r="B44" s="4"/>
      <c r="C44" s="4"/>
      <c r="D44" s="49">
        <f>F46</f>
        <v>1500277075.8540001</v>
      </c>
      <c r="E44" s="49"/>
      <c r="F44" s="49">
        <v>1355081258.0919998</v>
      </c>
    </row>
    <row r="45" spans="1:10" ht="15.6" hidden="1" x14ac:dyDescent="0.3">
      <c r="A45" s="91" t="s">
        <v>84</v>
      </c>
      <c r="B45" s="4"/>
      <c r="C45" s="4"/>
      <c r="D45" s="100"/>
      <c r="E45" s="49"/>
      <c r="F45" s="64"/>
    </row>
    <row r="46" spans="1:10" ht="16.5" thickBot="1" x14ac:dyDescent="0.3">
      <c r="A46" s="36" t="s">
        <v>85</v>
      </c>
      <c r="B46" s="8">
        <v>4</v>
      </c>
      <c r="C46" s="8"/>
      <c r="D46" s="31">
        <f>SUM(D43:D45)</f>
        <v>1431489766.9040003</v>
      </c>
      <c r="E46" s="18"/>
      <c r="F46" s="31">
        <f>SUM(F43:F45)</f>
        <v>1500277075.8540001</v>
      </c>
      <c r="H46" s="11"/>
      <c r="I46" s="121"/>
      <c r="J46" t="s">
        <v>86</v>
      </c>
    </row>
    <row r="47" spans="1:10" ht="16.5" thickTop="1" x14ac:dyDescent="0.25">
      <c r="A47" s="45"/>
      <c r="B47" s="45"/>
      <c r="C47" s="45"/>
    </row>
    <row r="48" spans="1:10" ht="15.75" x14ac:dyDescent="0.25">
      <c r="A48" s="187" t="s">
        <v>34</v>
      </c>
      <c r="B48" s="187"/>
      <c r="C48" s="187"/>
      <c r="D48" s="187"/>
      <c r="E48" s="187"/>
      <c r="F48" s="187"/>
      <c r="H48" s="19"/>
      <c r="J48" s="19"/>
    </row>
    <row r="49" spans="4:6" x14ac:dyDescent="0.25">
      <c r="D49" s="73"/>
      <c r="E49" s="92"/>
      <c r="F49" s="73"/>
    </row>
    <row r="50" spans="4:6" ht="15.75" x14ac:dyDescent="0.25">
      <c r="D50" s="93"/>
      <c r="E50" s="94"/>
      <c r="F50" s="93"/>
    </row>
    <row r="51" spans="4:6" x14ac:dyDescent="0.25">
      <c r="D51" s="73"/>
      <c r="E51" s="92"/>
      <c r="F51" s="73"/>
    </row>
    <row r="52" spans="4:6" s="123" customFormat="1" x14ac:dyDescent="0.25">
      <c r="D52" s="124">
        <f>D46-SFPOS!D12</f>
        <v>4.0001869201660156E-3</v>
      </c>
      <c r="E52" s="125"/>
      <c r="F52" s="124">
        <f>F46-SFPOS!E12</f>
        <v>4.0001869201660156E-3</v>
      </c>
    </row>
    <row r="54" spans="4:6" x14ac:dyDescent="0.25">
      <c r="D54" s="95"/>
      <c r="E54" s="63"/>
      <c r="F54" s="95"/>
    </row>
    <row r="55" spans="4:6" x14ac:dyDescent="0.25">
      <c r="D55" s="95"/>
      <c r="E55" s="63"/>
      <c r="F55" s="95"/>
    </row>
    <row r="58" spans="4:6" x14ac:dyDescent="0.25">
      <c r="D58" s="95"/>
      <c r="E58" s="63"/>
      <c r="F58" s="95"/>
    </row>
  </sheetData>
  <sheetProtection algorithmName="SHA-512" hashValue="XJVwiAI7Oh7yemTNkUw/NZXcMI18FwLCN3saUbtjuLTEwkCYPTsp2q/2clbpr4EWP2zKjSIOQ/0+2c0fHlU4CQ==" saltValue="CA8xQUX1RjE3BhfG3FA37g==" spinCount="100000" sheet="1" objects="1" scenarios="1" selectLockedCells="1" selectUnlockedCells="1"/>
  <mergeCells count="10">
    <mergeCell ref="A7:F7"/>
    <mergeCell ref="A42:B42"/>
    <mergeCell ref="A43:B43"/>
    <mergeCell ref="A48:F48"/>
    <mergeCell ref="A1:F1"/>
    <mergeCell ref="A2:F2"/>
    <mergeCell ref="A3:F3"/>
    <mergeCell ref="A4:F4"/>
    <mergeCell ref="A5:F5"/>
    <mergeCell ref="A6:F6"/>
  </mergeCells>
  <pageMargins left="1.5" right="1" top="1" bottom="1" header="0.5" footer="0.5"/>
  <pageSetup scale="86" orientation="portrait" r:id="rId1"/>
  <headerFooter scaleWithDoc="0">
    <oddFooter>&amp;C&amp;"Times New Roman,Regular"&amp;12 9</oddFooter>
  </headerFooter>
  <rowBreaks count="1" manualBreakCount="1">
    <brk id="41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9"/>
  <sheetViews>
    <sheetView zoomScaleNormal="100" zoomScaleSheetLayoutView="80" workbookViewId="0">
      <selection sqref="A1:P1"/>
    </sheetView>
  </sheetViews>
  <sheetFormatPr defaultColWidth="9.140625" defaultRowHeight="15" x14ac:dyDescent="0.25"/>
  <cols>
    <col min="1" max="4" width="2.7109375" style="127" customWidth="1"/>
    <col min="5" max="5" width="39.7109375" style="127" customWidth="1"/>
    <col min="6" max="6" width="9.42578125" style="127" customWidth="1"/>
    <col min="7" max="7" width="1.28515625" style="127" customWidth="1"/>
    <col min="8" max="8" width="20" style="127" bestFit="1" customWidth="1"/>
    <col min="9" max="9" width="1.28515625" style="127" customWidth="1"/>
    <col min="10" max="10" width="21.7109375" style="127" bestFit="1" customWidth="1"/>
    <col min="11" max="11" width="1.28515625" style="127" customWidth="1"/>
    <col min="12" max="12" width="19" style="127" bestFit="1" customWidth="1"/>
    <col min="13" max="13" width="1.28515625" style="127" customWidth="1"/>
    <col min="14" max="14" width="20" style="127" bestFit="1" customWidth="1"/>
    <col min="15" max="15" width="1.28515625" style="127" customWidth="1"/>
    <col min="16" max="16" width="19" style="127" bestFit="1" customWidth="1"/>
    <col min="17" max="17" width="3.42578125" style="127" customWidth="1"/>
    <col min="18" max="16384" width="9.140625" style="127"/>
  </cols>
  <sheetData>
    <row r="1" spans="1:16" ht="17.45" x14ac:dyDescent="0.25">
      <c r="A1" s="195" t="s">
        <v>87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</row>
    <row r="2" spans="1:16" ht="17.45" x14ac:dyDescent="0.25">
      <c r="A2" s="195" t="s">
        <v>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</row>
    <row r="3" spans="1:16" ht="17.45" x14ac:dyDescent="0.25">
      <c r="A3" s="195" t="s">
        <v>88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</row>
    <row r="4" spans="1:16" ht="18" x14ac:dyDescent="0.25">
      <c r="A4" s="196" t="s">
        <v>168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 ht="18" x14ac:dyDescent="0.25">
      <c r="A5" s="197" t="s">
        <v>4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7" spans="1:16" ht="15.75" x14ac:dyDescent="0.25">
      <c r="A7" s="198" t="s">
        <v>89</v>
      </c>
      <c r="B7" s="198"/>
      <c r="C7" s="198"/>
      <c r="D7" s="198"/>
      <c r="E7" s="198"/>
      <c r="F7" s="198" t="s">
        <v>5</v>
      </c>
      <c r="G7" s="201" t="s">
        <v>90</v>
      </c>
      <c r="H7" s="201"/>
      <c r="I7" s="201"/>
      <c r="J7" s="201"/>
      <c r="K7" s="201" t="s">
        <v>91</v>
      </c>
      <c r="L7" s="201"/>
      <c r="M7" s="129"/>
      <c r="N7" s="128"/>
      <c r="O7" s="128"/>
      <c r="P7" s="128" t="s">
        <v>91</v>
      </c>
    </row>
    <row r="8" spans="1:16" ht="15.75" x14ac:dyDescent="0.25">
      <c r="A8" s="199"/>
      <c r="B8" s="199"/>
      <c r="C8" s="199"/>
      <c r="D8" s="199"/>
      <c r="E8" s="199"/>
      <c r="F8" s="199"/>
      <c r="G8" s="193" t="s">
        <v>92</v>
      </c>
      <c r="H8" s="193"/>
      <c r="I8" s="193"/>
      <c r="J8" s="193"/>
      <c r="K8" s="192" t="s">
        <v>93</v>
      </c>
      <c r="L8" s="192"/>
      <c r="M8" s="132"/>
      <c r="N8" s="131" t="s">
        <v>94</v>
      </c>
      <c r="O8" s="131"/>
      <c r="P8" s="131" t="s">
        <v>95</v>
      </c>
    </row>
    <row r="9" spans="1:16" ht="15.75" x14ac:dyDescent="0.25">
      <c r="A9" s="200"/>
      <c r="B9" s="200"/>
      <c r="C9" s="200"/>
      <c r="D9" s="200"/>
      <c r="E9" s="200"/>
      <c r="F9" s="200"/>
      <c r="G9" s="133"/>
      <c r="H9" s="130" t="s">
        <v>96</v>
      </c>
      <c r="I9" s="130"/>
      <c r="J9" s="130" t="s">
        <v>97</v>
      </c>
      <c r="K9" s="193" t="s">
        <v>95</v>
      </c>
      <c r="L9" s="193"/>
      <c r="M9" s="133"/>
      <c r="N9" s="130" t="s">
        <v>92</v>
      </c>
      <c r="O9" s="130"/>
      <c r="P9" s="130" t="s">
        <v>98</v>
      </c>
    </row>
    <row r="10" spans="1:16" ht="15.6" x14ac:dyDescent="0.3">
      <c r="A10" s="134"/>
      <c r="B10" s="134"/>
      <c r="C10" s="134"/>
      <c r="D10" s="134"/>
      <c r="E10" s="134"/>
      <c r="F10" s="135"/>
      <c r="G10" s="134"/>
      <c r="H10" s="134"/>
      <c r="I10" s="134"/>
      <c r="J10" s="134"/>
      <c r="K10" s="134"/>
      <c r="L10" s="134"/>
      <c r="M10" s="134"/>
      <c r="N10" s="134"/>
      <c r="O10" s="134"/>
      <c r="P10" s="134"/>
    </row>
    <row r="11" spans="1:16" ht="15.6" x14ac:dyDescent="0.3">
      <c r="A11" s="132" t="s">
        <v>99</v>
      </c>
      <c r="B11" s="134"/>
      <c r="C11" s="134"/>
      <c r="D11" s="136"/>
      <c r="E11" s="136"/>
      <c r="F11" s="179">
        <v>30</v>
      </c>
      <c r="G11" s="134"/>
      <c r="H11" s="134"/>
      <c r="I11" s="134"/>
      <c r="J11" s="134"/>
      <c r="K11" s="134"/>
      <c r="L11" s="134"/>
      <c r="M11" s="134"/>
      <c r="N11" s="134"/>
      <c r="O11" s="134"/>
      <c r="P11" s="137"/>
    </row>
    <row r="12" spans="1:16" ht="15.75" x14ac:dyDescent="0.25">
      <c r="A12" s="134"/>
      <c r="B12" s="134" t="s">
        <v>100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7"/>
    </row>
    <row r="13" spans="1:16" ht="15.75" x14ac:dyDescent="0.25">
      <c r="A13" s="134"/>
      <c r="B13" s="134"/>
      <c r="C13" s="134" t="s">
        <v>101</v>
      </c>
      <c r="D13" s="134"/>
      <c r="E13" s="134"/>
      <c r="F13" s="134"/>
      <c r="G13" s="134"/>
      <c r="H13" s="138"/>
      <c r="I13" s="134"/>
      <c r="J13" s="134"/>
      <c r="K13" s="134"/>
      <c r="L13" s="134"/>
      <c r="M13" s="134"/>
      <c r="N13" s="134"/>
      <c r="O13" s="134"/>
      <c r="P13" s="137"/>
    </row>
    <row r="14" spans="1:16" ht="15.75" x14ac:dyDescent="0.25">
      <c r="A14" s="132"/>
      <c r="B14" s="132"/>
      <c r="C14" s="132"/>
      <c r="D14" s="134" t="s">
        <v>102</v>
      </c>
      <c r="E14" s="134"/>
      <c r="F14" s="134"/>
      <c r="G14" s="134"/>
      <c r="H14" s="139">
        <v>108650000</v>
      </c>
      <c r="I14" s="140"/>
      <c r="J14" s="139">
        <v>108650000</v>
      </c>
      <c r="K14" s="140"/>
      <c r="L14" s="141">
        <f>H14-J14</f>
        <v>0</v>
      </c>
      <c r="M14" s="140"/>
      <c r="N14" s="139">
        <v>107044742.14</v>
      </c>
      <c r="O14" s="140"/>
      <c r="P14" s="141">
        <f>J14-N14</f>
        <v>1605257.8599999994</v>
      </c>
    </row>
    <row r="15" spans="1:16" ht="15.75" x14ac:dyDescent="0.25">
      <c r="A15" s="132"/>
      <c r="B15" s="132"/>
      <c r="C15" s="132"/>
      <c r="D15" s="134" t="s">
        <v>103</v>
      </c>
      <c r="E15" s="134"/>
      <c r="F15" s="134"/>
      <c r="G15" s="134"/>
      <c r="H15" s="139">
        <v>197439494</v>
      </c>
      <c r="I15" s="140"/>
      <c r="J15" s="139">
        <v>197439494</v>
      </c>
      <c r="K15" s="140"/>
      <c r="L15" s="141">
        <f>H15-J15</f>
        <v>0</v>
      </c>
      <c r="M15" s="140"/>
      <c r="N15" s="139">
        <v>230501262.98000002</v>
      </c>
      <c r="O15" s="140"/>
      <c r="P15" s="141">
        <f>J15-N15</f>
        <v>-33061768.980000019</v>
      </c>
    </row>
    <row r="16" spans="1:16" ht="15.75" x14ac:dyDescent="0.25">
      <c r="A16" s="132"/>
      <c r="B16" s="132"/>
      <c r="C16" s="132"/>
      <c r="D16" s="134" t="s">
        <v>104</v>
      </c>
      <c r="E16" s="134"/>
      <c r="F16" s="134"/>
      <c r="G16" s="134"/>
      <c r="H16" s="142"/>
      <c r="I16" s="143"/>
      <c r="J16" s="142"/>
      <c r="K16" s="144"/>
      <c r="L16" s="145">
        <f>H16-J16</f>
        <v>0</v>
      </c>
      <c r="M16" s="144"/>
      <c r="N16" s="142"/>
      <c r="O16" s="143"/>
      <c r="P16" s="146">
        <f>J16-N16</f>
        <v>0</v>
      </c>
    </row>
    <row r="17" spans="1:16" ht="15.6" x14ac:dyDescent="0.3">
      <c r="A17" s="132"/>
      <c r="B17" s="132"/>
      <c r="C17" s="134" t="s">
        <v>105</v>
      </c>
      <c r="D17" s="134"/>
      <c r="E17" s="134"/>
      <c r="F17" s="134"/>
      <c r="G17" s="134"/>
      <c r="H17" s="147">
        <f>SUM(H14:H16)</f>
        <v>306089494</v>
      </c>
      <c r="I17" s="148"/>
      <c r="J17" s="149">
        <f>SUM(J14:J16)</f>
        <v>306089494</v>
      </c>
      <c r="K17" s="150"/>
      <c r="L17" s="149">
        <f>SUM(L14:L16)</f>
        <v>0</v>
      </c>
      <c r="M17" s="150"/>
      <c r="N17" s="149">
        <f>SUM(N14:N16)</f>
        <v>337546005.12</v>
      </c>
      <c r="O17" s="148"/>
      <c r="P17" s="147">
        <f>SUM(P14:P16)</f>
        <v>-31456511.12000002</v>
      </c>
    </row>
    <row r="18" spans="1:16" ht="15.75" x14ac:dyDescent="0.25">
      <c r="A18" s="132"/>
      <c r="B18" s="132"/>
      <c r="C18" s="134" t="s">
        <v>106</v>
      </c>
      <c r="D18" s="134"/>
      <c r="E18" s="134"/>
      <c r="F18" s="134"/>
      <c r="G18" s="134"/>
      <c r="H18" s="140"/>
      <c r="I18" s="140"/>
      <c r="J18" s="151"/>
      <c r="K18" s="151"/>
      <c r="L18" s="151"/>
      <c r="M18" s="151"/>
      <c r="N18" s="151"/>
      <c r="O18" s="140"/>
      <c r="P18" s="140"/>
    </row>
    <row r="19" spans="1:16" ht="15.75" x14ac:dyDescent="0.25">
      <c r="A19" s="132"/>
      <c r="B19" s="132"/>
      <c r="C19" s="132"/>
      <c r="D19" s="134" t="s">
        <v>107</v>
      </c>
      <c r="E19" s="134"/>
      <c r="F19" s="134"/>
      <c r="G19" s="134"/>
      <c r="H19" s="139">
        <v>61137957.5</v>
      </c>
      <c r="I19" s="140"/>
      <c r="J19" s="139">
        <v>61476542.5</v>
      </c>
      <c r="K19" s="151"/>
      <c r="L19" s="152">
        <f>H19-J19</f>
        <v>-338585</v>
      </c>
      <c r="M19" s="151"/>
      <c r="N19" s="139">
        <v>54008621.240000002</v>
      </c>
      <c r="O19" s="140"/>
      <c r="P19" s="141">
        <f>J19-N19</f>
        <v>7467921.2599999979</v>
      </c>
    </row>
    <row r="20" spans="1:16" ht="15.75" x14ac:dyDescent="0.25">
      <c r="A20" s="132"/>
      <c r="B20" s="132"/>
      <c r="C20" s="132"/>
      <c r="D20" s="134" t="s">
        <v>108</v>
      </c>
      <c r="E20" s="134"/>
      <c r="F20" s="134"/>
      <c r="G20" s="134"/>
      <c r="H20" s="139">
        <v>98150216.840000004</v>
      </c>
      <c r="I20" s="140"/>
      <c r="J20" s="139">
        <v>98150216.840000004</v>
      </c>
      <c r="K20" s="151"/>
      <c r="L20" s="152">
        <f>H20-J20</f>
        <v>0</v>
      </c>
      <c r="M20" s="151"/>
      <c r="N20" s="139">
        <v>79323255.950000003</v>
      </c>
      <c r="O20" s="140"/>
      <c r="P20" s="141">
        <f>J20-N20</f>
        <v>18826960.890000001</v>
      </c>
    </row>
    <row r="21" spans="1:16" ht="15.75" x14ac:dyDescent="0.25">
      <c r="A21" s="132"/>
      <c r="B21" s="132"/>
      <c r="C21" s="132"/>
      <c r="D21" s="134" t="s">
        <v>109</v>
      </c>
      <c r="E21" s="134"/>
      <c r="F21" s="134"/>
      <c r="G21" s="134"/>
      <c r="H21" s="142">
        <v>750127959.16999996</v>
      </c>
      <c r="I21" s="143"/>
      <c r="J21" s="142">
        <v>809240722.42000008</v>
      </c>
      <c r="K21" s="144"/>
      <c r="L21" s="145">
        <f>H21-J21</f>
        <v>-59112763.250000119</v>
      </c>
      <c r="M21" s="144"/>
      <c r="N21" s="142">
        <v>809141259.9000001</v>
      </c>
      <c r="O21" s="143"/>
      <c r="P21" s="146">
        <f>J21-N21</f>
        <v>99462.519999980927</v>
      </c>
    </row>
    <row r="22" spans="1:16" ht="15.6" x14ac:dyDescent="0.3">
      <c r="A22" s="132"/>
      <c r="B22" s="132"/>
      <c r="C22" s="134" t="s">
        <v>110</v>
      </c>
      <c r="D22" s="134"/>
      <c r="E22" s="134"/>
      <c r="F22" s="134"/>
      <c r="G22" s="134"/>
      <c r="H22" s="147">
        <f>SUM(H19:H21)</f>
        <v>909416133.50999999</v>
      </c>
      <c r="I22" s="148"/>
      <c r="J22" s="149">
        <f>SUM(J19:J21)</f>
        <v>968867481.76000011</v>
      </c>
      <c r="K22" s="150"/>
      <c r="L22" s="149">
        <f>SUM(L19:L21)</f>
        <v>-59451348.250000119</v>
      </c>
      <c r="M22" s="150"/>
      <c r="N22" s="149">
        <f>SUM(N19:N21)</f>
        <v>942473137.09000015</v>
      </c>
      <c r="O22" s="148"/>
      <c r="P22" s="147">
        <f>SUM(P19:P21)</f>
        <v>26394344.669999979</v>
      </c>
    </row>
    <row r="23" spans="1:16" ht="15.6" x14ac:dyDescent="0.3">
      <c r="A23" s="132"/>
      <c r="B23" s="134" t="s">
        <v>111</v>
      </c>
      <c r="C23" s="132"/>
      <c r="D23" s="134"/>
      <c r="E23" s="134"/>
      <c r="F23" s="134"/>
      <c r="G23" s="134"/>
      <c r="H23" s="140"/>
      <c r="I23" s="140"/>
      <c r="J23" s="151"/>
      <c r="K23" s="151"/>
      <c r="L23" s="151"/>
      <c r="M23" s="151"/>
      <c r="N23" s="151"/>
      <c r="O23" s="140"/>
      <c r="P23" s="140"/>
    </row>
    <row r="24" spans="1:16" ht="15.75" x14ac:dyDescent="0.25">
      <c r="A24" s="132"/>
      <c r="B24" s="132"/>
      <c r="C24" s="134" t="s">
        <v>112</v>
      </c>
      <c r="D24" s="134"/>
      <c r="E24" s="134"/>
      <c r="F24" s="134"/>
      <c r="G24" s="134"/>
      <c r="H24" s="153">
        <v>1067605124</v>
      </c>
      <c r="I24" s="140"/>
      <c r="J24" s="153">
        <v>1067605124</v>
      </c>
      <c r="K24" s="151"/>
      <c r="L24" s="154">
        <f>H24-J24</f>
        <v>0</v>
      </c>
      <c r="M24" s="151"/>
      <c r="N24" s="153">
        <v>1063987170</v>
      </c>
      <c r="O24" s="140"/>
      <c r="P24" s="141">
        <f>J24-N24</f>
        <v>3617954</v>
      </c>
    </row>
    <row r="25" spans="1:16" ht="15.75" x14ac:dyDescent="0.25">
      <c r="A25" s="132"/>
      <c r="B25" s="132"/>
      <c r="C25" s="134" t="s">
        <v>113</v>
      </c>
      <c r="D25" s="134"/>
      <c r="E25" s="134"/>
      <c r="F25" s="134"/>
      <c r="G25" s="134"/>
      <c r="H25" s="153"/>
      <c r="I25" s="140"/>
      <c r="J25" s="153"/>
      <c r="K25" s="151"/>
      <c r="L25" s="154"/>
      <c r="M25" s="151"/>
      <c r="N25" s="153"/>
      <c r="O25" s="140"/>
      <c r="P25" s="141"/>
    </row>
    <row r="26" spans="1:16" ht="15.6" x14ac:dyDescent="0.3">
      <c r="A26" s="132"/>
      <c r="B26" s="132"/>
      <c r="C26" s="134"/>
      <c r="D26" s="134" t="s">
        <v>114</v>
      </c>
      <c r="E26" s="134"/>
      <c r="F26" s="134"/>
      <c r="G26" s="134"/>
      <c r="H26" s="153">
        <v>1300000</v>
      </c>
      <c r="I26" s="140"/>
      <c r="J26" s="153">
        <v>1300000</v>
      </c>
      <c r="K26" s="151"/>
      <c r="L26" s="151">
        <f>H26-J26</f>
        <v>0</v>
      </c>
      <c r="M26" s="151"/>
      <c r="N26" s="153">
        <v>1179077.1200000001</v>
      </c>
      <c r="O26" s="140"/>
      <c r="P26" s="141">
        <f>J26-N26</f>
        <v>120922.87999999989</v>
      </c>
    </row>
    <row r="27" spans="1:16" ht="15.75" x14ac:dyDescent="0.25">
      <c r="A27" s="132"/>
      <c r="B27" s="132"/>
      <c r="C27" s="134" t="s">
        <v>115</v>
      </c>
      <c r="D27" s="134"/>
      <c r="E27" s="134"/>
      <c r="F27" s="134"/>
      <c r="G27" s="155"/>
      <c r="H27" s="140"/>
      <c r="I27" s="140"/>
      <c r="J27" s="140"/>
      <c r="K27" s="151"/>
      <c r="L27" s="151"/>
      <c r="M27" s="151"/>
      <c r="N27" s="140"/>
      <c r="O27" s="140"/>
      <c r="P27" s="140"/>
    </row>
    <row r="28" spans="1:16" ht="15.6" x14ac:dyDescent="0.3">
      <c r="A28" s="132"/>
      <c r="B28" s="132"/>
      <c r="C28" s="134"/>
      <c r="D28" s="134" t="s">
        <v>116</v>
      </c>
      <c r="E28" s="134"/>
      <c r="F28" s="134"/>
      <c r="G28" s="155"/>
      <c r="H28" s="151">
        <v>0</v>
      </c>
      <c r="I28" s="140"/>
      <c r="J28" s="151">
        <v>0</v>
      </c>
      <c r="K28" s="151"/>
      <c r="L28" s="151">
        <f>H28-J28</f>
        <v>0</v>
      </c>
      <c r="M28" s="151"/>
      <c r="N28" s="151">
        <v>38599</v>
      </c>
      <c r="O28" s="140"/>
      <c r="P28" s="141">
        <f>J28-N28</f>
        <v>-38599</v>
      </c>
    </row>
    <row r="29" spans="1:16" ht="15.75" x14ac:dyDescent="0.25">
      <c r="A29" s="134"/>
      <c r="B29" s="134"/>
      <c r="C29" s="134"/>
      <c r="D29" s="134" t="s">
        <v>117</v>
      </c>
      <c r="E29" s="134"/>
      <c r="F29" s="134"/>
      <c r="G29" s="134"/>
      <c r="H29" s="151">
        <v>0</v>
      </c>
      <c r="I29" s="140"/>
      <c r="J29" s="151">
        <v>0</v>
      </c>
      <c r="K29" s="151"/>
      <c r="L29" s="152">
        <f>H29-J29</f>
        <v>0</v>
      </c>
      <c r="M29" s="151"/>
      <c r="N29" s="141">
        <v>0</v>
      </c>
      <c r="O29" s="140"/>
      <c r="P29" s="141">
        <f>J29-N29</f>
        <v>0</v>
      </c>
    </row>
    <row r="30" spans="1:16" ht="15.75" x14ac:dyDescent="0.25">
      <c r="A30" s="134"/>
      <c r="B30" s="134"/>
      <c r="C30" s="134" t="s">
        <v>162</v>
      </c>
      <c r="D30" s="134"/>
      <c r="E30" s="134"/>
      <c r="F30" s="134"/>
      <c r="G30" s="155"/>
      <c r="H30" s="140"/>
      <c r="I30" s="140"/>
      <c r="J30" s="151"/>
      <c r="K30" s="151"/>
      <c r="L30" s="151"/>
      <c r="M30" s="151"/>
      <c r="N30" s="151"/>
      <c r="O30" s="140"/>
      <c r="P30" s="141"/>
    </row>
    <row r="31" spans="1:16" ht="15.75" x14ac:dyDescent="0.25">
      <c r="A31" s="134"/>
      <c r="B31" s="134"/>
      <c r="C31" s="134"/>
      <c r="D31" s="134" t="s">
        <v>118</v>
      </c>
      <c r="E31" s="134"/>
      <c r="F31" s="134"/>
      <c r="G31" s="134"/>
      <c r="H31" s="151">
        <v>0</v>
      </c>
      <c r="I31" s="140"/>
      <c r="J31" s="151">
        <v>0</v>
      </c>
      <c r="K31" s="151"/>
      <c r="L31" s="152">
        <f>H31-J31</f>
        <v>0</v>
      </c>
      <c r="M31" s="151"/>
      <c r="N31" s="141">
        <v>0</v>
      </c>
      <c r="O31" s="140"/>
      <c r="P31" s="141">
        <f>J31-N31</f>
        <v>0</v>
      </c>
    </row>
    <row r="32" spans="1:16" ht="15.75" x14ac:dyDescent="0.25">
      <c r="A32" s="134"/>
      <c r="B32" s="134"/>
      <c r="C32" s="134"/>
      <c r="D32" s="134" t="s">
        <v>119</v>
      </c>
      <c r="E32" s="134"/>
      <c r="F32" s="134"/>
      <c r="G32" s="134"/>
      <c r="H32" s="141">
        <v>0</v>
      </c>
      <c r="I32" s="140"/>
      <c r="J32" s="141">
        <v>38046101.009999998</v>
      </c>
      <c r="K32" s="151"/>
      <c r="L32" s="152">
        <f>H32-J32</f>
        <v>-38046101.009999998</v>
      </c>
      <c r="M32" s="151"/>
      <c r="N32" s="141">
        <v>35590327.07</v>
      </c>
      <c r="O32" s="140"/>
      <c r="P32" s="141">
        <f>J32-N32</f>
        <v>2455773.9399999976</v>
      </c>
    </row>
    <row r="33" spans="1:16" ht="15.75" x14ac:dyDescent="0.25">
      <c r="A33" s="134"/>
      <c r="B33" s="134"/>
      <c r="C33" s="134" t="s">
        <v>163</v>
      </c>
      <c r="D33" s="134"/>
      <c r="E33" s="134"/>
      <c r="F33" s="134"/>
      <c r="G33" s="134"/>
      <c r="H33" s="151">
        <v>0</v>
      </c>
      <c r="I33" s="140"/>
      <c r="J33" s="151">
        <v>0</v>
      </c>
      <c r="K33" s="151"/>
      <c r="L33" s="152">
        <f>H33-J33</f>
        <v>0</v>
      </c>
      <c r="M33" s="151"/>
      <c r="N33" s="151">
        <v>0</v>
      </c>
      <c r="O33" s="140"/>
      <c r="P33" s="141">
        <f>J33-N33</f>
        <v>0</v>
      </c>
    </row>
    <row r="34" spans="1:16" ht="15.75" x14ac:dyDescent="0.25">
      <c r="A34" s="134"/>
      <c r="B34" s="134"/>
      <c r="C34" s="134" t="s">
        <v>164</v>
      </c>
      <c r="D34" s="134"/>
      <c r="E34" s="134"/>
      <c r="F34" s="134"/>
      <c r="G34" s="155"/>
      <c r="H34" s="140"/>
      <c r="I34" s="140"/>
      <c r="J34" s="140"/>
      <c r="K34" s="151"/>
      <c r="L34" s="151"/>
      <c r="M34" s="151"/>
      <c r="N34" s="140"/>
      <c r="O34" s="140"/>
      <c r="P34" s="141"/>
    </row>
    <row r="35" spans="1:16" ht="15.75" x14ac:dyDescent="0.25">
      <c r="A35" s="134"/>
      <c r="B35" s="134"/>
      <c r="C35" s="134"/>
      <c r="D35" s="134" t="s">
        <v>120</v>
      </c>
      <c r="E35" s="134"/>
      <c r="F35" s="134"/>
      <c r="G35" s="134"/>
      <c r="H35" s="151">
        <v>0</v>
      </c>
      <c r="I35" s="140"/>
      <c r="J35" s="151">
        <v>0</v>
      </c>
      <c r="K35" s="151"/>
      <c r="L35" s="152">
        <f>H35-J35</f>
        <v>0</v>
      </c>
      <c r="M35" s="151"/>
      <c r="N35" s="141">
        <v>0</v>
      </c>
      <c r="O35" s="140"/>
      <c r="P35" s="141">
        <f t="shared" ref="P35:P41" si="0">J35-N35</f>
        <v>0</v>
      </c>
    </row>
    <row r="36" spans="1:16" ht="15.75" x14ac:dyDescent="0.25">
      <c r="A36" s="134"/>
      <c r="B36" s="134"/>
      <c r="C36" s="134"/>
      <c r="D36" s="134" t="s">
        <v>121</v>
      </c>
      <c r="E36" s="134"/>
      <c r="F36" s="134"/>
      <c r="G36" s="134"/>
      <c r="H36" s="151">
        <v>0</v>
      </c>
      <c r="I36" s="140"/>
      <c r="J36" s="151">
        <v>0</v>
      </c>
      <c r="K36" s="151"/>
      <c r="L36" s="152">
        <f>H36-J36</f>
        <v>0</v>
      </c>
      <c r="M36" s="151"/>
      <c r="N36" s="141">
        <v>0</v>
      </c>
      <c r="O36" s="140"/>
      <c r="P36" s="141">
        <f t="shared" si="0"/>
        <v>0</v>
      </c>
    </row>
    <row r="37" spans="1:16" ht="15.6" x14ac:dyDescent="0.3">
      <c r="A37" s="134"/>
      <c r="B37" s="134"/>
      <c r="C37" s="134"/>
      <c r="D37" s="134" t="s">
        <v>122</v>
      </c>
      <c r="E37" s="134"/>
      <c r="F37" s="134"/>
      <c r="G37" s="134"/>
      <c r="H37" s="151">
        <v>0</v>
      </c>
      <c r="I37" s="140"/>
      <c r="J37" s="151">
        <v>0</v>
      </c>
      <c r="K37" s="151"/>
      <c r="L37" s="152">
        <f>H37-J37</f>
        <v>0</v>
      </c>
      <c r="M37" s="151"/>
      <c r="N37" s="141">
        <v>0</v>
      </c>
      <c r="O37" s="140"/>
      <c r="P37" s="141">
        <f t="shared" si="0"/>
        <v>0</v>
      </c>
    </row>
    <row r="38" spans="1:16" ht="15.6" x14ac:dyDescent="0.3">
      <c r="A38" s="134"/>
      <c r="B38" s="134" t="s">
        <v>172</v>
      </c>
      <c r="C38" s="134"/>
      <c r="D38" s="134"/>
      <c r="E38" s="134"/>
      <c r="F38" s="134"/>
      <c r="G38" s="134"/>
      <c r="H38" s="141"/>
      <c r="I38" s="140"/>
      <c r="J38" s="141"/>
      <c r="K38" s="151"/>
      <c r="L38" s="152"/>
      <c r="M38" s="151"/>
      <c r="N38" s="141"/>
      <c r="O38" s="140"/>
      <c r="P38" s="141">
        <f t="shared" si="0"/>
        <v>0</v>
      </c>
    </row>
    <row r="39" spans="1:16" ht="15.6" x14ac:dyDescent="0.3">
      <c r="A39" s="134"/>
      <c r="B39" s="134"/>
      <c r="C39" s="134"/>
      <c r="D39" s="134" t="s">
        <v>124</v>
      </c>
      <c r="E39" s="134"/>
      <c r="F39" s="134"/>
      <c r="G39" s="134"/>
      <c r="H39" s="151">
        <v>0</v>
      </c>
      <c r="I39" s="140"/>
      <c r="J39" s="151">
        <v>0</v>
      </c>
      <c r="K39" s="151"/>
      <c r="L39" s="152">
        <f>H39-J39</f>
        <v>0</v>
      </c>
      <c r="M39" s="151"/>
      <c r="N39" s="141">
        <v>0</v>
      </c>
      <c r="O39" s="140"/>
      <c r="P39" s="141">
        <f t="shared" si="0"/>
        <v>0</v>
      </c>
    </row>
    <row r="40" spans="1:16" ht="15.6" x14ac:dyDescent="0.3">
      <c r="A40" s="134"/>
      <c r="B40" s="134"/>
      <c r="C40" s="134"/>
      <c r="D40" s="134" t="s">
        <v>125</v>
      </c>
      <c r="E40" s="134"/>
      <c r="F40" s="134"/>
      <c r="G40" s="134"/>
      <c r="H40" s="151">
        <v>0</v>
      </c>
      <c r="I40" s="140"/>
      <c r="J40" s="151">
        <v>0</v>
      </c>
      <c r="K40" s="151"/>
      <c r="L40" s="152">
        <f>H40-J40</f>
        <v>0</v>
      </c>
      <c r="M40" s="151"/>
      <c r="N40" s="141">
        <v>0</v>
      </c>
      <c r="O40" s="140"/>
      <c r="P40" s="141">
        <f t="shared" si="0"/>
        <v>0</v>
      </c>
    </row>
    <row r="41" spans="1:16" ht="15.75" x14ac:dyDescent="0.25">
      <c r="A41" s="134"/>
      <c r="B41" s="134" t="s">
        <v>123</v>
      </c>
      <c r="C41" s="134"/>
      <c r="D41" s="134"/>
      <c r="E41" s="134"/>
      <c r="F41" s="134"/>
      <c r="G41" s="134"/>
      <c r="H41" s="151">
        <v>0</v>
      </c>
      <c r="I41" s="140"/>
      <c r="J41" s="151">
        <v>187758600</v>
      </c>
      <c r="K41" s="151"/>
      <c r="L41" s="152">
        <f>H41-J41</f>
        <v>-187758600</v>
      </c>
      <c r="M41" s="151"/>
      <c r="N41" s="151">
        <v>187758600</v>
      </c>
      <c r="O41" s="140"/>
      <c r="P41" s="141">
        <f t="shared" si="0"/>
        <v>0</v>
      </c>
    </row>
    <row r="42" spans="1:16" ht="15.75" x14ac:dyDescent="0.25">
      <c r="A42" s="132" t="s">
        <v>126</v>
      </c>
      <c r="B42" s="134"/>
      <c r="C42" s="134"/>
      <c r="D42" s="134"/>
      <c r="E42" s="134"/>
      <c r="F42" s="134"/>
      <c r="G42" s="134"/>
      <c r="H42" s="156">
        <f>H17+H22+H24+H26+H28+H29+H39+H40+H41+H33+H32</f>
        <v>2284410751.5100002</v>
      </c>
      <c r="I42" s="157"/>
      <c r="J42" s="156">
        <f>J17+J22+J24+J26+J28+J29+J39+J40+J41+J33+J31+J32</f>
        <v>2569666800.7700005</v>
      </c>
      <c r="K42" s="156"/>
      <c r="L42" s="156">
        <f>L17+L22+L24+L26+L28+L29+L39+L40+L41+L33+L31+L32</f>
        <v>-285256049.26000011</v>
      </c>
      <c r="M42" s="156"/>
      <c r="N42" s="156">
        <f>N17+N22+N24+N26+N28+N29+N39+N40+N41+N33+N32+N37</f>
        <v>2568572915.4000001</v>
      </c>
      <c r="O42" s="158"/>
      <c r="P42" s="156">
        <f>P17+P22+P24+P26+P28+P29+P39+P40+P41+P33+P31+P32+P37</f>
        <v>1093885.3699999573</v>
      </c>
    </row>
    <row r="43" spans="1:16" ht="15.75" x14ac:dyDescent="0.25">
      <c r="A43" s="132" t="s">
        <v>127</v>
      </c>
      <c r="B43" s="134"/>
      <c r="C43" s="134"/>
      <c r="D43" s="134"/>
      <c r="E43" s="134"/>
      <c r="F43" s="134"/>
      <c r="G43" s="134"/>
      <c r="H43" s="159">
        <v>0</v>
      </c>
      <c r="I43" s="159"/>
      <c r="J43" s="159">
        <v>0</v>
      </c>
      <c r="K43" s="160"/>
      <c r="L43" s="152">
        <f>H43-J43</f>
        <v>0</v>
      </c>
      <c r="M43" s="160"/>
      <c r="N43" s="159">
        <v>0</v>
      </c>
      <c r="O43" s="159"/>
      <c r="P43" s="141">
        <f>J43-N43</f>
        <v>0</v>
      </c>
    </row>
    <row r="44" spans="1:16" ht="15.75" x14ac:dyDescent="0.25">
      <c r="A44" s="132" t="s">
        <v>128</v>
      </c>
      <c r="B44" s="134"/>
      <c r="C44" s="134"/>
      <c r="D44" s="134"/>
      <c r="E44" s="134"/>
      <c r="F44" s="134"/>
      <c r="G44" s="134"/>
      <c r="H44" s="161">
        <f>+H42+H43</f>
        <v>2284410751.5100002</v>
      </c>
      <c r="I44" s="161">
        <f t="shared" ref="I44:P44" si="1">+I42+I43</f>
        <v>0</v>
      </c>
      <c r="J44" s="161">
        <f t="shared" si="1"/>
        <v>2569666800.7700005</v>
      </c>
      <c r="K44" s="161">
        <f t="shared" si="1"/>
        <v>0</v>
      </c>
      <c r="L44" s="161">
        <f>+L42+L43</f>
        <v>-285256049.26000011</v>
      </c>
      <c r="M44" s="161">
        <f t="shared" si="1"/>
        <v>0</v>
      </c>
      <c r="N44" s="161">
        <f t="shared" si="1"/>
        <v>2568572915.4000001</v>
      </c>
      <c r="O44" s="161">
        <f t="shared" si="1"/>
        <v>0</v>
      </c>
      <c r="P44" s="161">
        <f t="shared" si="1"/>
        <v>1093885.3699999573</v>
      </c>
    </row>
    <row r="45" spans="1:16" ht="15.75" x14ac:dyDescent="0.25">
      <c r="A45" s="132" t="s">
        <v>129</v>
      </c>
      <c r="B45" s="134"/>
      <c r="C45" s="134"/>
      <c r="D45" s="134"/>
      <c r="E45" s="134"/>
      <c r="F45" s="134"/>
      <c r="G45" s="134"/>
      <c r="H45" s="140"/>
      <c r="I45" s="140"/>
      <c r="J45" s="151"/>
      <c r="K45" s="151"/>
      <c r="L45" s="151"/>
      <c r="M45" s="151"/>
      <c r="N45" s="151"/>
      <c r="O45" s="140"/>
      <c r="P45" s="140"/>
    </row>
    <row r="46" spans="1:16" ht="15.75" x14ac:dyDescent="0.25">
      <c r="A46" s="132" t="s">
        <v>130</v>
      </c>
      <c r="B46" s="134"/>
      <c r="C46" s="134"/>
      <c r="D46" s="134"/>
      <c r="E46" s="134"/>
      <c r="F46" s="134"/>
      <c r="G46" s="134"/>
      <c r="H46" s="140"/>
      <c r="I46" s="140"/>
      <c r="J46" s="151"/>
      <c r="K46" s="151"/>
      <c r="L46" s="151"/>
      <c r="M46" s="151"/>
      <c r="N46" s="151"/>
      <c r="O46" s="140"/>
      <c r="P46" s="140"/>
    </row>
    <row r="47" spans="1:16" ht="15.75" x14ac:dyDescent="0.25">
      <c r="A47" s="134"/>
      <c r="B47" s="132" t="s">
        <v>131</v>
      </c>
      <c r="C47" s="134"/>
      <c r="D47" s="134"/>
      <c r="E47" s="134"/>
      <c r="F47" s="134"/>
      <c r="G47" s="134"/>
      <c r="H47" s="140"/>
      <c r="I47" s="140"/>
      <c r="J47" s="151"/>
      <c r="K47" s="151"/>
      <c r="L47" s="151"/>
      <c r="M47" s="151"/>
      <c r="N47" s="151"/>
      <c r="O47" s="140"/>
      <c r="P47" s="140"/>
    </row>
    <row r="48" spans="1:16" ht="15.75" x14ac:dyDescent="0.25">
      <c r="A48" s="134"/>
      <c r="B48" s="132"/>
      <c r="C48" s="134" t="s">
        <v>132</v>
      </c>
      <c r="D48" s="134"/>
      <c r="E48" s="134"/>
      <c r="F48" s="134"/>
      <c r="G48" s="134"/>
      <c r="H48" s="139">
        <v>330185091.29000002</v>
      </c>
      <c r="I48" s="141"/>
      <c r="J48" s="139">
        <v>319601644.31999999</v>
      </c>
      <c r="K48" s="151"/>
      <c r="L48" s="152">
        <f t="shared" ref="L48:L58" si="2">H48-J48</f>
        <v>10583446.970000029</v>
      </c>
      <c r="M48" s="151"/>
      <c r="N48" s="139">
        <v>264793871.21999997</v>
      </c>
      <c r="O48" s="140"/>
      <c r="P48" s="141">
        <f>J48-N48</f>
        <v>54807773.100000024</v>
      </c>
    </row>
    <row r="49" spans="1:16" ht="15.75" x14ac:dyDescent="0.25">
      <c r="A49" s="134"/>
      <c r="B49" s="132"/>
      <c r="C49" s="134" t="s">
        <v>133</v>
      </c>
      <c r="D49" s="134"/>
      <c r="E49" s="134"/>
      <c r="F49" s="134"/>
      <c r="G49" s="134"/>
      <c r="H49" s="139">
        <v>283787400.09000003</v>
      </c>
      <c r="I49" s="141"/>
      <c r="J49" s="139">
        <v>324406363.50999999</v>
      </c>
      <c r="K49" s="151"/>
      <c r="L49" s="152">
        <f t="shared" si="2"/>
        <v>-40618963.419999957</v>
      </c>
      <c r="M49" s="151"/>
      <c r="N49" s="139">
        <v>259477093.01000002</v>
      </c>
      <c r="O49" s="140"/>
      <c r="P49" s="141">
        <f>J49-N49</f>
        <v>64929270.49999997</v>
      </c>
    </row>
    <row r="50" spans="1:16" ht="15.75" x14ac:dyDescent="0.25">
      <c r="A50" s="134"/>
      <c r="B50" s="132"/>
      <c r="C50" s="134" t="s">
        <v>134</v>
      </c>
      <c r="D50" s="134"/>
      <c r="E50" s="134"/>
      <c r="F50" s="134"/>
      <c r="G50" s="134"/>
      <c r="H50" s="139">
        <v>850000</v>
      </c>
      <c r="I50" s="141"/>
      <c r="J50" s="139">
        <v>25139280.75</v>
      </c>
      <c r="K50" s="151"/>
      <c r="L50" s="152">
        <f t="shared" si="2"/>
        <v>-24289280.75</v>
      </c>
      <c r="M50" s="151"/>
      <c r="N50" s="139">
        <v>924208.28</v>
      </c>
      <c r="O50" s="140"/>
      <c r="P50" s="141">
        <f>J50-N50</f>
        <v>24215072.469999999</v>
      </c>
    </row>
    <row r="51" spans="1:16" ht="15.75" x14ac:dyDescent="0.25">
      <c r="A51" s="134"/>
      <c r="B51" s="132" t="s">
        <v>135</v>
      </c>
      <c r="C51" s="132"/>
      <c r="D51" s="134"/>
      <c r="E51" s="134"/>
      <c r="F51" s="134"/>
      <c r="G51" s="134"/>
      <c r="H51" s="141"/>
      <c r="I51" s="141"/>
      <c r="J51" s="141"/>
      <c r="K51" s="151"/>
      <c r="L51" s="151"/>
      <c r="M51" s="151"/>
      <c r="N51" s="141"/>
      <c r="O51" s="140"/>
      <c r="P51" s="140"/>
    </row>
    <row r="52" spans="1:16" ht="15.75" x14ac:dyDescent="0.25">
      <c r="A52" s="134"/>
      <c r="B52" s="134"/>
      <c r="C52" s="134" t="s">
        <v>132</v>
      </c>
      <c r="D52" s="134"/>
      <c r="E52" s="134"/>
      <c r="F52" s="134"/>
      <c r="G52" s="134"/>
      <c r="H52" s="139">
        <v>12810000</v>
      </c>
      <c r="I52" s="141"/>
      <c r="J52" s="139">
        <v>13410000</v>
      </c>
      <c r="K52" s="151"/>
      <c r="L52" s="152">
        <f t="shared" si="2"/>
        <v>-600000</v>
      </c>
      <c r="M52" s="151"/>
      <c r="N52" s="139">
        <v>13104309.16</v>
      </c>
      <c r="O52" s="140"/>
      <c r="P52" s="141">
        <f>J52-N52</f>
        <v>305690.83999999985</v>
      </c>
    </row>
    <row r="53" spans="1:16" ht="15.75" x14ac:dyDescent="0.25">
      <c r="A53" s="134"/>
      <c r="B53" s="134"/>
      <c r="C53" s="134" t="s">
        <v>133</v>
      </c>
      <c r="D53" s="134"/>
      <c r="E53" s="134"/>
      <c r="F53" s="134"/>
      <c r="G53" s="134"/>
      <c r="H53" s="139">
        <v>18010000</v>
      </c>
      <c r="I53" s="141"/>
      <c r="J53" s="139">
        <v>18965383.600000001</v>
      </c>
      <c r="K53" s="140"/>
      <c r="L53" s="152">
        <f t="shared" si="2"/>
        <v>-955383.60000000149</v>
      </c>
      <c r="M53" s="140"/>
      <c r="N53" s="139">
        <v>11391768.07</v>
      </c>
      <c r="O53" s="140"/>
      <c r="P53" s="141">
        <f>J53-N53</f>
        <v>7573615.5300000012</v>
      </c>
    </row>
    <row r="54" spans="1:16" ht="15.75" x14ac:dyDescent="0.25">
      <c r="A54" s="134"/>
      <c r="B54" s="134"/>
      <c r="C54" s="134" t="s">
        <v>134</v>
      </c>
      <c r="D54" s="134"/>
      <c r="E54" s="134"/>
      <c r="F54" s="134"/>
      <c r="G54" s="134"/>
      <c r="H54" s="139">
        <v>23000000</v>
      </c>
      <c r="I54" s="141"/>
      <c r="J54" s="139">
        <v>46446700</v>
      </c>
      <c r="K54" s="140"/>
      <c r="L54" s="152">
        <f t="shared" si="2"/>
        <v>-23446700</v>
      </c>
      <c r="M54" s="140"/>
      <c r="N54" s="139">
        <v>27277804.739999998</v>
      </c>
      <c r="O54" s="140"/>
      <c r="P54" s="141">
        <f>J54-N54</f>
        <v>19168895.260000002</v>
      </c>
    </row>
    <row r="55" spans="1:16" ht="15.75" x14ac:dyDescent="0.25">
      <c r="A55" s="134"/>
      <c r="B55" s="132" t="s">
        <v>136</v>
      </c>
      <c r="C55" s="134"/>
      <c r="D55" s="134"/>
      <c r="E55" s="134"/>
      <c r="F55" s="134"/>
      <c r="G55" s="134"/>
      <c r="H55" s="141"/>
      <c r="I55" s="141"/>
      <c r="J55" s="141"/>
      <c r="K55" s="140"/>
      <c r="L55" s="140"/>
      <c r="M55" s="140"/>
      <c r="N55" s="141"/>
      <c r="O55" s="140"/>
      <c r="P55" s="140"/>
    </row>
    <row r="56" spans="1:16" ht="15.75" x14ac:dyDescent="0.25">
      <c r="A56" s="134"/>
      <c r="B56" s="134"/>
      <c r="C56" s="134" t="s">
        <v>132</v>
      </c>
      <c r="D56" s="134"/>
      <c r="E56" s="134"/>
      <c r="F56" s="134"/>
      <c r="G56" s="134"/>
      <c r="H56" s="139">
        <v>67772569.439999998</v>
      </c>
      <c r="I56" s="141"/>
      <c r="J56" s="139">
        <v>67935928.620000005</v>
      </c>
      <c r="K56" s="140"/>
      <c r="L56" s="152">
        <f t="shared" si="2"/>
        <v>-163359.18000000715</v>
      </c>
      <c r="M56" s="140"/>
      <c r="N56" s="139">
        <v>65052754.559999995</v>
      </c>
      <c r="O56" s="140"/>
      <c r="P56" s="141">
        <f>J56-N56</f>
        <v>2883174.0600000098</v>
      </c>
    </row>
    <row r="57" spans="1:16" ht="15.75" x14ac:dyDescent="0.25">
      <c r="A57" s="134"/>
      <c r="B57" s="134"/>
      <c r="C57" s="134" t="s">
        <v>133</v>
      </c>
      <c r="D57" s="134"/>
      <c r="E57" s="134"/>
      <c r="F57" s="134"/>
      <c r="G57" s="134"/>
      <c r="H57" s="139">
        <v>45068113.849999994</v>
      </c>
      <c r="I57" s="141"/>
      <c r="J57" s="139">
        <v>45730814.170000002</v>
      </c>
      <c r="K57" s="140"/>
      <c r="L57" s="152">
        <f t="shared" si="2"/>
        <v>-662700.32000000775</v>
      </c>
      <c r="M57" s="140"/>
      <c r="N57" s="139">
        <v>34787487.299999997</v>
      </c>
      <c r="O57" s="140"/>
      <c r="P57" s="141">
        <f>J57-N57</f>
        <v>10943326.870000005</v>
      </c>
    </row>
    <row r="58" spans="1:16" ht="15.75" x14ac:dyDescent="0.25">
      <c r="A58" s="134"/>
      <c r="B58" s="134"/>
      <c r="C58" s="134" t="s">
        <v>134</v>
      </c>
      <c r="D58" s="134"/>
      <c r="E58" s="134"/>
      <c r="F58" s="134"/>
      <c r="G58" s="134"/>
      <c r="H58" s="139">
        <v>0</v>
      </c>
      <c r="I58" s="141"/>
      <c r="J58" s="139">
        <v>145485</v>
      </c>
      <c r="K58" s="140"/>
      <c r="L58" s="152">
        <f t="shared" si="2"/>
        <v>-145485</v>
      </c>
      <c r="M58" s="140"/>
      <c r="N58" s="139">
        <v>127893</v>
      </c>
      <c r="O58" s="140"/>
      <c r="P58" s="141">
        <f>J58-N58</f>
        <v>17592</v>
      </c>
    </row>
    <row r="59" spans="1:16" ht="15.6" hidden="1" x14ac:dyDescent="0.3">
      <c r="A59" s="134"/>
      <c r="B59" s="132" t="s">
        <v>137</v>
      </c>
      <c r="C59" s="132"/>
      <c r="D59" s="134"/>
      <c r="E59" s="134"/>
      <c r="F59" s="134"/>
      <c r="G59" s="134"/>
      <c r="H59" s="141"/>
      <c r="I59" s="141"/>
      <c r="J59" s="141"/>
      <c r="K59" s="140"/>
      <c r="L59" s="140"/>
      <c r="M59" s="140"/>
      <c r="N59" s="141"/>
      <c r="O59" s="140"/>
      <c r="P59" s="140"/>
    </row>
    <row r="60" spans="1:16" ht="15.6" hidden="1" x14ac:dyDescent="0.3">
      <c r="A60" s="134"/>
      <c r="B60" s="134"/>
      <c r="C60" s="134" t="s">
        <v>132</v>
      </c>
      <c r="D60" s="134"/>
      <c r="E60" s="134"/>
      <c r="F60" s="134"/>
      <c r="G60" s="134"/>
      <c r="H60" s="141"/>
      <c r="I60" s="141"/>
      <c r="J60" s="141"/>
      <c r="K60" s="140"/>
      <c r="L60" s="141"/>
      <c r="M60" s="140"/>
      <c r="N60" s="141"/>
      <c r="O60" s="140"/>
      <c r="P60" s="141">
        <f>J60-N60</f>
        <v>0</v>
      </c>
    </row>
    <row r="61" spans="1:16" ht="15.6" hidden="1" x14ac:dyDescent="0.3">
      <c r="A61" s="134"/>
      <c r="B61" s="134"/>
      <c r="C61" s="134" t="s">
        <v>133</v>
      </c>
      <c r="D61" s="134"/>
      <c r="E61" s="134"/>
      <c r="F61" s="134"/>
      <c r="G61" s="134"/>
      <c r="H61" s="141"/>
      <c r="I61" s="141"/>
      <c r="J61" s="141"/>
      <c r="K61" s="140"/>
      <c r="L61" s="141"/>
      <c r="M61" s="140"/>
      <c r="N61" s="141"/>
      <c r="O61" s="140"/>
      <c r="P61" s="141">
        <f>J61-N61</f>
        <v>0</v>
      </c>
    </row>
    <row r="62" spans="1:16" ht="15.6" hidden="1" x14ac:dyDescent="0.3">
      <c r="A62" s="134"/>
      <c r="B62" s="134"/>
      <c r="C62" s="134" t="s">
        <v>134</v>
      </c>
      <c r="D62" s="134"/>
      <c r="E62" s="134"/>
      <c r="F62" s="134"/>
      <c r="G62" s="134"/>
      <c r="H62" s="141"/>
      <c r="I62" s="141"/>
      <c r="J62" s="141"/>
      <c r="K62" s="140"/>
      <c r="L62" s="141"/>
      <c r="M62" s="140"/>
      <c r="N62" s="141"/>
      <c r="O62" s="140"/>
      <c r="P62" s="141">
        <f>J62-N62</f>
        <v>0</v>
      </c>
    </row>
    <row r="63" spans="1:16" ht="15.6" hidden="1" x14ac:dyDescent="0.3">
      <c r="A63" s="134"/>
      <c r="B63" s="132" t="s">
        <v>138</v>
      </c>
      <c r="C63" s="132"/>
      <c r="D63" s="134"/>
      <c r="E63" s="134"/>
      <c r="F63" s="134"/>
      <c r="G63" s="134"/>
      <c r="H63" s="141"/>
      <c r="I63" s="141"/>
      <c r="J63" s="141"/>
      <c r="K63" s="140"/>
      <c r="L63" s="140"/>
      <c r="M63" s="140"/>
      <c r="N63" s="141"/>
      <c r="O63" s="140"/>
      <c r="P63" s="140"/>
    </row>
    <row r="64" spans="1:16" ht="15.6" hidden="1" x14ac:dyDescent="0.3">
      <c r="A64" s="134"/>
      <c r="B64" s="134"/>
      <c r="C64" s="134" t="s">
        <v>132</v>
      </c>
      <c r="D64" s="134"/>
      <c r="E64" s="134"/>
      <c r="F64" s="134"/>
      <c r="G64" s="134"/>
      <c r="H64" s="141"/>
      <c r="I64" s="141"/>
      <c r="J64" s="141"/>
      <c r="K64" s="140"/>
      <c r="L64" s="141"/>
      <c r="M64" s="140"/>
      <c r="N64" s="141"/>
      <c r="O64" s="140"/>
      <c r="P64" s="141">
        <f>J64-N64</f>
        <v>0</v>
      </c>
    </row>
    <row r="65" spans="1:16" ht="15.6" hidden="1" x14ac:dyDescent="0.3">
      <c r="A65" s="134"/>
      <c r="B65" s="134"/>
      <c r="C65" s="134" t="s">
        <v>133</v>
      </c>
      <c r="D65" s="134"/>
      <c r="E65" s="134"/>
      <c r="F65" s="134"/>
      <c r="G65" s="134"/>
      <c r="H65" s="141"/>
      <c r="I65" s="141"/>
      <c r="J65" s="141"/>
      <c r="K65" s="140"/>
      <c r="L65" s="141"/>
      <c r="M65" s="140"/>
      <c r="N65" s="141"/>
      <c r="O65" s="140"/>
      <c r="P65" s="141">
        <f>J65-N65</f>
        <v>0</v>
      </c>
    </row>
    <row r="66" spans="1:16" ht="15.6" hidden="1" x14ac:dyDescent="0.3">
      <c r="A66" s="134"/>
      <c r="B66" s="134"/>
      <c r="C66" s="134" t="s">
        <v>134</v>
      </c>
      <c r="D66" s="134"/>
      <c r="E66" s="134"/>
      <c r="F66" s="134"/>
      <c r="G66" s="134"/>
      <c r="H66" s="141"/>
      <c r="I66" s="141"/>
      <c r="J66" s="141"/>
      <c r="K66" s="140"/>
      <c r="L66" s="141"/>
      <c r="M66" s="140"/>
      <c r="N66" s="141"/>
      <c r="O66" s="140"/>
      <c r="P66" s="141">
        <f>J66-N66</f>
        <v>0</v>
      </c>
    </row>
    <row r="67" spans="1:16" ht="15.75" x14ac:dyDescent="0.25">
      <c r="A67" s="134"/>
      <c r="B67" s="132" t="s">
        <v>139</v>
      </c>
      <c r="C67" s="134"/>
      <c r="D67" s="134"/>
      <c r="E67" s="134"/>
      <c r="F67" s="134"/>
      <c r="G67" s="134"/>
      <c r="H67" s="141"/>
      <c r="I67" s="141"/>
      <c r="J67" s="141"/>
      <c r="K67" s="140"/>
      <c r="L67" s="140"/>
      <c r="M67" s="140"/>
      <c r="N67" s="141"/>
      <c r="O67" s="140"/>
      <c r="P67" s="140"/>
    </row>
    <row r="68" spans="1:16" ht="15.75" x14ac:dyDescent="0.25">
      <c r="A68" s="134"/>
      <c r="B68" s="134"/>
      <c r="C68" s="134" t="s">
        <v>132</v>
      </c>
      <c r="D68" s="134"/>
      <c r="E68" s="134"/>
      <c r="F68" s="134"/>
      <c r="G68" s="134"/>
      <c r="H68" s="139">
        <v>22018249.079999998</v>
      </c>
      <c r="I68" s="141"/>
      <c r="J68" s="139">
        <v>21540650.559999999</v>
      </c>
      <c r="K68" s="140"/>
      <c r="L68" s="152">
        <f t="shared" ref="L68:L74" si="3">H68-J68</f>
        <v>477598.51999999955</v>
      </c>
      <c r="M68" s="140"/>
      <c r="N68" s="139">
        <v>16395051.440000001</v>
      </c>
      <c r="O68" s="140"/>
      <c r="P68" s="141">
        <f>J68-N68</f>
        <v>5145599.1199999973</v>
      </c>
    </row>
    <row r="69" spans="1:16" ht="15.75" x14ac:dyDescent="0.25">
      <c r="A69" s="134"/>
      <c r="B69" s="134"/>
      <c r="C69" s="134" t="s">
        <v>133</v>
      </c>
      <c r="D69" s="134"/>
      <c r="E69" s="134"/>
      <c r="F69" s="134"/>
      <c r="G69" s="134"/>
      <c r="H69" s="139">
        <v>40411006.030000001</v>
      </c>
      <c r="I69" s="141"/>
      <c r="J69" s="139">
        <v>45319486</v>
      </c>
      <c r="K69" s="140"/>
      <c r="L69" s="152">
        <f t="shared" si="3"/>
        <v>-4908479.9699999988</v>
      </c>
      <c r="M69" s="140"/>
      <c r="N69" s="139">
        <v>31991500.23</v>
      </c>
      <c r="O69" s="140"/>
      <c r="P69" s="141">
        <f>J69-N69</f>
        <v>13327985.77</v>
      </c>
    </row>
    <row r="70" spans="1:16" ht="15.75" x14ac:dyDescent="0.25">
      <c r="A70" s="134"/>
      <c r="B70" s="134"/>
      <c r="C70" s="134" t="s">
        <v>134</v>
      </c>
      <c r="D70" s="134"/>
      <c r="E70" s="134"/>
      <c r="F70" s="134"/>
      <c r="G70" s="134"/>
      <c r="H70" s="139">
        <v>0</v>
      </c>
      <c r="I70" s="163"/>
      <c r="J70" s="162">
        <v>277000</v>
      </c>
      <c r="K70" s="163"/>
      <c r="L70" s="152">
        <f t="shared" si="3"/>
        <v>-277000</v>
      </c>
      <c r="M70" s="140"/>
      <c r="N70" s="139">
        <v>0</v>
      </c>
      <c r="O70" s="140"/>
      <c r="P70" s="141">
        <f>J70-N70</f>
        <v>277000</v>
      </c>
    </row>
    <row r="71" spans="1:16" ht="15.75" x14ac:dyDescent="0.25">
      <c r="A71" s="134"/>
      <c r="B71" s="132" t="s">
        <v>140</v>
      </c>
      <c r="C71" s="132"/>
      <c r="D71" s="134"/>
      <c r="E71" s="134"/>
      <c r="F71" s="134"/>
      <c r="G71" s="134"/>
      <c r="H71" s="141"/>
      <c r="I71" s="141"/>
      <c r="J71" s="141"/>
      <c r="K71" s="140"/>
      <c r="L71" s="140"/>
      <c r="M71" s="140"/>
      <c r="N71" s="141"/>
      <c r="O71" s="140"/>
      <c r="P71" s="140"/>
    </row>
    <row r="72" spans="1:16" ht="15.75" x14ac:dyDescent="0.25">
      <c r="A72" s="134"/>
      <c r="B72" s="134"/>
      <c r="C72" s="134" t="s">
        <v>132</v>
      </c>
      <c r="D72" s="134"/>
      <c r="E72" s="134"/>
      <c r="F72" s="134"/>
      <c r="G72" s="134"/>
      <c r="H72" s="139">
        <v>93184083.799999997</v>
      </c>
      <c r="I72" s="141"/>
      <c r="J72" s="139">
        <v>91174258.149999991</v>
      </c>
      <c r="K72" s="140"/>
      <c r="L72" s="152">
        <f t="shared" si="3"/>
        <v>2009825.650000006</v>
      </c>
      <c r="M72" s="140"/>
      <c r="N72" s="139">
        <v>76277816.719999999</v>
      </c>
      <c r="O72" s="140"/>
      <c r="P72" s="141">
        <f>J72-N72</f>
        <v>14896441.429999992</v>
      </c>
    </row>
    <row r="73" spans="1:16" ht="15.75" x14ac:dyDescent="0.25">
      <c r="A73" s="134"/>
      <c r="B73" s="134"/>
      <c r="C73" s="134" t="s">
        <v>133</v>
      </c>
      <c r="D73" s="134"/>
      <c r="E73" s="134"/>
      <c r="F73" s="134"/>
      <c r="G73" s="134"/>
      <c r="H73" s="139">
        <v>163968114.12</v>
      </c>
      <c r="I73" s="141"/>
      <c r="J73" s="139">
        <v>185605874.05000001</v>
      </c>
      <c r="K73" s="140"/>
      <c r="L73" s="152">
        <f t="shared" si="3"/>
        <v>-21637759.930000007</v>
      </c>
      <c r="M73" s="140"/>
      <c r="N73" s="139">
        <v>142982135.10999998</v>
      </c>
      <c r="O73" s="140"/>
      <c r="P73" s="141">
        <f>J73-N73</f>
        <v>42623738.940000027</v>
      </c>
    </row>
    <row r="74" spans="1:16" ht="15.75" x14ac:dyDescent="0.25">
      <c r="A74" s="134"/>
      <c r="B74" s="134"/>
      <c r="C74" s="134" t="s">
        <v>134</v>
      </c>
      <c r="D74" s="134"/>
      <c r="E74" s="134"/>
      <c r="F74" s="134"/>
      <c r="G74" s="134"/>
      <c r="H74" s="139">
        <v>3000000</v>
      </c>
      <c r="I74" s="141"/>
      <c r="J74" s="139">
        <v>30627233.039999999</v>
      </c>
      <c r="K74" s="140"/>
      <c r="L74" s="152">
        <f t="shared" si="3"/>
        <v>-27627233.039999999</v>
      </c>
      <c r="M74" s="140"/>
      <c r="N74" s="139">
        <v>894011.84</v>
      </c>
      <c r="O74" s="140"/>
      <c r="P74" s="141">
        <f>J74-N74</f>
        <v>29733221.199999999</v>
      </c>
    </row>
    <row r="75" spans="1:16" ht="15.75" x14ac:dyDescent="0.25">
      <c r="A75" s="134"/>
      <c r="B75" s="132" t="s">
        <v>141</v>
      </c>
      <c r="C75" s="164"/>
      <c r="D75" s="165"/>
      <c r="E75" s="165"/>
      <c r="F75" s="166"/>
      <c r="G75" s="134"/>
      <c r="H75" s="141"/>
      <c r="I75" s="141"/>
      <c r="J75" s="141"/>
      <c r="K75" s="140"/>
      <c r="L75" s="140"/>
      <c r="M75" s="140"/>
      <c r="N75" s="141"/>
      <c r="O75" s="140"/>
      <c r="P75" s="140"/>
    </row>
    <row r="76" spans="1:16" ht="15.75" x14ac:dyDescent="0.25">
      <c r="A76" s="134"/>
      <c r="B76" s="134"/>
      <c r="C76" s="134" t="s">
        <v>142</v>
      </c>
      <c r="D76" s="134"/>
      <c r="E76" s="134"/>
      <c r="F76" s="134"/>
      <c r="G76" s="134"/>
      <c r="H76" s="139"/>
      <c r="I76" s="141"/>
      <c r="J76" s="139"/>
      <c r="K76" s="140"/>
      <c r="L76" s="141"/>
      <c r="M76" s="140"/>
      <c r="N76" s="139"/>
      <c r="O76" s="140"/>
      <c r="P76" s="141"/>
    </row>
    <row r="77" spans="1:16" ht="15.75" x14ac:dyDescent="0.25">
      <c r="A77" s="134"/>
      <c r="B77" s="134"/>
      <c r="C77" s="134"/>
      <c r="D77" s="134" t="s">
        <v>143</v>
      </c>
      <c r="E77" s="134"/>
      <c r="F77" s="134"/>
      <c r="G77" s="134"/>
      <c r="H77" s="139">
        <v>88599644.340000004</v>
      </c>
      <c r="I77" s="141"/>
      <c r="J77" s="139">
        <v>115843688.40000001</v>
      </c>
      <c r="K77" s="140"/>
      <c r="L77" s="152">
        <f t="shared" ref="L77:L78" si="4">H77-J77</f>
        <v>-27244044.060000002</v>
      </c>
      <c r="M77" s="140"/>
      <c r="N77" s="139">
        <v>39931714.57</v>
      </c>
      <c r="O77" s="140"/>
      <c r="P77" s="141">
        <f>J77-N77</f>
        <v>75911973.830000013</v>
      </c>
    </row>
    <row r="78" spans="1:16" ht="15.75" x14ac:dyDescent="0.25">
      <c r="A78" s="134"/>
      <c r="B78" s="134"/>
      <c r="C78" s="134"/>
      <c r="D78" s="134" t="s">
        <v>144</v>
      </c>
      <c r="E78" s="134"/>
      <c r="F78" s="134"/>
      <c r="G78" s="134"/>
      <c r="H78" s="139">
        <v>0</v>
      </c>
      <c r="I78" s="141"/>
      <c r="J78" s="139">
        <v>0</v>
      </c>
      <c r="K78" s="140"/>
      <c r="L78" s="152">
        <f t="shared" si="4"/>
        <v>0</v>
      </c>
      <c r="M78" s="140"/>
      <c r="N78" s="139">
        <v>62660999.380000003</v>
      </c>
      <c r="O78" s="140"/>
      <c r="P78" s="141">
        <f>J78-N78</f>
        <v>-62660999.380000003</v>
      </c>
    </row>
    <row r="79" spans="1:16" ht="15.75" x14ac:dyDescent="0.25">
      <c r="A79" s="134"/>
      <c r="B79" s="134"/>
      <c r="C79" s="134" t="s">
        <v>145</v>
      </c>
      <c r="D79" s="134"/>
      <c r="E79" s="134"/>
      <c r="F79" s="134"/>
      <c r="G79" s="134"/>
      <c r="H79" s="141"/>
      <c r="I79" s="141"/>
      <c r="J79" s="141"/>
      <c r="K79" s="140"/>
      <c r="L79" s="140"/>
      <c r="M79" s="140"/>
      <c r="N79" s="141"/>
      <c r="O79" s="140"/>
      <c r="P79" s="140"/>
    </row>
    <row r="80" spans="1:16" ht="15.75" x14ac:dyDescent="0.25">
      <c r="A80" s="134"/>
      <c r="B80" s="134"/>
      <c r="C80" s="134"/>
      <c r="D80" s="134" t="s">
        <v>133</v>
      </c>
      <c r="E80" s="134"/>
      <c r="F80" s="134"/>
      <c r="G80" s="134"/>
      <c r="H80" s="139">
        <v>39115000</v>
      </c>
      <c r="I80" s="141"/>
      <c r="J80" s="139">
        <v>39317800</v>
      </c>
      <c r="K80" s="140"/>
      <c r="L80" s="152">
        <f t="shared" ref="L80:L83" si="5">H80-J80</f>
        <v>-202800</v>
      </c>
      <c r="M80" s="140"/>
      <c r="N80" s="139">
        <v>36056716</v>
      </c>
      <c r="O80" s="140"/>
      <c r="P80" s="141">
        <f>J80-N80</f>
        <v>3261084</v>
      </c>
    </row>
    <row r="81" spans="1:16" ht="15.75" x14ac:dyDescent="0.25">
      <c r="A81" s="134"/>
      <c r="B81" s="134"/>
      <c r="C81" s="134"/>
      <c r="D81" s="134" t="s">
        <v>134</v>
      </c>
      <c r="E81" s="134"/>
      <c r="F81" s="134"/>
      <c r="G81" s="134"/>
      <c r="H81" s="139">
        <v>29885000</v>
      </c>
      <c r="I81" s="141"/>
      <c r="J81" s="139">
        <v>39574210</v>
      </c>
      <c r="K81" s="140"/>
      <c r="L81" s="152">
        <f t="shared" si="5"/>
        <v>-9689210</v>
      </c>
      <c r="M81" s="140"/>
      <c r="N81" s="139">
        <v>6879407.4399999995</v>
      </c>
      <c r="O81" s="140"/>
      <c r="P81" s="141">
        <f>J81-N81</f>
        <v>32694802.560000002</v>
      </c>
    </row>
    <row r="82" spans="1:16" ht="15.75" x14ac:dyDescent="0.25">
      <c r="A82" s="134"/>
      <c r="B82" s="134"/>
      <c r="C82" s="134" t="s">
        <v>146</v>
      </c>
      <c r="D82" s="134"/>
      <c r="E82" s="134"/>
      <c r="F82" s="134"/>
      <c r="G82" s="134"/>
      <c r="H82" s="141"/>
      <c r="I82" s="141"/>
      <c r="J82" s="141"/>
      <c r="K82" s="140"/>
      <c r="L82" s="140"/>
      <c r="M82" s="140"/>
      <c r="N82" s="141"/>
      <c r="O82" s="140"/>
      <c r="P82" s="141"/>
    </row>
    <row r="83" spans="1:16" ht="15.75" x14ac:dyDescent="0.25">
      <c r="A83" s="134"/>
      <c r="B83" s="134"/>
      <c r="C83" s="134"/>
      <c r="D83" s="134" t="s">
        <v>133</v>
      </c>
      <c r="E83" s="134"/>
      <c r="F83" s="134"/>
      <c r="G83" s="134"/>
      <c r="H83" s="139">
        <v>0</v>
      </c>
      <c r="I83" s="141"/>
      <c r="J83" s="139">
        <v>0</v>
      </c>
      <c r="K83" s="140"/>
      <c r="L83" s="152">
        <f t="shared" si="5"/>
        <v>0</v>
      </c>
      <c r="M83" s="140"/>
      <c r="N83" s="139">
        <v>0</v>
      </c>
      <c r="O83" s="140"/>
      <c r="P83" s="141">
        <f>J83-N83</f>
        <v>0</v>
      </c>
    </row>
    <row r="84" spans="1:16" ht="15.75" x14ac:dyDescent="0.25">
      <c r="A84" s="134"/>
      <c r="B84" s="134"/>
      <c r="C84" s="134"/>
      <c r="D84" s="134" t="s">
        <v>134</v>
      </c>
      <c r="E84" s="134"/>
      <c r="F84" s="134"/>
      <c r="G84" s="134"/>
      <c r="H84" s="139">
        <v>214000000</v>
      </c>
      <c r="I84" s="141"/>
      <c r="J84" s="139">
        <v>304382046</v>
      </c>
      <c r="K84" s="140"/>
      <c r="L84" s="152">
        <f t="shared" ref="L84" si="6">H84-J84</f>
        <v>-90382046</v>
      </c>
      <c r="M84" s="140"/>
      <c r="N84" s="139">
        <v>72548466.920000002</v>
      </c>
      <c r="O84" s="140"/>
      <c r="P84" s="141">
        <f>J84-N84</f>
        <v>231833579.07999998</v>
      </c>
    </row>
    <row r="85" spans="1:16" ht="15.6" hidden="1" x14ac:dyDescent="0.3">
      <c r="A85" s="134"/>
      <c r="B85" s="134"/>
      <c r="C85" s="134" t="s">
        <v>147</v>
      </c>
      <c r="D85" s="134"/>
      <c r="E85" s="134"/>
      <c r="F85" s="134"/>
      <c r="G85" s="134"/>
      <c r="H85" s="141"/>
      <c r="I85" s="141"/>
      <c r="J85" s="141"/>
      <c r="K85" s="140"/>
      <c r="L85" s="140"/>
      <c r="M85" s="140"/>
      <c r="N85" s="141"/>
      <c r="O85" s="140"/>
      <c r="P85" s="141"/>
    </row>
    <row r="86" spans="1:16" ht="15.6" hidden="1" x14ac:dyDescent="0.3">
      <c r="A86" s="134"/>
      <c r="B86" s="134"/>
      <c r="C86" s="134"/>
      <c r="D86" s="134" t="s">
        <v>133</v>
      </c>
      <c r="E86" s="134"/>
      <c r="F86" s="134"/>
      <c r="G86" s="134"/>
      <c r="H86" s="141"/>
      <c r="I86" s="141"/>
      <c r="J86" s="141"/>
      <c r="K86" s="140"/>
      <c r="L86" s="141"/>
      <c r="M86" s="140"/>
      <c r="N86" s="141"/>
      <c r="O86" s="140"/>
      <c r="P86" s="141">
        <f>J86-N86</f>
        <v>0</v>
      </c>
    </row>
    <row r="87" spans="1:16" ht="15.6" hidden="1" x14ac:dyDescent="0.3">
      <c r="A87" s="134"/>
      <c r="B87" s="134"/>
      <c r="C87" s="134"/>
      <c r="D87" s="134" t="s">
        <v>134</v>
      </c>
      <c r="E87" s="134"/>
      <c r="F87" s="134"/>
      <c r="G87" s="134"/>
      <c r="H87" s="141"/>
      <c r="I87" s="141"/>
      <c r="J87" s="141"/>
      <c r="K87" s="140"/>
      <c r="L87" s="141"/>
      <c r="M87" s="140"/>
      <c r="N87" s="141"/>
      <c r="O87" s="140"/>
      <c r="P87" s="141">
        <f>J87-N87</f>
        <v>0</v>
      </c>
    </row>
    <row r="88" spans="1:16" ht="15.6" hidden="1" x14ac:dyDescent="0.3">
      <c r="A88" s="134"/>
      <c r="B88" s="134"/>
      <c r="C88" s="134" t="s">
        <v>148</v>
      </c>
      <c r="D88" s="134"/>
      <c r="E88" s="134"/>
      <c r="F88" s="134"/>
      <c r="G88" s="134"/>
      <c r="H88" s="141"/>
      <c r="I88" s="141"/>
      <c r="J88" s="141"/>
      <c r="K88" s="140"/>
      <c r="L88" s="140"/>
      <c r="M88" s="140"/>
      <c r="N88" s="141"/>
      <c r="O88" s="140"/>
      <c r="P88" s="141"/>
    </row>
    <row r="89" spans="1:16" ht="15.6" hidden="1" x14ac:dyDescent="0.3">
      <c r="A89" s="134"/>
      <c r="B89" s="134"/>
      <c r="C89" s="134" t="s">
        <v>148</v>
      </c>
      <c r="D89" s="134"/>
      <c r="E89" s="134"/>
      <c r="F89" s="134"/>
      <c r="G89" s="134"/>
      <c r="H89" s="141"/>
      <c r="I89" s="141"/>
      <c r="J89" s="141"/>
      <c r="K89" s="140"/>
      <c r="L89" s="141"/>
      <c r="M89" s="140"/>
      <c r="N89" s="141"/>
      <c r="O89" s="140"/>
      <c r="P89" s="141"/>
    </row>
    <row r="90" spans="1:16" ht="15.6" hidden="1" x14ac:dyDescent="0.3">
      <c r="A90" s="134"/>
      <c r="B90" s="134"/>
      <c r="C90" s="134"/>
      <c r="D90" s="134" t="s">
        <v>133</v>
      </c>
      <c r="E90" s="134"/>
      <c r="F90" s="134"/>
      <c r="G90" s="134"/>
      <c r="H90" s="139"/>
      <c r="I90" s="141"/>
      <c r="J90" s="139"/>
      <c r="K90" s="140"/>
      <c r="L90" s="141"/>
      <c r="M90" s="140"/>
      <c r="N90" s="139"/>
      <c r="O90" s="140"/>
      <c r="P90" s="141">
        <f>J90-N90</f>
        <v>0</v>
      </c>
    </row>
    <row r="91" spans="1:16" ht="15.6" hidden="1" x14ac:dyDescent="0.3">
      <c r="A91" s="134"/>
      <c r="B91" s="134"/>
      <c r="C91" s="134"/>
      <c r="D91" s="134" t="s">
        <v>134</v>
      </c>
      <c r="E91" s="134"/>
      <c r="F91" s="134"/>
      <c r="G91" s="134"/>
      <c r="H91" s="139"/>
      <c r="I91" s="141"/>
      <c r="J91" s="139"/>
      <c r="K91" s="140"/>
      <c r="L91" s="141"/>
      <c r="M91" s="140"/>
      <c r="N91" s="139"/>
      <c r="O91" s="140"/>
      <c r="P91" s="141">
        <f>J91-N91</f>
        <v>0</v>
      </c>
    </row>
    <row r="92" spans="1:16" ht="15.75" x14ac:dyDescent="0.25">
      <c r="A92" s="134"/>
      <c r="B92" s="134"/>
      <c r="C92" s="134" t="s">
        <v>149</v>
      </c>
      <c r="D92" s="134"/>
      <c r="E92" s="134"/>
      <c r="F92" s="134"/>
      <c r="G92" s="134"/>
      <c r="H92" s="141"/>
      <c r="I92" s="141"/>
      <c r="J92" s="141"/>
      <c r="K92" s="140"/>
      <c r="L92" s="140"/>
      <c r="M92" s="140"/>
      <c r="N92" s="141"/>
      <c r="O92" s="140"/>
      <c r="P92" s="141"/>
    </row>
    <row r="93" spans="1:16" ht="15.75" x14ac:dyDescent="0.25">
      <c r="A93" s="134"/>
      <c r="B93" s="134"/>
      <c r="C93" s="134"/>
      <c r="D93" s="134" t="s">
        <v>150</v>
      </c>
      <c r="E93" s="134"/>
      <c r="F93" s="134"/>
      <c r="G93" s="134"/>
      <c r="H93" s="139">
        <v>2800000</v>
      </c>
      <c r="I93" s="141"/>
      <c r="J93" s="139">
        <v>2800000</v>
      </c>
      <c r="K93" s="140"/>
      <c r="L93" s="152">
        <f t="shared" ref="L93:L97" si="7">H93-J93</f>
        <v>0</v>
      </c>
      <c r="M93" s="140"/>
      <c r="N93" s="139">
        <v>2550200</v>
      </c>
      <c r="O93" s="140"/>
      <c r="P93" s="141">
        <f t="shared" ref="P93:P98" si="8">J93-N93</f>
        <v>249800</v>
      </c>
    </row>
    <row r="94" spans="1:16" ht="15.75" x14ac:dyDescent="0.25">
      <c r="A94" s="134"/>
      <c r="B94" s="134"/>
      <c r="C94" s="134"/>
      <c r="D94" s="134" t="s">
        <v>151</v>
      </c>
      <c r="E94" s="134"/>
      <c r="F94" s="134"/>
      <c r="G94" s="134"/>
      <c r="H94" s="139">
        <v>0</v>
      </c>
      <c r="I94" s="141"/>
      <c r="J94" s="139">
        <v>6344833.7300000004</v>
      </c>
      <c r="K94" s="140"/>
      <c r="L94" s="152">
        <f t="shared" si="7"/>
        <v>-6344833.7300000004</v>
      </c>
      <c r="M94" s="140"/>
      <c r="N94" s="139">
        <v>6344833.7300000004</v>
      </c>
      <c r="O94" s="140"/>
      <c r="P94" s="141">
        <f t="shared" si="8"/>
        <v>0</v>
      </c>
    </row>
    <row r="95" spans="1:16" ht="15.75" x14ac:dyDescent="0.25">
      <c r="A95" s="134"/>
      <c r="B95" s="134"/>
      <c r="C95" s="134"/>
      <c r="D95" s="134" t="s">
        <v>152</v>
      </c>
      <c r="E95" s="134"/>
      <c r="F95" s="134"/>
      <c r="G95" s="134"/>
      <c r="H95" s="139">
        <v>703528.73</v>
      </c>
      <c r="I95" s="141"/>
      <c r="J95" s="139">
        <v>703528.73</v>
      </c>
      <c r="K95" s="140"/>
      <c r="L95" s="152">
        <f t="shared" si="7"/>
        <v>0</v>
      </c>
      <c r="M95" s="140"/>
      <c r="N95" s="139">
        <v>703528.72</v>
      </c>
      <c r="O95" s="140"/>
      <c r="P95" s="141">
        <f t="shared" si="8"/>
        <v>1.0000000009313226E-2</v>
      </c>
    </row>
    <row r="96" spans="1:16" ht="15.75" x14ac:dyDescent="0.25">
      <c r="A96" s="134"/>
      <c r="B96" s="134"/>
      <c r="C96" s="134"/>
      <c r="D96" s="134" t="s">
        <v>153</v>
      </c>
      <c r="E96" s="134"/>
      <c r="F96" s="134"/>
      <c r="G96" s="134"/>
      <c r="H96" s="139">
        <v>4778000</v>
      </c>
      <c r="I96" s="141"/>
      <c r="J96" s="139">
        <v>75291128.090000004</v>
      </c>
      <c r="K96" s="140"/>
      <c r="L96" s="152">
        <f t="shared" si="7"/>
        <v>-70513128.090000004</v>
      </c>
      <c r="M96" s="140"/>
      <c r="N96" s="139">
        <v>71314464.420000002</v>
      </c>
      <c r="O96" s="140"/>
      <c r="P96" s="141">
        <f t="shared" si="8"/>
        <v>3976663.6700000018</v>
      </c>
    </row>
    <row r="97" spans="1:16" ht="15.75" x14ac:dyDescent="0.25">
      <c r="A97" s="134"/>
      <c r="B97" s="134"/>
      <c r="C97" s="134"/>
      <c r="D97" s="134" t="s">
        <v>154</v>
      </c>
      <c r="E97" s="134"/>
      <c r="F97" s="134"/>
      <c r="G97" s="134"/>
      <c r="H97" s="139">
        <v>4844226.04</v>
      </c>
      <c r="I97" s="141"/>
      <c r="J97" s="139">
        <v>35590327.049999997</v>
      </c>
      <c r="K97" s="140"/>
      <c r="L97" s="152">
        <f t="shared" si="7"/>
        <v>-30746101.009999998</v>
      </c>
      <c r="M97" s="140"/>
      <c r="N97" s="139">
        <v>35590327.07</v>
      </c>
      <c r="O97" s="140"/>
      <c r="P97" s="141">
        <f t="shared" si="8"/>
        <v>-2.0000003278255463E-2</v>
      </c>
    </row>
    <row r="98" spans="1:16" ht="15.6" hidden="1" x14ac:dyDescent="0.3">
      <c r="A98" s="134"/>
      <c r="B98" s="134"/>
      <c r="C98" s="134"/>
      <c r="D98" s="134" t="s">
        <v>155</v>
      </c>
      <c r="E98" s="134"/>
      <c r="F98" s="134"/>
      <c r="G98" s="134"/>
      <c r="H98" s="140"/>
      <c r="I98" s="141"/>
      <c r="J98" s="140"/>
      <c r="K98" s="140"/>
      <c r="L98" s="141"/>
      <c r="M98" s="140"/>
      <c r="N98" s="140"/>
      <c r="O98" s="140"/>
      <c r="P98" s="141">
        <f t="shared" si="8"/>
        <v>0</v>
      </c>
    </row>
    <row r="99" spans="1:16" ht="15.75" x14ac:dyDescent="0.25">
      <c r="A99" s="134"/>
      <c r="B99" s="134"/>
      <c r="C99" s="132" t="s">
        <v>156</v>
      </c>
      <c r="D99" s="134"/>
      <c r="E99" s="134"/>
      <c r="F99" s="135"/>
      <c r="G99" s="134"/>
      <c r="H99" s="167">
        <f>SUM(H48:H98)</f>
        <v>1488790026.8100002</v>
      </c>
      <c r="I99" s="168"/>
      <c r="J99" s="167">
        <f>SUM(J48:J98)</f>
        <v>1856173663.7699997</v>
      </c>
      <c r="K99" s="168"/>
      <c r="L99" s="167">
        <f>SUM(L48:L98)</f>
        <v>-367383636.95999992</v>
      </c>
      <c r="M99" s="168"/>
      <c r="N99" s="167">
        <f>SUM(N48:N98)</f>
        <v>1280058362.9300003</v>
      </c>
      <c r="O99" s="168"/>
      <c r="P99" s="167">
        <f>SUM(P48:P98)</f>
        <v>576115300.84000003</v>
      </c>
    </row>
    <row r="100" spans="1:16" ht="15.75" x14ac:dyDescent="0.25">
      <c r="A100" s="132" t="s">
        <v>157</v>
      </c>
      <c r="B100" s="134"/>
      <c r="D100" s="134"/>
      <c r="E100" s="134"/>
      <c r="F100" s="134"/>
      <c r="G100" s="134"/>
      <c r="H100" s="140"/>
      <c r="I100" s="140"/>
      <c r="J100" s="140"/>
      <c r="K100" s="140"/>
      <c r="L100" s="169"/>
      <c r="M100" s="140"/>
      <c r="N100" s="140"/>
      <c r="O100" s="140"/>
      <c r="P100" s="169"/>
    </row>
    <row r="101" spans="1:16" ht="15.75" x14ac:dyDescent="0.25">
      <c r="A101" s="134"/>
      <c r="B101" s="132" t="s">
        <v>131</v>
      </c>
      <c r="C101" s="134"/>
      <c r="D101" s="134"/>
      <c r="E101" s="134"/>
      <c r="F101" s="134"/>
      <c r="G101" s="134"/>
      <c r="H101" s="140"/>
      <c r="I101" s="140"/>
      <c r="J101" s="140"/>
      <c r="K101" s="140"/>
      <c r="L101" s="140"/>
      <c r="M101" s="140"/>
      <c r="N101" s="140"/>
      <c r="O101" s="140"/>
      <c r="P101" s="141"/>
    </row>
    <row r="102" spans="1:16" ht="15.75" x14ac:dyDescent="0.25">
      <c r="A102" s="134"/>
      <c r="B102" s="134"/>
      <c r="C102" s="134" t="s">
        <v>134</v>
      </c>
      <c r="D102" s="134"/>
      <c r="E102" s="134"/>
      <c r="F102" s="134"/>
      <c r="G102" s="134"/>
      <c r="H102" s="141">
        <v>13730493.27</v>
      </c>
      <c r="I102" s="141"/>
      <c r="J102" s="141">
        <v>15548656.52</v>
      </c>
      <c r="K102" s="140"/>
      <c r="L102" s="152">
        <f t="shared" ref="L102:L106" si="9">H102-J102</f>
        <v>-1818163.25</v>
      </c>
      <c r="M102" s="140"/>
      <c r="N102" s="141">
        <v>2119982</v>
      </c>
      <c r="O102" s="140"/>
      <c r="P102" s="141">
        <f>J102-N102</f>
        <v>13428674.52</v>
      </c>
    </row>
    <row r="103" spans="1:16" ht="15.75" x14ac:dyDescent="0.25">
      <c r="A103" s="134"/>
      <c r="B103" s="132" t="s">
        <v>135</v>
      </c>
      <c r="C103" s="134"/>
      <c r="D103" s="134"/>
      <c r="E103" s="134"/>
      <c r="F103" s="134"/>
      <c r="G103" s="134"/>
      <c r="H103" s="141"/>
      <c r="I103" s="141"/>
      <c r="J103" s="141"/>
      <c r="K103" s="140"/>
      <c r="L103" s="140"/>
      <c r="M103" s="140"/>
      <c r="N103" s="141"/>
      <c r="O103" s="140"/>
      <c r="P103" s="141"/>
    </row>
    <row r="104" spans="1:16" ht="15.75" x14ac:dyDescent="0.25">
      <c r="A104" s="134"/>
      <c r="B104" s="134"/>
      <c r="C104" s="134" t="s">
        <v>134</v>
      </c>
      <c r="D104" s="134"/>
      <c r="E104" s="134"/>
      <c r="F104" s="134"/>
      <c r="G104" s="134"/>
      <c r="H104" s="141">
        <v>25441488.41</v>
      </c>
      <c r="I104" s="141"/>
      <c r="J104" s="141">
        <v>23819404.809999999</v>
      </c>
      <c r="K104" s="140"/>
      <c r="L104" s="152">
        <f t="shared" si="9"/>
        <v>1622083.6000000015</v>
      </c>
      <c r="M104" s="140"/>
      <c r="N104" s="141">
        <v>13795620.289999999</v>
      </c>
      <c r="O104" s="140"/>
      <c r="P104" s="141">
        <f>J104-N104</f>
        <v>10023784.52</v>
      </c>
    </row>
    <row r="105" spans="1:16" ht="15.75" x14ac:dyDescent="0.25">
      <c r="A105" s="134"/>
      <c r="B105" s="132" t="s">
        <v>136</v>
      </c>
      <c r="C105" s="134"/>
      <c r="D105" s="134"/>
      <c r="E105" s="134"/>
      <c r="F105" s="134"/>
      <c r="G105" s="134"/>
      <c r="H105" s="141"/>
      <c r="I105" s="141"/>
      <c r="J105" s="141"/>
      <c r="K105" s="140"/>
      <c r="L105" s="140"/>
      <c r="M105" s="140"/>
      <c r="N105" s="141"/>
      <c r="O105" s="140"/>
      <c r="P105" s="141"/>
    </row>
    <row r="106" spans="1:16" ht="15.75" x14ac:dyDescent="0.25">
      <c r="A106" s="134"/>
      <c r="B106" s="134"/>
      <c r="C106" s="134" t="s">
        <v>134</v>
      </c>
      <c r="D106" s="134"/>
      <c r="E106" s="134"/>
      <c r="F106" s="134"/>
      <c r="G106" s="134"/>
      <c r="H106" s="141">
        <v>630600</v>
      </c>
      <c r="I106" s="141"/>
      <c r="J106" s="141">
        <v>630600</v>
      </c>
      <c r="K106" s="140"/>
      <c r="L106" s="152">
        <f t="shared" si="9"/>
        <v>0</v>
      </c>
      <c r="M106" s="140"/>
      <c r="N106" s="141">
        <v>405000</v>
      </c>
      <c r="O106" s="140"/>
      <c r="P106" s="141">
        <f>J106-N106</f>
        <v>225600</v>
      </c>
    </row>
    <row r="107" spans="1:16" ht="15.6" hidden="1" x14ac:dyDescent="0.3">
      <c r="A107" s="134"/>
      <c r="B107" s="132" t="s">
        <v>137</v>
      </c>
      <c r="C107" s="134"/>
      <c r="D107" s="134"/>
      <c r="E107" s="134"/>
      <c r="F107" s="134"/>
      <c r="G107" s="134"/>
      <c r="H107" s="141"/>
      <c r="I107" s="141"/>
      <c r="J107" s="141"/>
      <c r="K107" s="140"/>
      <c r="L107" s="140"/>
      <c r="M107" s="140"/>
      <c r="N107" s="141"/>
      <c r="O107" s="140"/>
      <c r="P107" s="141"/>
    </row>
    <row r="108" spans="1:16" ht="15.6" hidden="1" x14ac:dyDescent="0.3">
      <c r="A108" s="134"/>
      <c r="B108" s="132"/>
      <c r="C108" s="134" t="s">
        <v>134</v>
      </c>
      <c r="D108" s="134"/>
      <c r="E108" s="134"/>
      <c r="F108" s="134"/>
      <c r="G108" s="134"/>
      <c r="H108" s="141"/>
      <c r="I108" s="141"/>
      <c r="J108" s="141"/>
      <c r="K108" s="140"/>
      <c r="L108" s="141"/>
      <c r="M108" s="140"/>
      <c r="N108" s="141"/>
      <c r="O108" s="140"/>
      <c r="P108" s="141">
        <f>J108-N108</f>
        <v>0</v>
      </c>
    </row>
    <row r="109" spans="1:16" ht="15.6" hidden="1" x14ac:dyDescent="0.3">
      <c r="A109" s="134"/>
      <c r="B109" s="132" t="s">
        <v>138</v>
      </c>
      <c r="C109" s="134"/>
      <c r="D109" s="134"/>
      <c r="E109" s="134"/>
      <c r="F109" s="134"/>
      <c r="G109" s="134"/>
      <c r="H109" s="141"/>
      <c r="I109" s="141"/>
      <c r="J109" s="141"/>
      <c r="K109" s="140"/>
      <c r="L109" s="140"/>
      <c r="M109" s="140"/>
      <c r="N109" s="141"/>
      <c r="O109" s="140"/>
      <c r="P109" s="141"/>
    </row>
    <row r="110" spans="1:16" ht="15.6" hidden="1" x14ac:dyDescent="0.3">
      <c r="A110" s="134"/>
      <c r="B110" s="132"/>
      <c r="C110" s="134" t="s">
        <v>134</v>
      </c>
      <c r="D110" s="134"/>
      <c r="E110" s="134"/>
      <c r="F110" s="134"/>
      <c r="G110" s="134"/>
      <c r="H110" s="141"/>
      <c r="I110" s="141"/>
      <c r="J110" s="141"/>
      <c r="K110" s="140"/>
      <c r="L110" s="141"/>
      <c r="M110" s="140"/>
      <c r="N110" s="141"/>
      <c r="O110" s="140"/>
      <c r="P110" s="141">
        <f>J110-N110</f>
        <v>0</v>
      </c>
    </row>
    <row r="111" spans="1:16" ht="15.6" hidden="1" x14ac:dyDescent="0.3">
      <c r="A111" s="134"/>
      <c r="B111" s="132" t="s">
        <v>139</v>
      </c>
      <c r="C111" s="134"/>
      <c r="D111" s="134"/>
      <c r="E111" s="134"/>
      <c r="F111" s="134"/>
      <c r="G111" s="134"/>
      <c r="H111" s="141"/>
      <c r="I111" s="141"/>
      <c r="J111" s="141"/>
      <c r="K111" s="140"/>
      <c r="L111" s="140"/>
      <c r="M111" s="140"/>
      <c r="N111" s="141"/>
      <c r="O111" s="140"/>
      <c r="P111" s="141"/>
    </row>
    <row r="112" spans="1:16" ht="15.6" hidden="1" x14ac:dyDescent="0.3">
      <c r="A112" s="134"/>
      <c r="B112" s="132"/>
      <c r="C112" s="134" t="s">
        <v>134</v>
      </c>
      <c r="D112" s="134"/>
      <c r="E112" s="134"/>
      <c r="F112" s="134"/>
      <c r="G112" s="134"/>
      <c r="H112" s="141"/>
      <c r="I112" s="141"/>
      <c r="J112" s="141"/>
      <c r="K112" s="140"/>
      <c r="L112" s="141"/>
      <c r="M112" s="140"/>
      <c r="N112" s="141"/>
      <c r="O112" s="140"/>
      <c r="P112" s="141">
        <f>J112-N112</f>
        <v>0</v>
      </c>
    </row>
    <row r="113" spans="1:16" ht="15.75" x14ac:dyDescent="0.25">
      <c r="A113" s="134"/>
      <c r="B113" s="132" t="s">
        <v>140</v>
      </c>
      <c r="C113" s="134"/>
      <c r="D113" s="134"/>
      <c r="E113" s="134"/>
      <c r="F113" s="134"/>
      <c r="G113" s="134"/>
      <c r="H113" s="141"/>
      <c r="I113" s="141"/>
      <c r="J113" s="141"/>
      <c r="K113" s="140"/>
      <c r="L113" s="140"/>
      <c r="M113" s="140"/>
      <c r="N113" s="141"/>
      <c r="O113" s="140"/>
      <c r="P113" s="141"/>
    </row>
    <row r="114" spans="1:16" ht="15.6" hidden="1" x14ac:dyDescent="0.3">
      <c r="A114" s="134"/>
      <c r="B114" s="132"/>
      <c r="C114" s="134" t="s">
        <v>133</v>
      </c>
      <c r="D114" s="134"/>
      <c r="E114" s="134"/>
      <c r="F114" s="134"/>
      <c r="G114" s="134"/>
      <c r="H114" s="141"/>
      <c r="I114" s="141"/>
      <c r="J114" s="141"/>
      <c r="K114" s="140"/>
      <c r="L114" s="141"/>
      <c r="M114" s="140"/>
      <c r="N114" s="141"/>
      <c r="O114" s="140"/>
      <c r="P114" s="141">
        <f>J114-N114</f>
        <v>0</v>
      </c>
    </row>
    <row r="115" spans="1:16" ht="15.75" x14ac:dyDescent="0.25">
      <c r="A115" s="134"/>
      <c r="B115" s="132"/>
      <c r="C115" s="134" t="s">
        <v>134</v>
      </c>
      <c r="D115" s="134"/>
      <c r="E115" s="134"/>
      <c r="F115" s="134"/>
      <c r="G115" s="134"/>
      <c r="H115" s="141">
        <v>473194288.56999999</v>
      </c>
      <c r="I115" s="141"/>
      <c r="J115" s="141">
        <v>459594288.57000005</v>
      </c>
      <c r="K115" s="140"/>
      <c r="L115" s="152">
        <f t="shared" ref="L115" si="10">H115-J115</f>
        <v>13599999.99999994</v>
      </c>
      <c r="M115" s="140"/>
      <c r="N115" s="141">
        <v>248628786.05000001</v>
      </c>
      <c r="O115" s="140"/>
      <c r="P115" s="141">
        <f>J115-N115</f>
        <v>210965502.52000004</v>
      </c>
    </row>
    <row r="116" spans="1:16" ht="15.75" x14ac:dyDescent="0.25">
      <c r="A116" s="134"/>
      <c r="B116" s="132" t="s">
        <v>141</v>
      </c>
      <c r="C116" s="134"/>
      <c r="D116" s="134"/>
      <c r="E116" s="134"/>
      <c r="F116" s="134"/>
      <c r="G116" s="134"/>
      <c r="H116" s="141"/>
      <c r="I116" s="141"/>
      <c r="J116" s="141"/>
      <c r="K116" s="140"/>
      <c r="L116" s="140"/>
      <c r="M116" s="140"/>
      <c r="N116" s="141"/>
      <c r="O116" s="140"/>
      <c r="P116" s="141"/>
    </row>
    <row r="117" spans="1:16" ht="15.6" hidden="1" x14ac:dyDescent="0.3">
      <c r="A117" s="134"/>
      <c r="B117" s="132"/>
      <c r="C117" s="134" t="s">
        <v>133</v>
      </c>
      <c r="D117" s="134"/>
      <c r="E117" s="134"/>
      <c r="F117" s="134"/>
      <c r="G117" s="134"/>
      <c r="H117" s="141"/>
      <c r="I117" s="141"/>
      <c r="J117" s="141"/>
      <c r="K117" s="140"/>
      <c r="L117" s="169"/>
      <c r="M117" s="140"/>
      <c r="N117" s="141"/>
      <c r="O117" s="140"/>
      <c r="P117" s="141">
        <f>J117-N117</f>
        <v>0</v>
      </c>
    </row>
    <row r="118" spans="1:16" ht="15.75" x14ac:dyDescent="0.25">
      <c r="A118" s="134"/>
      <c r="B118" s="132"/>
      <c r="C118" s="134" t="s">
        <v>134</v>
      </c>
      <c r="D118" s="134"/>
      <c r="E118" s="134"/>
      <c r="F118" s="134"/>
      <c r="G118" s="134"/>
      <c r="H118" s="146">
        <v>236281088.92000002</v>
      </c>
      <c r="I118" s="146"/>
      <c r="J118" s="146">
        <v>142389075.84999999</v>
      </c>
      <c r="K118" s="143"/>
      <c r="L118" s="152">
        <f t="shared" ref="L118" si="11">H118-J118</f>
        <v>93892013.070000023</v>
      </c>
      <c r="M118" s="143"/>
      <c r="N118" s="146">
        <v>92996135.760000005</v>
      </c>
      <c r="O118" s="143"/>
      <c r="P118" s="146">
        <f>J118-N118</f>
        <v>49392940.089999989</v>
      </c>
    </row>
    <row r="119" spans="1:16" s="171" customFormat="1" ht="15.75" x14ac:dyDescent="0.25">
      <c r="A119" s="132"/>
      <c r="B119" s="132"/>
      <c r="C119" s="132" t="s">
        <v>158</v>
      </c>
      <c r="D119" s="132"/>
      <c r="E119" s="132"/>
      <c r="F119" s="132"/>
      <c r="G119" s="170"/>
      <c r="H119" s="167">
        <f>SUM(H102:H118)</f>
        <v>749277959.17000008</v>
      </c>
      <c r="I119" s="167"/>
      <c r="J119" s="167">
        <f>SUM(J102:J118)</f>
        <v>641982025.75</v>
      </c>
      <c r="K119" s="167"/>
      <c r="L119" s="167">
        <f>SUM(L102:L118)</f>
        <v>107295933.41999996</v>
      </c>
      <c r="M119" s="167"/>
      <c r="N119" s="167">
        <f>SUM(N102:N118)</f>
        <v>357945524.10000002</v>
      </c>
      <c r="O119" s="167"/>
      <c r="P119" s="167">
        <f>SUM(P102:P118)</f>
        <v>284036501.65000004</v>
      </c>
    </row>
    <row r="120" spans="1:16" ht="15.75" x14ac:dyDescent="0.25">
      <c r="A120" s="132" t="s">
        <v>159</v>
      </c>
      <c r="B120" s="132"/>
      <c r="C120" s="134"/>
      <c r="D120" s="134"/>
      <c r="E120" s="134"/>
      <c r="F120" s="135" t="s">
        <v>86</v>
      </c>
      <c r="G120" s="134"/>
      <c r="H120" s="148">
        <f>H99+H119</f>
        <v>2238067985.9800005</v>
      </c>
      <c r="I120" s="143"/>
      <c r="J120" s="148">
        <f>J99+J119</f>
        <v>2498155689.5199995</v>
      </c>
      <c r="K120" s="143"/>
      <c r="L120" s="148">
        <f>L99+L119</f>
        <v>-260087703.53999996</v>
      </c>
      <c r="M120" s="143"/>
      <c r="N120" s="148">
        <f>N99+N119</f>
        <v>1638003887.0300002</v>
      </c>
      <c r="O120" s="143"/>
      <c r="P120" s="148">
        <f>P99+P119</f>
        <v>860151802.49000001</v>
      </c>
    </row>
    <row r="121" spans="1:16" ht="16.5" thickBot="1" x14ac:dyDescent="0.3">
      <c r="A121" s="172" t="s">
        <v>160</v>
      </c>
      <c r="B121" s="173"/>
      <c r="C121" s="173"/>
      <c r="D121" s="173"/>
      <c r="E121" s="173"/>
      <c r="F121" s="135"/>
      <c r="G121" s="173"/>
      <c r="H121" s="174">
        <f>H44-H120</f>
        <v>46342765.529999733</v>
      </c>
      <c r="I121" s="174"/>
      <c r="J121" s="174">
        <f>J44-J120</f>
        <v>71511111.250000954</v>
      </c>
      <c r="K121" s="174">
        <f>+K42-K120</f>
        <v>0</v>
      </c>
      <c r="L121" s="174">
        <f>L44-L120</f>
        <v>-25168345.720000148</v>
      </c>
      <c r="M121" s="174">
        <f>+M42-M120</f>
        <v>0</v>
      </c>
      <c r="N121" s="174">
        <f>N44-N120</f>
        <v>930569028.36999989</v>
      </c>
      <c r="O121" s="174">
        <f>+O42-O120</f>
        <v>0</v>
      </c>
      <c r="P121" s="174">
        <f>P44-P120</f>
        <v>-859057917.12</v>
      </c>
    </row>
    <row r="122" spans="1:16" ht="15.75" thickTop="1" x14ac:dyDescent="0.25"/>
    <row r="123" spans="1:16" ht="15.75" x14ac:dyDescent="0.25">
      <c r="A123" s="194" t="s">
        <v>34</v>
      </c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</row>
    <row r="124" spans="1:16" x14ac:dyDescent="0.25">
      <c r="N124" s="175"/>
    </row>
    <row r="125" spans="1:16" x14ac:dyDescent="0.25">
      <c r="J125" s="176"/>
    </row>
    <row r="126" spans="1:16" x14ac:dyDescent="0.25">
      <c r="J126" s="176"/>
      <c r="N126" s="177"/>
      <c r="P126" s="178"/>
    </row>
    <row r="127" spans="1:16" x14ac:dyDescent="0.25">
      <c r="L127" s="177"/>
    </row>
    <row r="128" spans="1:16" x14ac:dyDescent="0.25">
      <c r="L128" s="177"/>
    </row>
    <row r="129" spans="12:12" x14ac:dyDescent="0.25">
      <c r="L129" s="177"/>
    </row>
  </sheetData>
  <sheetProtection algorithmName="SHA-512" hashValue="t3A7N78eTwkuVKBWO0DL5iUGhWs6KfksVzW7IqIqCQCpW8ZaOq8xGEH8/xm9pQiMo8XLwlJUvKuWacEKsM470A==" saltValue="10V0a0D5azv4zEBUgSJPsA==" spinCount="100000" sheet="1" objects="1" scenarios="1" selectLockedCells="1" selectUnlockedCells="1"/>
  <mergeCells count="13">
    <mergeCell ref="K8:L8"/>
    <mergeCell ref="K9:L9"/>
    <mergeCell ref="A123:P123"/>
    <mergeCell ref="A1:P1"/>
    <mergeCell ref="A2:P2"/>
    <mergeCell ref="A3:P3"/>
    <mergeCell ref="A4:P4"/>
    <mergeCell ref="A5:P5"/>
    <mergeCell ref="A7:E9"/>
    <mergeCell ref="F7:F9"/>
    <mergeCell ref="G7:J7"/>
    <mergeCell ref="K7:L7"/>
    <mergeCell ref="G8:J8"/>
  </mergeCells>
  <conditionalFormatting sqref="C111:C112">
    <cfRule type="duplicateValues" dxfId="2" priority="2" stopIfTrue="1"/>
  </conditionalFormatting>
  <conditionalFormatting sqref="C111:C113">
    <cfRule type="duplicateValues" dxfId="1" priority="3" stopIfTrue="1"/>
  </conditionalFormatting>
  <conditionalFormatting sqref="C113">
    <cfRule type="duplicateValues" dxfId="0" priority="1" stopIfTrue="1"/>
  </conditionalFormatting>
  <pageMargins left="0.98425196850393704" right="0.98425196850393704" top="1.49606299212598" bottom="0.98425196850393704" header="0.511811023622047" footer="0.511811023622047"/>
  <pageSetup scale="69" firstPageNumber="10" fitToHeight="0" orientation="landscape" useFirstPageNumber="1" r:id="rId1"/>
  <headerFooter>
    <oddFooter>&amp;C&amp;"Times New Roman,Regular"&amp;10&amp;P</oddFooter>
    <evenFooter>&amp;C&amp;"Times New Roman,Regular"&amp;12 10</evenFooter>
  </headerFooter>
  <rowBreaks count="1" manualBreakCount="1">
    <brk id="9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SFPOS</vt:lpstr>
      <vt:lpstr>SFPER</vt:lpstr>
      <vt:lpstr>SCNAE</vt:lpstr>
      <vt:lpstr>SCF</vt:lpstr>
      <vt:lpstr>SCBAA</vt:lpstr>
      <vt:lpstr>SCBAA!Print_Area</vt:lpstr>
      <vt:lpstr>SCF!Print_Area</vt:lpstr>
      <vt:lpstr>SCNAE!Print_Area</vt:lpstr>
      <vt:lpstr>SFPER!Print_Area</vt:lpstr>
      <vt:lpstr>SFPOS!Print_Area</vt:lpstr>
      <vt:lpstr>SCBAA!Print_Titles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FS</dc:title>
  <dc:creator>COA - City of Panabo, Davao del Norte</dc:creator>
  <cp:lastModifiedBy>Jayson L. Gabat</cp:lastModifiedBy>
  <cp:lastPrinted>2024-12-25T15:59:33Z</cp:lastPrinted>
  <dcterms:created xsi:type="dcterms:W3CDTF">2015-06-05T18:17:20Z</dcterms:created>
  <dcterms:modified xsi:type="dcterms:W3CDTF">2024-12-25T15:59:35Z</dcterms:modified>
</cp:coreProperties>
</file>