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updateLinks="never"/>
  <mc:AlternateContent xmlns:mc="http://schemas.openxmlformats.org/markup-compatibility/2006">
    <mc:Choice Requires="x15">
      <x15ac:absPath xmlns:x15ac="http://schemas.microsoft.com/office/spreadsheetml/2010/11/ac" url="Y:\Files WADAS\AARS\Riziel\AAR\2021\Region11\28 eAAR_CY2021_PanaboCity_DavNor\final\"/>
    </mc:Choice>
  </mc:AlternateContent>
  <xr:revisionPtr revIDLastSave="0" documentId="13_ncr:1_{FD8438EF-61D3-4FB4-A897-5B7E67BA9704}" xr6:coauthVersionLast="47" xr6:coauthVersionMax="47" xr10:uidLastSave="{00000000-0000-0000-0000-000000000000}"/>
  <bookViews>
    <workbookView xWindow="-120" yWindow="-120" windowWidth="29040" windowHeight="15840" tabRatio="525" xr2:uid="{00000000-000D-0000-FFFF-FFFF00000000}"/>
  </bookViews>
  <sheets>
    <sheet name="A" sheetId="28" r:id="rId1"/>
    <sheet name="B" sheetId="39" r:id="rId2"/>
    <sheet name="C" sheetId="30" r:id="rId3"/>
    <sheet name="D" sheetId="31" r:id="rId4"/>
    <sheet name="E" sheetId="45" r:id="rId5"/>
    <sheet name="F" sheetId="44" r:id="rId6"/>
    <sheet name="G" sheetId="46" r:id="rId7"/>
    <sheet name="H" sheetId="53" r:id="rId8"/>
    <sheet name="I" sheetId="47" r:id="rId9"/>
    <sheet name="J" sheetId="48" r:id="rId10"/>
    <sheet name="K" sheetId="50" r:id="rId11"/>
    <sheet name="L" sheetId="51" r:id="rId12"/>
    <sheet name="M" sheetId="52" r:id="rId13"/>
  </sheets>
  <externalReferences>
    <externalReference r:id="rId14"/>
    <externalReference r:id="rId15"/>
    <externalReference r:id="rId16"/>
    <externalReference r:id="rId17"/>
    <externalReference r:id="rId18"/>
  </externalReferences>
  <definedNames>
    <definedName name="_xlnm.Print_Area" localSheetId="0">A!$A$1:$S$549</definedName>
    <definedName name="_xlnm.Print_Area" localSheetId="1">B!$A$1:$S$337</definedName>
    <definedName name="_xlnm.Print_Area" localSheetId="2">'C'!$A$1:$R$35</definedName>
    <definedName name="_xlnm.Print_Area" localSheetId="3">D!$A$1:$S$53</definedName>
    <definedName name="_xlnm.Print_Area" localSheetId="4">E!$A$1:$AJ$155</definedName>
    <definedName name="_xlnm.Print_Area" localSheetId="5">F!$A$1:$D$29</definedName>
    <definedName name="_xlnm.Print_Area" localSheetId="6">G!$A$1:$C$89</definedName>
    <definedName name="_xlnm.Print_Area" localSheetId="7">H!$A$1:$M$106</definedName>
    <definedName name="_xlnm.Print_Area" localSheetId="8">I!$A$1:$K$84</definedName>
    <definedName name="_xlnm.Print_Area" localSheetId="9">J!$A$1:$K$84</definedName>
    <definedName name="_xlnm.Print_Area" localSheetId="10">K!$A$1:$D$127</definedName>
    <definedName name="_xlnm.Print_Area" localSheetId="11">L!$A$1:$D$45</definedName>
    <definedName name="_xlnm.Print_Area" localSheetId="12">M!$A$1:$J$46</definedName>
    <definedName name="_xlnm.Print_Titles" localSheetId="0">A!$7:$8</definedName>
    <definedName name="_xlnm.Print_Titles" localSheetId="1">B!$7:$8</definedName>
    <definedName name="_xlnm.Print_Titles" localSheetId="3">D!$7:$8</definedName>
    <definedName name="_xlnm.Print_Titles" localSheetId="4">E!$7:$10</definedName>
    <definedName name="_xlnm.Print_Titles" localSheetId="6">G!$6:$6</definedName>
    <definedName name="_xlnm.Print_Titles" localSheetId="7">H!$3:$6</definedName>
    <definedName name="_xlnm.Print_Titles" localSheetId="8">I!$7:$7</definedName>
    <definedName name="_xlnm.Print_Titles" localSheetId="9">J!$7:$7</definedName>
    <definedName name="_xlnm.Print_Titles" localSheetId="10">K!$7:$7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83" i="48" l="1"/>
  <c r="R100" i="45" l="1"/>
  <c r="P128" i="45"/>
  <c r="P131" i="45"/>
  <c r="P84" i="45"/>
  <c r="O153" i="45" l="1"/>
  <c r="K153" i="45"/>
  <c r="N152" i="45"/>
  <c r="J152" i="45"/>
  <c r="H152" i="45"/>
  <c r="P151" i="45"/>
  <c r="P152" i="45" s="1"/>
  <c r="L151" i="45"/>
  <c r="L152" i="45" s="1"/>
  <c r="N148" i="45"/>
  <c r="J148" i="45"/>
  <c r="H148" i="45"/>
  <c r="P145" i="45"/>
  <c r="P144" i="45"/>
  <c r="L144" i="45"/>
  <c r="P141" i="45"/>
  <c r="L141" i="45"/>
  <c r="P140" i="45"/>
  <c r="L140" i="45"/>
  <c r="P139" i="45"/>
  <c r="L139" i="45"/>
  <c r="P134" i="45"/>
  <c r="L134" i="45"/>
  <c r="O133" i="45"/>
  <c r="N133" i="45"/>
  <c r="N135" i="45" s="1"/>
  <c r="K133" i="45"/>
  <c r="J133" i="45"/>
  <c r="J135" i="45" s="1"/>
  <c r="H133" i="45"/>
  <c r="H135" i="45" s="1"/>
  <c r="P132" i="45"/>
  <c r="L132" i="45"/>
  <c r="P127" i="45"/>
  <c r="L127" i="45"/>
  <c r="N121" i="45"/>
  <c r="H121" i="45"/>
  <c r="P120" i="45"/>
  <c r="L120" i="45"/>
  <c r="P119" i="45"/>
  <c r="L119" i="45"/>
  <c r="P117" i="45"/>
  <c r="L117" i="45"/>
  <c r="P116" i="45"/>
  <c r="L116" i="45"/>
  <c r="P114" i="45"/>
  <c r="L114" i="45"/>
  <c r="P108" i="45"/>
  <c r="L108" i="45"/>
  <c r="P106" i="45"/>
  <c r="L106" i="45"/>
  <c r="P104" i="45"/>
  <c r="L104" i="45"/>
  <c r="J121" i="45"/>
  <c r="N100" i="45"/>
  <c r="P98" i="45"/>
  <c r="L98" i="45"/>
  <c r="P97" i="45"/>
  <c r="L97" i="45"/>
  <c r="P96" i="45"/>
  <c r="L96" i="45"/>
  <c r="P95" i="45"/>
  <c r="L95" i="45"/>
  <c r="P94" i="45"/>
  <c r="L94" i="45"/>
  <c r="P93" i="45"/>
  <c r="L93" i="45"/>
  <c r="P91" i="45"/>
  <c r="P90" i="45"/>
  <c r="J100" i="45"/>
  <c r="H100" i="45"/>
  <c r="P88" i="45"/>
  <c r="P87" i="45"/>
  <c r="P85" i="45"/>
  <c r="L85" i="45"/>
  <c r="P82" i="45"/>
  <c r="L82" i="45"/>
  <c r="P81" i="45"/>
  <c r="L81" i="45"/>
  <c r="P79" i="45"/>
  <c r="P78" i="45"/>
  <c r="L78" i="45"/>
  <c r="P75" i="45"/>
  <c r="L75" i="45"/>
  <c r="P74" i="45"/>
  <c r="L74" i="45"/>
  <c r="P73" i="45"/>
  <c r="L73" i="45"/>
  <c r="P71" i="45"/>
  <c r="L71" i="45"/>
  <c r="P70" i="45"/>
  <c r="L70" i="45"/>
  <c r="P69" i="45"/>
  <c r="L69" i="45"/>
  <c r="P59" i="45"/>
  <c r="L59" i="45"/>
  <c r="P58" i="45"/>
  <c r="L58" i="45"/>
  <c r="P57" i="45"/>
  <c r="L57" i="45"/>
  <c r="P55" i="45"/>
  <c r="L55" i="45"/>
  <c r="P54" i="45"/>
  <c r="L54" i="45"/>
  <c r="P53" i="45"/>
  <c r="L53" i="45"/>
  <c r="P51" i="45"/>
  <c r="L51" i="45"/>
  <c r="P50" i="45"/>
  <c r="L50" i="45"/>
  <c r="P49" i="45"/>
  <c r="L49" i="45"/>
  <c r="P44" i="45"/>
  <c r="L44" i="45"/>
  <c r="O43" i="45"/>
  <c r="P42" i="45"/>
  <c r="P37" i="45"/>
  <c r="P36" i="45"/>
  <c r="L36" i="45"/>
  <c r="P35" i="45"/>
  <c r="L35" i="45"/>
  <c r="P32" i="45"/>
  <c r="P30" i="45"/>
  <c r="P28" i="45"/>
  <c r="L28" i="45"/>
  <c r="P26" i="45"/>
  <c r="L26" i="45"/>
  <c r="N24" i="45"/>
  <c r="J24" i="45"/>
  <c r="H24" i="45"/>
  <c r="P23" i="45"/>
  <c r="L23" i="45"/>
  <c r="P22" i="45"/>
  <c r="L22" i="45"/>
  <c r="P21" i="45"/>
  <c r="L21" i="45"/>
  <c r="N19" i="45"/>
  <c r="J19" i="45"/>
  <c r="H19" i="45"/>
  <c r="P18" i="45"/>
  <c r="L18" i="45"/>
  <c r="P17" i="45"/>
  <c r="L17" i="45"/>
  <c r="P16" i="45"/>
  <c r="L16" i="45"/>
  <c r="V104" i="45"/>
  <c r="Z104" i="45"/>
  <c r="V106" i="45"/>
  <c r="Z106" i="45"/>
  <c r="V108" i="45"/>
  <c r="Z108" i="45"/>
  <c r="V114" i="45"/>
  <c r="Z114" i="45"/>
  <c r="V116" i="45"/>
  <c r="Z116" i="45"/>
  <c r="V117" i="45"/>
  <c r="Z117" i="45"/>
  <c r="V119" i="45"/>
  <c r="Z119" i="45"/>
  <c r="V120" i="45"/>
  <c r="Z120" i="45"/>
  <c r="I31" i="31"/>
  <c r="I32" i="31" s="1"/>
  <c r="H42" i="31"/>
  <c r="H37" i="31"/>
  <c r="F21" i="31"/>
  <c r="F18" i="31"/>
  <c r="I16" i="31"/>
  <c r="F14" i="31"/>
  <c r="F15" i="31"/>
  <c r="I37" i="31"/>
  <c r="G37" i="31"/>
  <c r="N42" i="31"/>
  <c r="M42" i="31"/>
  <c r="L42" i="31"/>
  <c r="I42" i="31"/>
  <c r="G42" i="31"/>
  <c r="N37" i="31"/>
  <c r="M37" i="31"/>
  <c r="L37" i="31"/>
  <c r="M32" i="31"/>
  <c r="L32" i="31"/>
  <c r="N31" i="31"/>
  <c r="N32" i="31" s="1"/>
  <c r="M31" i="31"/>
  <c r="L31" i="31"/>
  <c r="H31" i="31"/>
  <c r="H32" i="31" s="1"/>
  <c r="G31" i="31"/>
  <c r="G32" i="31" s="1"/>
  <c r="N23" i="31"/>
  <c r="M23" i="31"/>
  <c r="L23" i="31"/>
  <c r="G23" i="31"/>
  <c r="N16" i="31"/>
  <c r="N24" i="31" s="1"/>
  <c r="M16" i="31"/>
  <c r="M24" i="31" s="1"/>
  <c r="L16" i="31"/>
  <c r="L24" i="31" s="1"/>
  <c r="F46" i="31"/>
  <c r="F41" i="31"/>
  <c r="F40" i="31"/>
  <c r="F36" i="31"/>
  <c r="F35" i="31"/>
  <c r="F28" i="31"/>
  <c r="F27" i="31"/>
  <c r="F13" i="31"/>
  <c r="F12" i="31"/>
  <c r="F34" i="39"/>
  <c r="F27" i="39"/>
  <c r="F17" i="39"/>
  <c r="F14" i="39"/>
  <c r="G87" i="39"/>
  <c r="G98" i="39" s="1"/>
  <c r="G272" i="39"/>
  <c r="G231" i="39"/>
  <c r="G288" i="39"/>
  <c r="F174" i="39"/>
  <c r="F167" i="39"/>
  <c r="F163" i="39"/>
  <c r="F153" i="39"/>
  <c r="F253" i="39"/>
  <c r="F227" i="39"/>
  <c r="F222" i="39"/>
  <c r="F218" i="39"/>
  <c r="F205" i="39"/>
  <c r="F199" i="39"/>
  <c r="F183" i="39"/>
  <c r="F179" i="39"/>
  <c r="F175" i="39"/>
  <c r="F168" i="39"/>
  <c r="F160" i="39"/>
  <c r="F156" i="39"/>
  <c r="H150" i="39"/>
  <c r="F228" i="39"/>
  <c r="F223" i="39"/>
  <c r="F219" i="39"/>
  <c r="F212" i="39"/>
  <c r="F200" i="39"/>
  <c r="F195" i="39"/>
  <c r="F180" i="39"/>
  <c r="F172" i="39"/>
  <c r="F157" i="39"/>
  <c r="F125" i="39"/>
  <c r="F79" i="39"/>
  <c r="F75" i="39"/>
  <c r="F61" i="39"/>
  <c r="F55" i="39"/>
  <c r="F51" i="39"/>
  <c r="I326" i="39"/>
  <c r="H326" i="39"/>
  <c r="G326" i="39"/>
  <c r="F325" i="39"/>
  <c r="F324" i="39"/>
  <c r="F323" i="39"/>
  <c r="F322" i="39"/>
  <c r="F321" i="39"/>
  <c r="F320" i="39"/>
  <c r="F319" i="39"/>
  <c r="F318" i="39"/>
  <c r="F317" i="39"/>
  <c r="F316" i="39"/>
  <c r="F314" i="39"/>
  <c r="I312" i="39"/>
  <c r="H312" i="39"/>
  <c r="G312" i="39"/>
  <c r="F311" i="39"/>
  <c r="F310" i="39"/>
  <c r="F309" i="39"/>
  <c r="F308" i="39"/>
  <c r="F307" i="39"/>
  <c r="F306" i="39"/>
  <c r="F305" i="39"/>
  <c r="F304" i="39"/>
  <c r="F302" i="39"/>
  <c r="I298" i="39"/>
  <c r="H298" i="39"/>
  <c r="F297" i="39"/>
  <c r="F296" i="39"/>
  <c r="F294" i="39"/>
  <c r="F293" i="39"/>
  <c r="F292" i="39"/>
  <c r="F291" i="39"/>
  <c r="F290" i="39"/>
  <c r="I288" i="39"/>
  <c r="H288" i="39"/>
  <c r="F287" i="39"/>
  <c r="F286" i="39"/>
  <c r="F285" i="39"/>
  <c r="F284" i="39"/>
  <c r="F282" i="39"/>
  <c r="F281" i="39"/>
  <c r="F280" i="39"/>
  <c r="F279" i="39"/>
  <c r="F278" i="39"/>
  <c r="F277" i="39"/>
  <c r="I272" i="39"/>
  <c r="F271" i="39"/>
  <c r="F269" i="39"/>
  <c r="F268" i="39"/>
  <c r="F266" i="39"/>
  <c r="F265" i="39"/>
  <c r="F264" i="39"/>
  <c r="F263" i="39"/>
  <c r="F262" i="39"/>
  <c r="F261" i="39"/>
  <c r="F260" i="39"/>
  <c r="F259" i="39"/>
  <c r="F258" i="39"/>
  <c r="F257" i="39"/>
  <c r="F255" i="39"/>
  <c r="F252" i="39"/>
  <c r="F251" i="39"/>
  <c r="F250" i="39"/>
  <c r="F244" i="39"/>
  <c r="F243" i="39"/>
  <c r="I240" i="39"/>
  <c r="H240" i="39"/>
  <c r="G240" i="39"/>
  <c r="F239" i="39"/>
  <c r="F238" i="39"/>
  <c r="F237" i="39"/>
  <c r="F236" i="39"/>
  <c r="F235" i="39"/>
  <c r="F234" i="39"/>
  <c r="I231" i="39"/>
  <c r="H231" i="39"/>
  <c r="F230" i="39"/>
  <c r="F229" i="39"/>
  <c r="F226" i="39"/>
  <c r="F225" i="39"/>
  <c r="F224" i="39"/>
  <c r="F220" i="39"/>
  <c r="F216" i="39"/>
  <c r="F215" i="39"/>
  <c r="F214" i="39"/>
  <c r="F213" i="39"/>
  <c r="F211" i="39"/>
  <c r="F210" i="39"/>
  <c r="F209" i="39"/>
  <c r="F208" i="39"/>
  <c r="F207" i="39"/>
  <c r="F204" i="39"/>
  <c r="F203" i="39"/>
  <c r="F202" i="39"/>
  <c r="F198" i="39"/>
  <c r="F197" i="39"/>
  <c r="F194" i="39"/>
  <c r="F191" i="39"/>
  <c r="F189" i="39"/>
  <c r="F188" i="39"/>
  <c r="F186" i="39"/>
  <c r="F185" i="39"/>
  <c r="F182" i="39"/>
  <c r="F178" i="39"/>
  <c r="F177" i="39"/>
  <c r="F171" i="39"/>
  <c r="F170" i="39"/>
  <c r="F169" i="39"/>
  <c r="F166" i="39"/>
  <c r="F165" i="39"/>
  <c r="F164" i="39"/>
  <c r="F162" i="39"/>
  <c r="F161" i="39"/>
  <c r="F159" i="39"/>
  <c r="F154" i="39"/>
  <c r="I150" i="39"/>
  <c r="G150" i="39"/>
  <c r="F149" i="39"/>
  <c r="F148" i="39"/>
  <c r="F147" i="39"/>
  <c r="F146" i="39"/>
  <c r="F144" i="39"/>
  <c r="F142" i="39"/>
  <c r="F141" i="39"/>
  <c r="F140" i="39"/>
  <c r="F138" i="39"/>
  <c r="F137" i="39"/>
  <c r="F136" i="39"/>
  <c r="F134" i="39"/>
  <c r="F133" i="39"/>
  <c r="F132" i="39"/>
  <c r="F131" i="39"/>
  <c r="F129" i="39"/>
  <c r="F128" i="39"/>
  <c r="F127" i="39"/>
  <c r="F126" i="39"/>
  <c r="F124" i="39"/>
  <c r="F123" i="39"/>
  <c r="F121" i="39"/>
  <c r="F120" i="39"/>
  <c r="I115" i="39"/>
  <c r="H115" i="39"/>
  <c r="G115" i="39"/>
  <c r="F114" i="39"/>
  <c r="F113" i="39"/>
  <c r="F112" i="39"/>
  <c r="F111" i="39"/>
  <c r="F110" i="39"/>
  <c r="I107" i="39"/>
  <c r="H107" i="39"/>
  <c r="G107" i="39"/>
  <c r="F106" i="39"/>
  <c r="F105" i="39"/>
  <c r="F104" i="39"/>
  <c r="F102" i="39"/>
  <c r="F101" i="39"/>
  <c r="F97" i="39"/>
  <c r="F96" i="39"/>
  <c r="F95" i="39"/>
  <c r="F94" i="39"/>
  <c r="F93" i="39"/>
  <c r="F92" i="39"/>
  <c r="F91" i="39"/>
  <c r="F90" i="39"/>
  <c r="F89" i="39"/>
  <c r="F88" i="39"/>
  <c r="I87" i="39"/>
  <c r="I98" i="39" s="1"/>
  <c r="H87" i="39"/>
  <c r="H98" i="39" s="1"/>
  <c r="F86" i="39"/>
  <c r="F84" i="39"/>
  <c r="F83" i="39"/>
  <c r="F82" i="39"/>
  <c r="F80" i="39"/>
  <c r="F78" i="39"/>
  <c r="F77" i="39"/>
  <c r="F76" i="39"/>
  <c r="F74" i="39"/>
  <c r="F73" i="39"/>
  <c r="F72" i="39"/>
  <c r="F71" i="39"/>
  <c r="F70" i="39"/>
  <c r="F69" i="39"/>
  <c r="F68" i="39"/>
  <c r="F67" i="39"/>
  <c r="F66" i="39"/>
  <c r="F65" i="39"/>
  <c r="F64" i="39"/>
  <c r="F63" i="39"/>
  <c r="F60" i="39"/>
  <c r="F58" i="39"/>
  <c r="F57" i="39"/>
  <c r="F56" i="39"/>
  <c r="F54" i="39"/>
  <c r="F53" i="39"/>
  <c r="F52" i="39"/>
  <c r="F50" i="39"/>
  <c r="F49" i="39"/>
  <c r="I46" i="39"/>
  <c r="H46" i="39"/>
  <c r="F45" i="39"/>
  <c r="F44" i="39"/>
  <c r="G46" i="39"/>
  <c r="F41" i="39"/>
  <c r="F39" i="39"/>
  <c r="H37" i="39"/>
  <c r="G37" i="39"/>
  <c r="F36" i="39"/>
  <c r="F35" i="39"/>
  <c r="F33" i="39"/>
  <c r="F31" i="39"/>
  <c r="F29" i="39"/>
  <c r="F28" i="39"/>
  <c r="F26" i="39"/>
  <c r="F25" i="39"/>
  <c r="F24" i="39"/>
  <c r="F22" i="39"/>
  <c r="F21" i="39"/>
  <c r="F20" i="39"/>
  <c r="F19" i="39"/>
  <c r="F18" i="39"/>
  <c r="F16" i="39"/>
  <c r="F13" i="39"/>
  <c r="L43" i="31" l="1"/>
  <c r="L44" i="31" s="1"/>
  <c r="M43" i="31"/>
  <c r="J122" i="45"/>
  <c r="N43" i="31"/>
  <c r="F312" i="39"/>
  <c r="M44" i="31"/>
  <c r="M47" i="31" s="1"/>
  <c r="H45" i="31" s="1"/>
  <c r="N44" i="31"/>
  <c r="G327" i="39"/>
  <c r="H327" i="39"/>
  <c r="I327" i="39"/>
  <c r="G273" i="39"/>
  <c r="F326" i="39"/>
  <c r="F115" i="39"/>
  <c r="L148" i="45"/>
  <c r="L153" i="45" s="1"/>
  <c r="L133" i="45"/>
  <c r="L135" i="45" s="1"/>
  <c r="L121" i="45"/>
  <c r="L24" i="45"/>
  <c r="L43" i="45" s="1"/>
  <c r="L45" i="45" s="1"/>
  <c r="P19" i="45"/>
  <c r="H299" i="39"/>
  <c r="I299" i="39"/>
  <c r="N153" i="45"/>
  <c r="P148" i="45"/>
  <c r="P153" i="45" s="1"/>
  <c r="P133" i="45"/>
  <c r="P135" i="45" s="1"/>
  <c r="H153" i="45"/>
  <c r="J153" i="45"/>
  <c r="P121" i="45"/>
  <c r="N122" i="45"/>
  <c r="H122" i="45"/>
  <c r="L100" i="45"/>
  <c r="P100" i="45"/>
  <c r="P24" i="45"/>
  <c r="P43" i="45" s="1"/>
  <c r="P45" i="45" s="1"/>
  <c r="J43" i="45"/>
  <c r="J45" i="45" s="1"/>
  <c r="N43" i="45"/>
  <c r="N45" i="45" s="1"/>
  <c r="H43" i="45"/>
  <c r="H45" i="45" s="1"/>
  <c r="L19" i="45"/>
  <c r="G43" i="31"/>
  <c r="F30" i="31"/>
  <c r="F32" i="31"/>
  <c r="H43" i="31"/>
  <c r="F39" i="31"/>
  <c r="I43" i="31"/>
  <c r="F37" i="31"/>
  <c r="F22" i="31"/>
  <c r="F20" i="31"/>
  <c r="I23" i="31"/>
  <c r="H23" i="31"/>
  <c r="F19" i="31"/>
  <c r="H16" i="31"/>
  <c r="G16" i="31"/>
  <c r="G24" i="31" s="1"/>
  <c r="F11" i="31"/>
  <c r="F42" i="31"/>
  <c r="F31" i="31"/>
  <c r="G116" i="39"/>
  <c r="I37" i="39"/>
  <c r="I116" i="39" s="1"/>
  <c r="G298" i="39"/>
  <c r="G299" i="39" s="1"/>
  <c r="F59" i="39"/>
  <c r="F193" i="39"/>
  <c r="F245" i="39"/>
  <c r="F143" i="39"/>
  <c r="F130" i="39"/>
  <c r="F135" i="39"/>
  <c r="F107" i="39"/>
  <c r="F37" i="39"/>
  <c r="F298" i="39"/>
  <c r="F247" i="39"/>
  <c r="F246" i="39"/>
  <c r="I273" i="39"/>
  <c r="F288" i="39"/>
  <c r="F240" i="39"/>
  <c r="F231" i="39"/>
  <c r="F87" i="39"/>
  <c r="F98" i="39" s="1"/>
  <c r="H116" i="39"/>
  <c r="F327" i="39"/>
  <c r="F43" i="39"/>
  <c r="F46" i="39" s="1"/>
  <c r="E26" i="30"/>
  <c r="E25" i="30"/>
  <c r="E24" i="30"/>
  <c r="E23" i="30"/>
  <c r="E22" i="30"/>
  <c r="E19" i="30"/>
  <c r="E18" i="30"/>
  <c r="E14" i="30"/>
  <c r="E12" i="30"/>
  <c r="H242" i="28"/>
  <c r="H241" i="28"/>
  <c r="H245" i="28" s="1"/>
  <c r="F57" i="28"/>
  <c r="F451" i="28"/>
  <c r="F407" i="28"/>
  <c r="F367" i="28"/>
  <c r="F348" i="28"/>
  <c r="F336" i="28"/>
  <c r="F320" i="28"/>
  <c r="F312" i="28"/>
  <c r="F296" i="28"/>
  <c r="F268" i="28"/>
  <c r="F259" i="28"/>
  <c r="G241" i="28"/>
  <c r="G242" i="28"/>
  <c r="F242" i="28" s="1"/>
  <c r="F16" i="28"/>
  <c r="I491" i="28"/>
  <c r="I484" i="28"/>
  <c r="I428" i="28"/>
  <c r="F260" i="28"/>
  <c r="F277" i="28"/>
  <c r="F281" i="28"/>
  <c r="F316" i="28"/>
  <c r="F324" i="28"/>
  <c r="F340" i="28"/>
  <c r="F349" i="28"/>
  <c r="F362" i="28"/>
  <c r="F400" i="28"/>
  <c r="F151" i="28"/>
  <c r="F531" i="28"/>
  <c r="F498" i="28"/>
  <c r="F487" i="28"/>
  <c r="F489" i="28"/>
  <c r="H428" i="28"/>
  <c r="F272" i="28"/>
  <c r="F294" i="28"/>
  <c r="F305" i="28"/>
  <c r="F326" i="28"/>
  <c r="F331" i="28"/>
  <c r="F337" i="28"/>
  <c r="F343" i="28"/>
  <c r="F365" i="28"/>
  <c r="F370" i="28"/>
  <c r="F382" i="28"/>
  <c r="F398" i="28"/>
  <c r="F402" i="28"/>
  <c r="F131" i="28"/>
  <c r="F113" i="28"/>
  <c r="F118" i="28"/>
  <c r="F77" i="28"/>
  <c r="F78" i="28"/>
  <c r="F79" i="28"/>
  <c r="F82" i="28"/>
  <c r="F86" i="28"/>
  <c r="F87" i="28"/>
  <c r="F90" i="28"/>
  <c r="F96" i="28"/>
  <c r="F100" i="28"/>
  <c r="F102" i="28"/>
  <c r="F104" i="28"/>
  <c r="F106" i="28"/>
  <c r="F61" i="28"/>
  <c r="F62" i="28"/>
  <c r="F63" i="28"/>
  <c r="F65" i="28"/>
  <c r="F66" i="28"/>
  <c r="F67" i="28"/>
  <c r="F69" i="28"/>
  <c r="F70" i="28"/>
  <c r="F71" i="28"/>
  <c r="F74" i="28"/>
  <c r="F496" i="28"/>
  <c r="F481" i="28"/>
  <c r="F471" i="28"/>
  <c r="F434" i="28"/>
  <c r="G428" i="28"/>
  <c r="F301" i="28"/>
  <c r="F303" i="28"/>
  <c r="F325" i="28"/>
  <c r="F341" i="28"/>
  <c r="F346" i="28"/>
  <c r="F350" i="28"/>
  <c r="F369" i="28"/>
  <c r="F409" i="28"/>
  <c r="F413" i="28"/>
  <c r="F417" i="28"/>
  <c r="F419" i="28"/>
  <c r="F289" i="28"/>
  <c r="F291" i="28"/>
  <c r="F146" i="28"/>
  <c r="F148" i="28"/>
  <c r="F134" i="28"/>
  <c r="F138" i="28"/>
  <c r="F139" i="28"/>
  <c r="F130" i="28"/>
  <c r="F115" i="28"/>
  <c r="F92" i="28"/>
  <c r="F85" i="28"/>
  <c r="F22" i="28"/>
  <c r="F546" i="28"/>
  <c r="F541" i="28"/>
  <c r="F539" i="28"/>
  <c r="F538" i="28"/>
  <c r="I536" i="28"/>
  <c r="F535" i="28"/>
  <c r="F534" i="28"/>
  <c r="F533" i="28"/>
  <c r="F532" i="28"/>
  <c r="F530" i="28"/>
  <c r="I527" i="28"/>
  <c r="I528" i="28" s="1"/>
  <c r="H527" i="28"/>
  <c r="H528" i="28" s="1"/>
  <c r="G527" i="28"/>
  <c r="G528" i="28" s="1"/>
  <c r="F526" i="28"/>
  <c r="F525" i="28"/>
  <c r="F524" i="28"/>
  <c r="F523" i="28"/>
  <c r="F522" i="28"/>
  <c r="F519" i="28"/>
  <c r="F518" i="28"/>
  <c r="F517" i="28"/>
  <c r="F516" i="28"/>
  <c r="F515" i="28"/>
  <c r="F514" i="28"/>
  <c r="F513" i="28"/>
  <c r="F512" i="28"/>
  <c r="F511" i="28"/>
  <c r="F510" i="28"/>
  <c r="F509" i="28"/>
  <c r="F504" i="28"/>
  <c r="F501" i="28"/>
  <c r="H491" i="28"/>
  <c r="F490" i="28"/>
  <c r="F486" i="28"/>
  <c r="F478" i="28"/>
  <c r="F473" i="28"/>
  <c r="I468" i="28"/>
  <c r="H468" i="28"/>
  <c r="G468" i="28"/>
  <c r="F467" i="28"/>
  <c r="F466" i="28"/>
  <c r="F465" i="28"/>
  <c r="F464" i="28"/>
  <c r="F463" i="28"/>
  <c r="I461" i="28"/>
  <c r="I469" i="28" s="1"/>
  <c r="H461" i="28"/>
  <c r="G461" i="28"/>
  <c r="F460" i="28"/>
  <c r="F459" i="28"/>
  <c r="F458" i="28"/>
  <c r="F457" i="28"/>
  <c r="F456" i="28"/>
  <c r="F455" i="28"/>
  <c r="F454" i="28"/>
  <c r="F453" i="28"/>
  <c r="F452" i="28"/>
  <c r="I442" i="28"/>
  <c r="F441" i="28"/>
  <c r="F439" i="28"/>
  <c r="F438" i="28"/>
  <c r="F437" i="28"/>
  <c r="F436" i="28"/>
  <c r="F433" i="28"/>
  <c r="F432" i="28"/>
  <c r="F431" i="28"/>
  <c r="F427" i="28"/>
  <c r="F426" i="28"/>
  <c r="F425" i="28"/>
  <c r="F415" i="28"/>
  <c r="F411" i="28"/>
  <c r="F406" i="28"/>
  <c r="F403" i="28"/>
  <c r="F401" i="28"/>
  <c r="F399" i="28"/>
  <c r="F397" i="28"/>
  <c r="F396" i="28"/>
  <c r="F395" i="28"/>
  <c r="F393" i="28"/>
  <c r="F391" i="28"/>
  <c r="F390" i="28"/>
  <c r="F389" i="28"/>
  <c r="F387" i="28"/>
  <c r="F386" i="28"/>
  <c r="F385" i="28"/>
  <c r="F383" i="28"/>
  <c r="F381" i="28"/>
  <c r="F378" i="28"/>
  <c r="F377" i="28"/>
  <c r="F375" i="28"/>
  <c r="F374" i="28"/>
  <c r="F371" i="28"/>
  <c r="F366" i="28"/>
  <c r="F363" i="28"/>
  <c r="F361" i="28"/>
  <c r="F359" i="28"/>
  <c r="F358" i="28"/>
  <c r="F355" i="28"/>
  <c r="F354" i="28"/>
  <c r="F351" i="28"/>
  <c r="F345" i="28"/>
  <c r="F342" i="28"/>
  <c r="F339" i="28"/>
  <c r="F338" i="28"/>
  <c r="F334" i="28"/>
  <c r="F333" i="28"/>
  <c r="F330" i="28"/>
  <c r="F327" i="28"/>
  <c r="F323" i="28"/>
  <c r="F322" i="28"/>
  <c r="F321" i="28"/>
  <c r="F319" i="28"/>
  <c r="F318" i="28"/>
  <c r="F317" i="28"/>
  <c r="F315" i="28"/>
  <c r="F313" i="28"/>
  <c r="F309" i="28"/>
  <c r="F306" i="28"/>
  <c r="F302" i="28"/>
  <c r="F299" i="28"/>
  <c r="F297" i="28"/>
  <c r="F293" i="28"/>
  <c r="F290" i="28"/>
  <c r="F287" i="28"/>
  <c r="F286" i="28"/>
  <c r="F283" i="28"/>
  <c r="F279" i="28"/>
  <c r="F275" i="28"/>
  <c r="F271" i="28"/>
  <c r="F269" i="28"/>
  <c r="F265" i="28"/>
  <c r="F263" i="28"/>
  <c r="F261" i="28"/>
  <c r="F256" i="28"/>
  <c r="F255" i="28"/>
  <c r="F253" i="28"/>
  <c r="F251" i="28"/>
  <c r="F249" i="28"/>
  <c r="F244" i="28"/>
  <c r="F243" i="28"/>
  <c r="F240" i="28"/>
  <c r="F239" i="28"/>
  <c r="I236" i="28"/>
  <c r="H236" i="28"/>
  <c r="G236" i="28"/>
  <c r="F235" i="28"/>
  <c r="F234" i="28"/>
  <c r="F233" i="28"/>
  <c r="F232" i="28"/>
  <c r="F231" i="28"/>
  <c r="F230" i="28"/>
  <c r="F229" i="28"/>
  <c r="F228" i="28"/>
  <c r="F226" i="28"/>
  <c r="F225" i="28"/>
  <c r="F224" i="28"/>
  <c r="F223" i="28"/>
  <c r="F221" i="28"/>
  <c r="F220" i="28"/>
  <c r="F219" i="28"/>
  <c r="F217" i="28"/>
  <c r="F216" i="28"/>
  <c r="F215" i="28"/>
  <c r="F214" i="28"/>
  <c r="F213" i="28"/>
  <c r="F212" i="28"/>
  <c r="F211" i="28"/>
  <c r="F210" i="28"/>
  <c r="F208" i="28"/>
  <c r="F207" i="28"/>
  <c r="F206" i="28"/>
  <c r="F205" i="28"/>
  <c r="F203" i="28"/>
  <c r="F202" i="28"/>
  <c r="F201" i="28"/>
  <c r="F200" i="28"/>
  <c r="F199" i="28"/>
  <c r="F198" i="28"/>
  <c r="F197" i="28"/>
  <c r="F196" i="28"/>
  <c r="F195" i="28"/>
  <c r="F194" i="28"/>
  <c r="F193" i="28"/>
  <c r="F192" i="28"/>
  <c r="F191" i="28"/>
  <c r="F190" i="28"/>
  <c r="F189" i="28"/>
  <c r="F188" i="28"/>
  <c r="F187" i="28"/>
  <c r="F186" i="28"/>
  <c r="I183" i="28"/>
  <c r="H183" i="28"/>
  <c r="G183" i="28"/>
  <c r="F182" i="28"/>
  <c r="F180" i="28"/>
  <c r="F179" i="28"/>
  <c r="F177" i="28"/>
  <c r="F176" i="28"/>
  <c r="F175" i="28"/>
  <c r="F174" i="28"/>
  <c r="F173" i="28"/>
  <c r="F172" i="28"/>
  <c r="F170" i="28"/>
  <c r="F169" i="28"/>
  <c r="F167" i="28"/>
  <c r="F166" i="28"/>
  <c r="F165" i="28"/>
  <c r="F164" i="28"/>
  <c r="F162" i="28"/>
  <c r="F161" i="28"/>
  <c r="F159" i="28"/>
  <c r="F158" i="28"/>
  <c r="F157" i="28"/>
  <c r="F149" i="28"/>
  <c r="F147" i="28"/>
  <c r="F145" i="28"/>
  <c r="F123" i="28"/>
  <c r="F110" i="28"/>
  <c r="F88" i="28"/>
  <c r="F84" i="28"/>
  <c r="F72" i="28"/>
  <c r="F68" i="28"/>
  <c r="F64" i="28"/>
  <c r="F60" i="28"/>
  <c r="I54" i="28"/>
  <c r="F53" i="28"/>
  <c r="F51" i="28"/>
  <c r="F50" i="28"/>
  <c r="F48" i="28"/>
  <c r="F47" i="28"/>
  <c r="F46" i="28"/>
  <c r="F45" i="28"/>
  <c r="F44" i="28"/>
  <c r="F41" i="28"/>
  <c r="F40" i="28"/>
  <c r="F38" i="28"/>
  <c r="F37" i="28"/>
  <c r="F36" i="28"/>
  <c r="F35" i="28"/>
  <c r="F33" i="28"/>
  <c r="F32" i="28"/>
  <c r="F30" i="28"/>
  <c r="F29" i="28"/>
  <c r="F28" i="28"/>
  <c r="I25" i="28"/>
  <c r="I106" i="31" s="1"/>
  <c r="H25" i="28"/>
  <c r="H106" i="31" s="1"/>
  <c r="F24" i="28"/>
  <c r="F23" i="28"/>
  <c r="F20" i="28"/>
  <c r="F19" i="28"/>
  <c r="F17" i="28"/>
  <c r="F14" i="28"/>
  <c r="F23" i="31" l="1"/>
  <c r="F43" i="31"/>
  <c r="F150" i="39"/>
  <c r="H24" i="31"/>
  <c r="F236" i="28"/>
  <c r="I24" i="31"/>
  <c r="I44" i="31" s="1"/>
  <c r="L122" i="45"/>
  <c r="P122" i="45"/>
  <c r="H44" i="31"/>
  <c r="H47" i="31" s="1"/>
  <c r="H109" i="31" s="1"/>
  <c r="F16" i="31"/>
  <c r="F24" i="31"/>
  <c r="G44" i="31"/>
  <c r="F299" i="39"/>
  <c r="G274" i="39"/>
  <c r="G328" i="39" s="1"/>
  <c r="F20" i="30" s="1"/>
  <c r="F248" i="39"/>
  <c r="F249" i="39"/>
  <c r="I274" i="39"/>
  <c r="I328" i="39" s="1"/>
  <c r="F116" i="39"/>
  <c r="E15" i="30"/>
  <c r="F450" i="28"/>
  <c r="F461" i="28"/>
  <c r="H107" i="28"/>
  <c r="F101" i="28"/>
  <c r="F183" i="28"/>
  <c r="F468" i="28"/>
  <c r="F520" i="28"/>
  <c r="F373" i="28"/>
  <c r="F135" i="28"/>
  <c r="F241" i="28"/>
  <c r="F472" i="28"/>
  <c r="F435" i="28"/>
  <c r="F483" i="28"/>
  <c r="F95" i="28"/>
  <c r="F114" i="28"/>
  <c r="F405" i="28"/>
  <c r="I499" i="28"/>
  <c r="F482" i="28"/>
  <c r="F81" i="28"/>
  <c r="F97" i="28"/>
  <c r="F105" i="28"/>
  <c r="F494" i="28"/>
  <c r="F13" i="28"/>
  <c r="F25" i="28" s="1"/>
  <c r="F476" i="28"/>
  <c r="F94" i="28"/>
  <c r="F117" i="28"/>
  <c r="G491" i="28"/>
  <c r="F424" i="28"/>
  <c r="F428" i="28" s="1"/>
  <c r="G54" i="28"/>
  <c r="F129" i="28"/>
  <c r="F329" i="28"/>
  <c r="F307" i="28"/>
  <c r="F99" i="28"/>
  <c r="I245" i="28"/>
  <c r="G25" i="28"/>
  <c r="G106" i="31" s="1"/>
  <c r="G107" i="28"/>
  <c r="F127" i="28"/>
  <c r="F495" i="28"/>
  <c r="H536" i="28"/>
  <c r="H542" i="28" s="1"/>
  <c r="G152" i="28"/>
  <c r="G499" i="28"/>
  <c r="H54" i="28"/>
  <c r="H141" i="28"/>
  <c r="F347" i="28"/>
  <c r="H442" i="28"/>
  <c r="H479" i="28"/>
  <c r="F474" i="28"/>
  <c r="H484" i="28"/>
  <c r="F488" i="28"/>
  <c r="F491" i="28" s="1"/>
  <c r="H499" i="28"/>
  <c r="F76" i="28"/>
  <c r="I152" i="28"/>
  <c r="F418" i="28"/>
  <c r="F357" i="28"/>
  <c r="F298" i="28"/>
  <c r="F477" i="28"/>
  <c r="F497" i="28"/>
  <c r="F502" i="28"/>
  <c r="G484" i="28"/>
  <c r="G536" i="28"/>
  <c r="G542" i="28" s="1"/>
  <c r="F273" i="28"/>
  <c r="F43" i="28"/>
  <c r="F54" i="28" s="1"/>
  <c r="F112" i="28"/>
  <c r="G442" i="28"/>
  <c r="G479" i="28"/>
  <c r="F493" i="28"/>
  <c r="F335" i="28"/>
  <c r="F73" i="28"/>
  <c r="F116" i="28"/>
  <c r="F140" i="28"/>
  <c r="F248" i="28"/>
  <c r="F353" i="28"/>
  <c r="F311" i="28"/>
  <c r="I479" i="28"/>
  <c r="I107" i="28"/>
  <c r="F103" i="28"/>
  <c r="F91" i="28"/>
  <c r="F83" i="28"/>
  <c r="F285" i="28"/>
  <c r="F267" i="28"/>
  <c r="F133" i="28"/>
  <c r="F314" i="28"/>
  <c r="F254" i="28"/>
  <c r="I421" i="28"/>
  <c r="I443" i="28" s="1"/>
  <c r="F344" i="28"/>
  <c r="F328" i="28"/>
  <c r="H421" i="28"/>
  <c r="F352" i="28"/>
  <c r="F332" i="28"/>
  <c r="F264" i="28"/>
  <c r="G421" i="28"/>
  <c r="F280" i="28"/>
  <c r="F276" i="28"/>
  <c r="F295" i="28"/>
  <c r="F292" i="28"/>
  <c r="F284" i="28"/>
  <c r="F252" i="28"/>
  <c r="H152" i="28"/>
  <c r="F125" i="28"/>
  <c r="F121" i="28"/>
  <c r="F137" i="28"/>
  <c r="F119" i="28"/>
  <c r="G141" i="28"/>
  <c r="F527" i="28"/>
  <c r="F475" i="28"/>
  <c r="F420" i="28"/>
  <c r="F416" i="28"/>
  <c r="F412" i="28"/>
  <c r="F408" i="28"/>
  <c r="F392" i="28"/>
  <c r="F388" i="28"/>
  <c r="F384" i="28"/>
  <c r="F380" i="28"/>
  <c r="F376" i="28"/>
  <c r="F368" i="28"/>
  <c r="F364" i="28"/>
  <c r="F360" i="28"/>
  <c r="F308" i="28"/>
  <c r="F304" i="28"/>
  <c r="F300" i="28"/>
  <c r="F136" i="28"/>
  <c r="F128" i="28"/>
  <c r="F124" i="28"/>
  <c r="F282" i="28"/>
  <c r="F278" i="28"/>
  <c r="F274" i="28"/>
  <c r="F270" i="28"/>
  <c r="F266" i="28"/>
  <c r="F262" i="28"/>
  <c r="F258" i="28"/>
  <c r="F132" i="28"/>
  <c r="F120" i="28"/>
  <c r="G245" i="28"/>
  <c r="F144" i="28"/>
  <c r="F536" i="28"/>
  <c r="I542" i="28"/>
  <c r="G469" i="28"/>
  <c r="H469" i="28"/>
  <c r="F442" i="28"/>
  <c r="F245" i="28"/>
  <c r="I141" i="28"/>
  <c r="F59" i="28"/>
  <c r="A8" i="51"/>
  <c r="A9" i="51" s="1"/>
  <c r="A10" i="51" s="1"/>
  <c r="A11" i="51" s="1"/>
  <c r="A12" i="51" s="1"/>
  <c r="A13" i="51" s="1"/>
  <c r="A14" i="51" s="1"/>
  <c r="A15" i="51" s="1"/>
  <c r="A16" i="51" s="1"/>
  <c r="A17" i="51" s="1"/>
  <c r="A18" i="51" s="1"/>
  <c r="A19" i="51" s="1"/>
  <c r="A20" i="51" s="1"/>
  <c r="A21" i="51" s="1"/>
  <c r="A22" i="51" s="1"/>
  <c r="A23" i="51" s="1"/>
  <c r="A24" i="51" s="1"/>
  <c r="A25" i="51" s="1"/>
  <c r="A26" i="51" s="1"/>
  <c r="A27" i="51" s="1"/>
  <c r="A28" i="51" s="1"/>
  <c r="A29" i="51" s="1"/>
  <c r="A30" i="51" s="1"/>
  <c r="A31" i="51" s="1"/>
  <c r="A32" i="51" s="1"/>
  <c r="A33" i="51" s="1"/>
  <c r="A34" i="51" s="1"/>
  <c r="A35" i="51" s="1"/>
  <c r="A36" i="51" s="1"/>
  <c r="A37" i="51" s="1"/>
  <c r="A38" i="51" s="1"/>
  <c r="A39" i="51" s="1"/>
  <c r="A40" i="51" s="1"/>
  <c r="A41" i="51" s="1"/>
  <c r="A42" i="51" s="1"/>
  <c r="A43" i="51" s="1"/>
  <c r="A44" i="51" s="1"/>
  <c r="I505" i="28" l="1"/>
  <c r="I543" i="28" s="1"/>
  <c r="F528" i="28"/>
  <c r="F484" i="28"/>
  <c r="F21" i="30"/>
  <c r="I345" i="39"/>
  <c r="H20" i="30"/>
  <c r="H21" i="30" s="1"/>
  <c r="F44" i="31"/>
  <c r="G345" i="39"/>
  <c r="F272" i="39"/>
  <c r="F273" i="39" s="1"/>
  <c r="F274" i="39" s="1"/>
  <c r="F328" i="39" s="1"/>
  <c r="H272" i="39"/>
  <c r="H273" i="39" s="1"/>
  <c r="H274" i="39" s="1"/>
  <c r="H328" i="39" s="1"/>
  <c r="H443" i="28"/>
  <c r="F469" i="28"/>
  <c r="F141" i="28"/>
  <c r="F107" i="28"/>
  <c r="G505" i="28"/>
  <c r="G543" i="28" s="1"/>
  <c r="G153" i="28"/>
  <c r="F499" i="28"/>
  <c r="H505" i="28"/>
  <c r="H543" i="28" s="1"/>
  <c r="I153" i="28"/>
  <c r="I444" i="28" s="1"/>
  <c r="F479" i="28"/>
  <c r="H153" i="28"/>
  <c r="F421" i="28"/>
  <c r="F443" i="28" s="1"/>
  <c r="G443" i="28"/>
  <c r="F152" i="28"/>
  <c r="F542" i="28"/>
  <c r="F81" i="48"/>
  <c r="I79" i="48"/>
  <c r="I78" i="48"/>
  <c r="A78" i="48"/>
  <c r="A79" i="48" s="1"/>
  <c r="A80" i="48" s="1"/>
  <c r="J81" i="48"/>
  <c r="I77" i="48"/>
  <c r="F72" i="48"/>
  <c r="I71" i="48"/>
  <c r="J72" i="48" s="1"/>
  <c r="F69" i="48"/>
  <c r="I68" i="48"/>
  <c r="I67" i="48"/>
  <c r="I66" i="48"/>
  <c r="A66" i="48"/>
  <c r="A67" i="48" s="1"/>
  <c r="A68" i="48" s="1"/>
  <c r="I65" i="48"/>
  <c r="F63" i="48"/>
  <c r="I62" i="48"/>
  <c r="J63" i="48" s="1"/>
  <c r="F60" i="48"/>
  <c r="I59" i="48"/>
  <c r="I58" i="48"/>
  <c r="I57" i="48"/>
  <c r="I56" i="48"/>
  <c r="A56" i="48"/>
  <c r="A57" i="48" s="1"/>
  <c r="A58" i="48" s="1"/>
  <c r="A59" i="48" s="1"/>
  <c r="I55" i="48"/>
  <c r="A55" i="48"/>
  <c r="F52" i="48"/>
  <c r="I51" i="48"/>
  <c r="J52" i="48" s="1"/>
  <c r="F46" i="48"/>
  <c r="I45" i="48"/>
  <c r="J46" i="48" s="1"/>
  <c r="F43" i="48"/>
  <c r="J43" i="48"/>
  <c r="F40" i="48"/>
  <c r="I39" i="48"/>
  <c r="J40" i="48"/>
  <c r="F36" i="48"/>
  <c r="I35" i="48"/>
  <c r="J36" i="48" s="1"/>
  <c r="F33" i="48"/>
  <c r="I30" i="48"/>
  <c r="I29" i="48"/>
  <c r="I28" i="48"/>
  <c r="I24" i="48"/>
  <c r="I22" i="48"/>
  <c r="A19" i="48"/>
  <c r="A20" i="48" s="1"/>
  <c r="A21" i="48" s="1"/>
  <c r="A22" i="48" s="1"/>
  <c r="A23" i="48" s="1"/>
  <c r="A24" i="48" s="1"/>
  <c r="A25" i="48" s="1"/>
  <c r="A26" i="48" s="1"/>
  <c r="A27" i="48" s="1"/>
  <c r="A28" i="48" s="1"/>
  <c r="A29" i="48" s="1"/>
  <c r="A30" i="48" s="1"/>
  <c r="A31" i="48" s="1"/>
  <c r="A32" i="48" s="1"/>
  <c r="F16" i="48"/>
  <c r="I14" i="48"/>
  <c r="I13" i="48"/>
  <c r="A12" i="48"/>
  <c r="A13" i="48" s="1"/>
  <c r="A14" i="48" s="1"/>
  <c r="A15" i="48" s="1"/>
  <c r="J16" i="48"/>
  <c r="F9" i="48"/>
  <c r="J9" i="48"/>
  <c r="F81" i="47"/>
  <c r="J80" i="47"/>
  <c r="I79" i="47"/>
  <c r="J79" i="47" s="1"/>
  <c r="I78" i="47"/>
  <c r="J78" i="47" s="1"/>
  <c r="I77" i="47"/>
  <c r="J77" i="47" s="1"/>
  <c r="A78" i="47"/>
  <c r="A79" i="47" s="1"/>
  <c r="A80" i="47" s="1"/>
  <c r="F72" i="47"/>
  <c r="I71" i="47"/>
  <c r="J71" i="47" s="1"/>
  <c r="J72" i="47" s="1"/>
  <c r="F69" i="47"/>
  <c r="I68" i="47"/>
  <c r="J68" i="47" s="1"/>
  <c r="I67" i="47"/>
  <c r="J67" i="47" s="1"/>
  <c r="I66" i="47"/>
  <c r="J66" i="47" s="1"/>
  <c r="A66" i="47"/>
  <c r="A67" i="47" s="1"/>
  <c r="A68" i="47" s="1"/>
  <c r="I65" i="47"/>
  <c r="J65" i="47" s="1"/>
  <c r="F63" i="47"/>
  <c r="I62" i="47"/>
  <c r="J62" i="47" s="1"/>
  <c r="J63" i="47" s="1"/>
  <c r="F60" i="47"/>
  <c r="I59" i="47"/>
  <c r="J59" i="47" s="1"/>
  <c r="I58" i="47"/>
  <c r="J58" i="47" s="1"/>
  <c r="I57" i="47"/>
  <c r="J57" i="47" s="1"/>
  <c r="I56" i="47"/>
  <c r="J56" i="47" s="1"/>
  <c r="I55" i="47"/>
  <c r="J55" i="47" s="1"/>
  <c r="A55" i="47"/>
  <c r="A56" i="47" s="1"/>
  <c r="A57" i="47" s="1"/>
  <c r="A58" i="47" s="1"/>
  <c r="A59" i="47" s="1"/>
  <c r="J54" i="47"/>
  <c r="F52" i="47"/>
  <c r="I51" i="47"/>
  <c r="J51" i="47" s="1"/>
  <c r="J52" i="47" s="1"/>
  <c r="F46" i="47"/>
  <c r="I45" i="47"/>
  <c r="J45" i="47" s="1"/>
  <c r="J46" i="47" s="1"/>
  <c r="F43" i="47"/>
  <c r="J42" i="47"/>
  <c r="J43" i="47" s="1"/>
  <c r="F40" i="47"/>
  <c r="I39" i="47"/>
  <c r="J39" i="47" s="1"/>
  <c r="J38" i="47"/>
  <c r="F36" i="47"/>
  <c r="I35" i="47"/>
  <c r="J35" i="47" s="1"/>
  <c r="J36" i="47" s="1"/>
  <c r="F33" i="47"/>
  <c r="J32" i="47"/>
  <c r="J31" i="47"/>
  <c r="I30" i="47"/>
  <c r="J30" i="47" s="1"/>
  <c r="I29" i="47"/>
  <c r="J29" i="47" s="1"/>
  <c r="I28" i="47"/>
  <c r="J28" i="47" s="1"/>
  <c r="J27" i="47"/>
  <c r="J26" i="47"/>
  <c r="J25" i="47"/>
  <c r="I24" i="47"/>
  <c r="J24" i="47" s="1"/>
  <c r="J23" i="47"/>
  <c r="I22" i="47"/>
  <c r="J22" i="47" s="1"/>
  <c r="J21" i="47"/>
  <c r="J20" i="47"/>
  <c r="J19" i="47"/>
  <c r="A19" i="47"/>
  <c r="A20" i="47" s="1"/>
  <c r="A21" i="47" s="1"/>
  <c r="A22" i="47" s="1"/>
  <c r="A23" i="47" s="1"/>
  <c r="A24" i="47" s="1"/>
  <c r="A25" i="47" s="1"/>
  <c r="A26" i="47" s="1"/>
  <c r="A27" i="47" s="1"/>
  <c r="A28" i="47" s="1"/>
  <c r="A29" i="47" s="1"/>
  <c r="A30" i="47" s="1"/>
  <c r="A31" i="47" s="1"/>
  <c r="A32" i="47" s="1"/>
  <c r="J18" i="47"/>
  <c r="F16" i="47"/>
  <c r="J15" i="47"/>
  <c r="I14" i="47"/>
  <c r="J14" i="47" s="1"/>
  <c r="I13" i="47"/>
  <c r="J13" i="47" s="1"/>
  <c r="J12" i="47"/>
  <c r="A12" i="47"/>
  <c r="A13" i="47" s="1"/>
  <c r="A14" i="47" s="1"/>
  <c r="A15" i="47" s="1"/>
  <c r="J11" i="47"/>
  <c r="F9" i="47"/>
  <c r="J8" i="47"/>
  <c r="J9" i="47" s="1"/>
  <c r="C86" i="46"/>
  <c r="C62" i="46"/>
  <c r="C55" i="46"/>
  <c r="C48" i="46"/>
  <c r="C20" i="46"/>
  <c r="C88" i="46" s="1"/>
  <c r="D28" i="44"/>
  <c r="F74" i="48" l="1"/>
  <c r="F48" i="48"/>
  <c r="F83" i="48" s="1"/>
  <c r="H345" i="39"/>
  <c r="G20" i="30"/>
  <c r="H444" i="28"/>
  <c r="F505" i="28"/>
  <c r="F543" i="28" s="1"/>
  <c r="G444" i="28"/>
  <c r="F153" i="28"/>
  <c r="F444" i="28" s="1"/>
  <c r="J60" i="48"/>
  <c r="J69" i="48"/>
  <c r="J33" i="48"/>
  <c r="J48" i="48" s="1"/>
  <c r="F48" i="47"/>
  <c r="J69" i="47"/>
  <c r="J16" i="47"/>
  <c r="F74" i="47"/>
  <c r="J40" i="47"/>
  <c r="J33" i="47"/>
  <c r="J81" i="47"/>
  <c r="J60" i="47"/>
  <c r="J74" i="47" s="1"/>
  <c r="AH100" i="45"/>
  <c r="F83" i="47" l="1"/>
  <c r="J74" i="48"/>
  <c r="G21" i="30"/>
  <c r="E20" i="30"/>
  <c r="E21" i="30" s="1"/>
  <c r="J48" i="47"/>
  <c r="J83" i="47" s="1"/>
  <c r="AD148" i="45"/>
  <c r="AC100" i="45" l="1"/>
  <c r="AD100" i="45"/>
  <c r="AE100" i="45"/>
  <c r="AG100" i="45"/>
  <c r="AI100" i="45"/>
  <c r="AB100" i="45"/>
  <c r="AI154" i="45" l="1"/>
  <c r="AE154" i="45"/>
  <c r="AC154" i="45"/>
  <c r="Y153" i="45"/>
  <c r="Y154" i="45" s="1"/>
  <c r="U153" i="45"/>
  <c r="U154" i="45" s="1"/>
  <c r="S154" i="45"/>
  <c r="AH152" i="45"/>
  <c r="AD152" i="45"/>
  <c r="AD153" i="45" s="1"/>
  <c r="AB152" i="45"/>
  <c r="X152" i="45"/>
  <c r="T152" i="45"/>
  <c r="R152" i="45"/>
  <c r="AJ151" i="45"/>
  <c r="AJ152" i="45" s="1"/>
  <c r="AF151" i="45"/>
  <c r="AF152" i="45" s="1"/>
  <c r="Z151" i="45"/>
  <c r="Z152" i="45" s="1"/>
  <c r="V151" i="45"/>
  <c r="V152" i="45" s="1"/>
  <c r="AH148" i="45"/>
  <c r="AB148" i="45"/>
  <c r="X148" i="45"/>
  <c r="T148" i="45"/>
  <c r="R148" i="45"/>
  <c r="AJ145" i="45"/>
  <c r="Z145" i="45"/>
  <c r="AJ144" i="45"/>
  <c r="Z144" i="45"/>
  <c r="V144" i="45"/>
  <c r="AJ141" i="45"/>
  <c r="AF141" i="45"/>
  <c r="Z141" i="45"/>
  <c r="V141" i="45"/>
  <c r="AJ140" i="45"/>
  <c r="AF140" i="45"/>
  <c r="Z140" i="45"/>
  <c r="V140" i="45"/>
  <c r="AJ139" i="45"/>
  <c r="AF139" i="45"/>
  <c r="Z139" i="45"/>
  <c r="V139" i="45"/>
  <c r="AJ134" i="45"/>
  <c r="Z134" i="45"/>
  <c r="V134" i="45"/>
  <c r="AH133" i="45"/>
  <c r="AH135" i="45" s="1"/>
  <c r="AD133" i="45"/>
  <c r="AD135" i="45" s="1"/>
  <c r="AB133" i="45"/>
  <c r="AB135" i="45" s="1"/>
  <c r="Y133" i="45"/>
  <c r="X133" i="45"/>
  <c r="X135" i="45" s="1"/>
  <c r="U133" i="45"/>
  <c r="T133" i="45"/>
  <c r="T135" i="45" s="1"/>
  <c r="R133" i="45"/>
  <c r="R135" i="45" s="1"/>
  <c r="AJ132" i="45"/>
  <c r="AF132" i="45"/>
  <c r="Z132" i="45"/>
  <c r="V132" i="45"/>
  <c r="AJ127" i="45"/>
  <c r="AJ133" i="45" s="1"/>
  <c r="AF127" i="45"/>
  <c r="AF133" i="45" s="1"/>
  <c r="AF135" i="45" s="1"/>
  <c r="Z127" i="45"/>
  <c r="V127" i="45"/>
  <c r="V133" i="45" s="1"/>
  <c r="V135" i="45" s="1"/>
  <c r="AH121" i="45"/>
  <c r="AH122" i="45" s="1"/>
  <c r="AD121" i="45"/>
  <c r="AD122" i="45" s="1"/>
  <c r="AB121" i="45"/>
  <c r="AB122" i="45" s="1"/>
  <c r="X121" i="45"/>
  <c r="AJ120" i="45"/>
  <c r="AF120" i="45"/>
  <c r="AJ119" i="45"/>
  <c r="AF119" i="45"/>
  <c r="AJ117" i="45"/>
  <c r="AF117" i="45"/>
  <c r="AJ116" i="45"/>
  <c r="AF116" i="45"/>
  <c r="AJ114" i="45"/>
  <c r="AF114" i="45"/>
  <c r="AJ112" i="45"/>
  <c r="AJ110" i="45"/>
  <c r="AJ108" i="45"/>
  <c r="AJ106" i="45"/>
  <c r="AJ104" i="45"/>
  <c r="AF104" i="45"/>
  <c r="AF103" i="45"/>
  <c r="T121" i="45"/>
  <c r="R121" i="45"/>
  <c r="AJ99" i="45"/>
  <c r="AF99" i="45"/>
  <c r="AJ98" i="45"/>
  <c r="AF98" i="45"/>
  <c r="Z98" i="45"/>
  <c r="V98" i="45"/>
  <c r="AJ97" i="45"/>
  <c r="AF97" i="45"/>
  <c r="Z97" i="45"/>
  <c r="V97" i="45"/>
  <c r="AJ96" i="45"/>
  <c r="AF96" i="45"/>
  <c r="Z96" i="45"/>
  <c r="V96" i="45"/>
  <c r="AJ95" i="45"/>
  <c r="AF95" i="45"/>
  <c r="Z95" i="45"/>
  <c r="V95" i="45"/>
  <c r="AJ94" i="45"/>
  <c r="AF94" i="45"/>
  <c r="Z94" i="45"/>
  <c r="V94" i="45"/>
  <c r="AJ93" i="45"/>
  <c r="AF93" i="45"/>
  <c r="Z93" i="45"/>
  <c r="V93" i="45"/>
  <c r="AJ91" i="45"/>
  <c r="AF91" i="45"/>
  <c r="AJ90" i="45"/>
  <c r="AF90" i="45"/>
  <c r="T100" i="45"/>
  <c r="AJ89" i="45"/>
  <c r="AF89" i="45"/>
  <c r="AJ88" i="45"/>
  <c r="AF88" i="45"/>
  <c r="Z88" i="45"/>
  <c r="AJ87" i="45"/>
  <c r="AF87" i="45"/>
  <c r="Z87" i="45"/>
  <c r="AJ86" i="45"/>
  <c r="AF86" i="45"/>
  <c r="AJ85" i="45"/>
  <c r="AF85" i="45"/>
  <c r="Z85" i="45"/>
  <c r="V85" i="45"/>
  <c r="AJ84" i="45"/>
  <c r="AJ82" i="45"/>
  <c r="AF82" i="45"/>
  <c r="Z82" i="45"/>
  <c r="V82" i="45"/>
  <c r="AJ81" i="45"/>
  <c r="AF81" i="45"/>
  <c r="Z81" i="45"/>
  <c r="V81" i="45"/>
  <c r="AJ79" i="45"/>
  <c r="AF79" i="45"/>
  <c r="Z79" i="45"/>
  <c r="AJ78" i="45"/>
  <c r="AF78" i="45"/>
  <c r="Z78" i="45"/>
  <c r="V78" i="45"/>
  <c r="AJ75" i="45"/>
  <c r="AF75" i="45"/>
  <c r="Z75" i="45"/>
  <c r="V75" i="45"/>
  <c r="AJ74" i="45"/>
  <c r="AF74" i="45"/>
  <c r="Z74" i="45"/>
  <c r="V74" i="45"/>
  <c r="AJ73" i="45"/>
  <c r="AF73" i="45"/>
  <c r="Z73" i="45"/>
  <c r="V73" i="45"/>
  <c r="Z71" i="45"/>
  <c r="V71" i="45"/>
  <c r="AJ71" i="45"/>
  <c r="AF71" i="45"/>
  <c r="Z70" i="45"/>
  <c r="V70" i="45"/>
  <c r="AJ70" i="45"/>
  <c r="AF70" i="45"/>
  <c r="Z69" i="45"/>
  <c r="V69" i="45"/>
  <c r="AJ69" i="45"/>
  <c r="AF69" i="45"/>
  <c r="V68" i="45"/>
  <c r="AJ67" i="45"/>
  <c r="AF67" i="45"/>
  <c r="AJ66" i="45"/>
  <c r="AF66" i="45"/>
  <c r="AJ65" i="45"/>
  <c r="AF65" i="45"/>
  <c r="AF64" i="45"/>
  <c r="AJ63" i="45"/>
  <c r="AF63" i="45"/>
  <c r="AJ62" i="45"/>
  <c r="AF62" i="45"/>
  <c r="AJ61" i="45"/>
  <c r="AF61" i="45"/>
  <c r="AF60" i="45"/>
  <c r="AJ59" i="45"/>
  <c r="AF59" i="45"/>
  <c r="Z59" i="45"/>
  <c r="V59" i="45"/>
  <c r="AJ58" i="45"/>
  <c r="AF58" i="45"/>
  <c r="Z58" i="45"/>
  <c r="V58" i="45"/>
  <c r="AJ57" i="45"/>
  <c r="AF57" i="45"/>
  <c r="Z57" i="45"/>
  <c r="V57" i="45"/>
  <c r="AJ55" i="45"/>
  <c r="AF55" i="45"/>
  <c r="Z55" i="45"/>
  <c r="V55" i="45"/>
  <c r="AJ54" i="45"/>
  <c r="AF54" i="45"/>
  <c r="Z54" i="45"/>
  <c r="V54" i="45"/>
  <c r="AJ53" i="45"/>
  <c r="AF53" i="45"/>
  <c r="Z53" i="45"/>
  <c r="V53" i="45"/>
  <c r="AF52" i="45"/>
  <c r="AJ51" i="45"/>
  <c r="AF51" i="45"/>
  <c r="Z51" i="45"/>
  <c r="V51" i="45"/>
  <c r="AJ50" i="45"/>
  <c r="AF50" i="45"/>
  <c r="Z50" i="45"/>
  <c r="V50" i="45"/>
  <c r="AJ49" i="45"/>
  <c r="AF49" i="45"/>
  <c r="Z49" i="45"/>
  <c r="V49" i="45"/>
  <c r="Z44" i="45"/>
  <c r="V44" i="45"/>
  <c r="Y43" i="45"/>
  <c r="AJ42" i="45"/>
  <c r="AF42" i="45"/>
  <c r="Z42" i="45"/>
  <c r="AJ41" i="45"/>
  <c r="AF41" i="45"/>
  <c r="AJ40" i="45"/>
  <c r="AF40" i="45"/>
  <c r="AJ39" i="45"/>
  <c r="AF39" i="45"/>
  <c r="AJ38" i="45"/>
  <c r="AF38" i="45"/>
  <c r="AJ37" i="45"/>
  <c r="AF37" i="45"/>
  <c r="Z37" i="45"/>
  <c r="AJ36" i="45"/>
  <c r="AF36" i="45"/>
  <c r="Z36" i="45"/>
  <c r="V36" i="45"/>
  <c r="AJ35" i="45"/>
  <c r="AF35" i="45"/>
  <c r="Z35" i="45"/>
  <c r="V35" i="45"/>
  <c r="AJ34" i="45"/>
  <c r="AF34" i="45"/>
  <c r="AJ33" i="45"/>
  <c r="AF33" i="45"/>
  <c r="AJ32" i="45"/>
  <c r="AF32" i="45"/>
  <c r="Z32" i="45"/>
  <c r="AJ31" i="45"/>
  <c r="AF31" i="45"/>
  <c r="AJ30" i="45"/>
  <c r="AF30" i="45"/>
  <c r="Z30" i="45"/>
  <c r="AH29" i="45"/>
  <c r="AJ29" i="45" s="1"/>
  <c r="AF29" i="45"/>
  <c r="AJ28" i="45"/>
  <c r="AF28" i="45"/>
  <c r="Z28" i="45"/>
  <c r="V28" i="45"/>
  <c r="AJ27" i="45"/>
  <c r="AF27" i="45"/>
  <c r="AJ26" i="45"/>
  <c r="AF26" i="45"/>
  <c r="Z26" i="45"/>
  <c r="V26" i="45"/>
  <c r="AH24" i="45"/>
  <c r="AD24" i="45"/>
  <c r="AB24" i="45"/>
  <c r="X24" i="45"/>
  <c r="T24" i="45"/>
  <c r="R24" i="45"/>
  <c r="AJ23" i="45"/>
  <c r="AF23" i="45"/>
  <c r="Z23" i="45"/>
  <c r="V23" i="45"/>
  <c r="AJ22" i="45"/>
  <c r="AF22" i="45"/>
  <c r="Z22" i="45"/>
  <c r="V22" i="45"/>
  <c r="AJ21" i="45"/>
  <c r="AF21" i="45"/>
  <c r="Z21" i="45"/>
  <c r="V21" i="45"/>
  <c r="AH19" i="45"/>
  <c r="AD19" i="45"/>
  <c r="AB19" i="45"/>
  <c r="X19" i="45"/>
  <c r="T19" i="45"/>
  <c r="R19" i="45"/>
  <c r="AJ18" i="45"/>
  <c r="AF18" i="45"/>
  <c r="Z18" i="45"/>
  <c r="V18" i="45"/>
  <c r="AJ17" i="45"/>
  <c r="AF17" i="45"/>
  <c r="Z17" i="45"/>
  <c r="V17" i="45"/>
  <c r="AJ16" i="45"/>
  <c r="AF16" i="45"/>
  <c r="Z16" i="45"/>
  <c r="V16" i="45"/>
  <c r="AB153" i="45" l="1"/>
  <c r="V148" i="45"/>
  <c r="V153" i="45" s="1"/>
  <c r="V154" i="45" s="1"/>
  <c r="AF121" i="45"/>
  <c r="X153" i="45"/>
  <c r="X100" i="45"/>
  <c r="X122" i="45" s="1"/>
  <c r="Z91" i="45"/>
  <c r="R122" i="45"/>
  <c r="AJ100" i="45"/>
  <c r="T122" i="45"/>
  <c r="AF100" i="45"/>
  <c r="AF122" i="45" s="1"/>
  <c r="AJ24" i="45"/>
  <c r="AF24" i="45"/>
  <c r="AH153" i="45"/>
  <c r="AJ135" i="45"/>
  <c r="Z148" i="45"/>
  <c r="X154" i="45"/>
  <c r="Z19" i="45"/>
  <c r="AB43" i="45"/>
  <c r="AB45" i="45" s="1"/>
  <c r="AD43" i="45"/>
  <c r="AD45" i="45" s="1"/>
  <c r="R153" i="45"/>
  <c r="R154" i="45" s="1"/>
  <c r="R43" i="45"/>
  <c r="R45" i="45" s="1"/>
  <c r="V100" i="45"/>
  <c r="AF148" i="45"/>
  <c r="AF153" i="45" s="1"/>
  <c r="AF154" i="45" s="1"/>
  <c r="AJ148" i="45"/>
  <c r="AJ153" i="45" s="1"/>
  <c r="AJ19" i="45"/>
  <c r="Z24" i="45"/>
  <c r="T43" i="45"/>
  <c r="T45" i="45" s="1"/>
  <c r="Z121" i="45"/>
  <c r="Z133" i="45"/>
  <c r="Z135" i="45" s="1"/>
  <c r="AH43" i="45"/>
  <c r="AH45" i="45" s="1"/>
  <c r="AD154" i="45"/>
  <c r="V24" i="45"/>
  <c r="V43" i="45" s="1"/>
  <c r="V45" i="45" s="1"/>
  <c r="AF19" i="45"/>
  <c r="T153" i="45"/>
  <c r="T154" i="45" s="1"/>
  <c r="AJ121" i="45"/>
  <c r="X43" i="45"/>
  <c r="X45" i="45" s="1"/>
  <c r="V121" i="45"/>
  <c r="V19" i="45"/>
  <c r="AB154" i="45"/>
  <c r="AH154" i="45"/>
  <c r="Z153" i="45"/>
  <c r="Z90" i="45"/>
  <c r="U221" i="39"/>
  <c r="U217" i="39"/>
  <c r="U206" i="39"/>
  <c r="U201" i="39"/>
  <c r="U196" i="39"/>
  <c r="U192" i="39"/>
  <c r="U190" i="39"/>
  <c r="U187" i="39"/>
  <c r="U184" i="39"/>
  <c r="U181" i="39"/>
  <c r="U176" i="39"/>
  <c r="U173" i="39"/>
  <c r="U158" i="39"/>
  <c r="U155" i="39"/>
  <c r="U62" i="39"/>
  <c r="K257" i="28"/>
  <c r="K258" i="28"/>
  <c r="K259" i="28"/>
  <c r="K260" i="28"/>
  <c r="K261" i="28"/>
  <c r="K262" i="28"/>
  <c r="K138" i="28"/>
  <c r="K139" i="28"/>
  <c r="K140" i="28"/>
  <c r="P127" i="28"/>
  <c r="M11" i="30"/>
  <c r="L11" i="30"/>
  <c r="K11" i="30"/>
  <c r="K250" i="39"/>
  <c r="K251" i="39"/>
  <c r="K252" i="39"/>
  <c r="K253" i="39"/>
  <c r="P13" i="28"/>
  <c r="S547" i="28"/>
  <c r="R547" i="28"/>
  <c r="Q547" i="28"/>
  <c r="S536" i="28"/>
  <c r="R536" i="28"/>
  <c r="Q536" i="28"/>
  <c r="S527" i="28"/>
  <c r="R527" i="28"/>
  <c r="Q527" i="28"/>
  <c r="S520" i="28"/>
  <c r="R520" i="28"/>
  <c r="Q520" i="28"/>
  <c r="S499" i="28"/>
  <c r="R499" i="28"/>
  <c r="Q499" i="28"/>
  <c r="S491" i="28"/>
  <c r="R491" i="28"/>
  <c r="Q491" i="28"/>
  <c r="S484" i="28"/>
  <c r="R484" i="28"/>
  <c r="Q484" i="28"/>
  <c r="S479" i="28"/>
  <c r="R479" i="28"/>
  <c r="Q479" i="28"/>
  <c r="S468" i="28"/>
  <c r="R468" i="28"/>
  <c r="Q468" i="28"/>
  <c r="S461" i="28"/>
  <c r="R461" i="28"/>
  <c r="Q461" i="28"/>
  <c r="S442" i="28"/>
  <c r="R442" i="28"/>
  <c r="Q442" i="28"/>
  <c r="S428" i="28"/>
  <c r="R428" i="28"/>
  <c r="Q428" i="28"/>
  <c r="S421" i="28"/>
  <c r="R421" i="28"/>
  <c r="Q421" i="28"/>
  <c r="S245" i="28"/>
  <c r="R245" i="28"/>
  <c r="Q245" i="28"/>
  <c r="S236" i="28"/>
  <c r="R236" i="28"/>
  <c r="Q236" i="28"/>
  <c r="S183" i="28"/>
  <c r="R183" i="28"/>
  <c r="Q183" i="28"/>
  <c r="R152" i="28"/>
  <c r="Q152" i="28"/>
  <c r="S141" i="28"/>
  <c r="R141" i="28"/>
  <c r="Q141" i="28"/>
  <c r="S107" i="28"/>
  <c r="R107" i="28"/>
  <c r="Q107" i="28"/>
  <c r="S54" i="28"/>
  <c r="R54" i="28"/>
  <c r="Q54" i="28"/>
  <c r="S25" i="28"/>
  <c r="R25" i="28"/>
  <c r="Q25" i="28"/>
  <c r="AF43" i="45" l="1"/>
  <c r="AF45" i="45" s="1"/>
  <c r="Z154" i="45"/>
  <c r="S528" i="28"/>
  <c r="AJ43" i="45"/>
  <c r="AJ45" i="45" s="1"/>
  <c r="Z100" i="45"/>
  <c r="Z122" i="45" s="1"/>
  <c r="R528" i="28"/>
  <c r="R542" i="28"/>
  <c r="S542" i="28"/>
  <c r="AJ154" i="45"/>
  <c r="AJ122" i="45"/>
  <c r="Z43" i="45"/>
  <c r="Z45" i="45" s="1"/>
  <c r="V122" i="45"/>
  <c r="Q528" i="28"/>
  <c r="Q542" i="28" s="1"/>
  <c r="R469" i="28"/>
  <c r="S469" i="28"/>
  <c r="Q443" i="28"/>
  <c r="S505" i="28"/>
  <c r="Q505" i="28"/>
  <c r="R443" i="28"/>
  <c r="R505" i="28"/>
  <c r="S443" i="28"/>
  <c r="Q153" i="28"/>
  <c r="R153" i="28"/>
  <c r="Q469" i="28"/>
  <c r="R543" i="28" l="1"/>
  <c r="R548" i="28" s="1"/>
  <c r="S543" i="28"/>
  <c r="S548" i="28" s="1"/>
  <c r="R444" i="28"/>
  <c r="Q543" i="28"/>
  <c r="Q548" i="28" s="1"/>
  <c r="Q444" i="28"/>
  <c r="Q551" i="28" l="1"/>
  <c r="R551" i="28"/>
  <c r="K27" i="31"/>
  <c r="P11" i="31"/>
  <c r="P46" i="31" l="1"/>
  <c r="M150" i="39" l="1"/>
  <c r="N150" i="39"/>
  <c r="O22" i="30"/>
  <c r="J22" i="30"/>
  <c r="P12" i="31" l="1"/>
  <c r="P13" i="31"/>
  <c r="P14" i="31"/>
  <c r="P15" i="31"/>
  <c r="R32" i="30"/>
  <c r="Q32" i="30"/>
  <c r="P32" i="30"/>
  <c r="O14" i="30"/>
  <c r="O26" i="30"/>
  <c r="O11" i="30"/>
  <c r="O15" i="30"/>
  <c r="O20" i="30"/>
  <c r="O16" i="30" l="1"/>
  <c r="P261" i="28"/>
  <c r="P16" i="28"/>
  <c r="K49" i="39" l="1"/>
  <c r="L87" i="39" l="1"/>
  <c r="L98" i="39" s="1"/>
  <c r="K46" i="31" l="1"/>
  <c r="K19" i="31"/>
  <c r="K21" i="31"/>
  <c r="K13" i="31"/>
  <c r="K12" i="31"/>
  <c r="K22" i="31"/>
  <c r="K15" i="31"/>
  <c r="K20" i="31"/>
  <c r="K11" i="31"/>
  <c r="K39" i="31" l="1"/>
  <c r="K30" i="31"/>
  <c r="K18" i="31"/>
  <c r="K14" i="31"/>
  <c r="N342" i="39" l="1"/>
  <c r="M342" i="39"/>
  <c r="L342" i="39"/>
  <c r="S329" i="39"/>
  <c r="R329" i="39"/>
  <c r="Q329" i="39"/>
  <c r="N329" i="39"/>
  <c r="M329" i="39"/>
  <c r="L329" i="39"/>
  <c r="N326" i="39"/>
  <c r="M326" i="39"/>
  <c r="L326" i="39"/>
  <c r="P325" i="39"/>
  <c r="K325" i="39"/>
  <c r="P324" i="39"/>
  <c r="K324" i="39"/>
  <c r="P323" i="39"/>
  <c r="K323" i="39"/>
  <c r="P322" i="39"/>
  <c r="K322" i="39"/>
  <c r="P321" i="39"/>
  <c r="K321" i="39"/>
  <c r="P320" i="39"/>
  <c r="K320" i="39"/>
  <c r="P319" i="39"/>
  <c r="K319" i="39"/>
  <c r="P318" i="39"/>
  <c r="K318" i="39"/>
  <c r="P317" i="39"/>
  <c r="K317" i="39"/>
  <c r="P316" i="39"/>
  <c r="K316" i="39"/>
  <c r="P314" i="39"/>
  <c r="N312" i="39"/>
  <c r="M312" i="39"/>
  <c r="L312" i="39"/>
  <c r="L327" i="39" s="1"/>
  <c r="P311" i="39"/>
  <c r="K311" i="39"/>
  <c r="P310" i="39"/>
  <c r="K310" i="39"/>
  <c r="P309" i="39"/>
  <c r="K309" i="39"/>
  <c r="P308" i="39"/>
  <c r="K308" i="39"/>
  <c r="P307" i="39"/>
  <c r="K307" i="39"/>
  <c r="P306" i="39"/>
  <c r="K306" i="39"/>
  <c r="P305" i="39"/>
  <c r="K305" i="39"/>
  <c r="P304" i="39"/>
  <c r="K304" i="39"/>
  <c r="P302" i="39"/>
  <c r="K302" i="39"/>
  <c r="N298" i="39"/>
  <c r="M298" i="39"/>
  <c r="P297" i="39"/>
  <c r="K297" i="39"/>
  <c r="P296" i="39"/>
  <c r="K296" i="39"/>
  <c r="P294" i="39"/>
  <c r="K294" i="39"/>
  <c r="P293" i="39"/>
  <c r="K293" i="39"/>
  <c r="P292" i="39"/>
  <c r="K292" i="39"/>
  <c r="P291" i="39"/>
  <c r="K291" i="39"/>
  <c r="P290" i="39"/>
  <c r="K290" i="39"/>
  <c r="N288" i="39"/>
  <c r="M288" i="39"/>
  <c r="L288" i="39"/>
  <c r="P287" i="39"/>
  <c r="K287" i="39"/>
  <c r="P286" i="39"/>
  <c r="K286" i="39"/>
  <c r="P285" i="39"/>
  <c r="K285" i="39"/>
  <c r="P284" i="39"/>
  <c r="K284" i="39"/>
  <c r="P282" i="39"/>
  <c r="K282" i="39"/>
  <c r="P281" i="39"/>
  <c r="K281" i="39"/>
  <c r="P280" i="39"/>
  <c r="K280" i="39"/>
  <c r="P279" i="39"/>
  <c r="K279" i="39"/>
  <c r="P278" i="39"/>
  <c r="K278" i="39"/>
  <c r="P277" i="39"/>
  <c r="K277" i="39"/>
  <c r="P271" i="39"/>
  <c r="K271" i="39"/>
  <c r="P269" i="39"/>
  <c r="K269" i="39"/>
  <c r="P268" i="39"/>
  <c r="K268" i="39"/>
  <c r="P266" i="39"/>
  <c r="K266" i="39"/>
  <c r="P265" i="39"/>
  <c r="K265" i="39"/>
  <c r="P264" i="39"/>
  <c r="K264" i="39"/>
  <c r="P263" i="39"/>
  <c r="K263" i="39"/>
  <c r="P262" i="39"/>
  <c r="K262" i="39"/>
  <c r="P261" i="39"/>
  <c r="K261" i="39"/>
  <c r="P260" i="39"/>
  <c r="K260" i="39"/>
  <c r="P259" i="39"/>
  <c r="K259" i="39"/>
  <c r="P258" i="39"/>
  <c r="K258" i="39"/>
  <c r="P257" i="39"/>
  <c r="K257" i="39"/>
  <c r="P255" i="39"/>
  <c r="K255" i="39"/>
  <c r="P253" i="39"/>
  <c r="P252" i="39"/>
  <c r="P251" i="39"/>
  <c r="P250" i="39"/>
  <c r="P249" i="39"/>
  <c r="K249" i="39"/>
  <c r="P248" i="39"/>
  <c r="N272" i="39"/>
  <c r="K248" i="39"/>
  <c r="P247" i="39"/>
  <c r="K247" i="39"/>
  <c r="P246" i="39"/>
  <c r="K246" i="39"/>
  <c r="P245" i="39"/>
  <c r="K245" i="39"/>
  <c r="P244" i="39"/>
  <c r="L272" i="39"/>
  <c r="K244" i="39"/>
  <c r="P243" i="39"/>
  <c r="K243" i="39"/>
  <c r="N240" i="39"/>
  <c r="P239" i="39"/>
  <c r="K239" i="39"/>
  <c r="P238" i="39"/>
  <c r="K238" i="39"/>
  <c r="P237" i="39"/>
  <c r="K237" i="39"/>
  <c r="P236" i="39"/>
  <c r="K236" i="39"/>
  <c r="P235" i="39"/>
  <c r="M240" i="39"/>
  <c r="K235" i="39"/>
  <c r="P234" i="39"/>
  <c r="K234" i="39"/>
  <c r="P230" i="39"/>
  <c r="K230" i="39"/>
  <c r="P229" i="39"/>
  <c r="K229" i="39"/>
  <c r="P228" i="39"/>
  <c r="K228" i="39"/>
  <c r="P227" i="39"/>
  <c r="K227" i="39"/>
  <c r="P226" i="39"/>
  <c r="K226" i="39"/>
  <c r="P225" i="39"/>
  <c r="K225" i="39"/>
  <c r="P224" i="39"/>
  <c r="K224" i="39"/>
  <c r="P223" i="39"/>
  <c r="K223" i="39"/>
  <c r="U223" i="39" s="1"/>
  <c r="P222" i="39"/>
  <c r="K222" i="39"/>
  <c r="P220" i="39"/>
  <c r="K220" i="39"/>
  <c r="P219" i="39"/>
  <c r="K219" i="39"/>
  <c r="P218" i="39"/>
  <c r="K218" i="39"/>
  <c r="U218" i="39" s="1"/>
  <c r="P216" i="39"/>
  <c r="K216" i="39"/>
  <c r="P215" i="39"/>
  <c r="K215" i="39"/>
  <c r="U215" i="39" s="1"/>
  <c r="P214" i="39"/>
  <c r="K214" i="39"/>
  <c r="P213" i="39"/>
  <c r="K213" i="39"/>
  <c r="U213" i="39" s="1"/>
  <c r="P212" i="39"/>
  <c r="K212" i="39"/>
  <c r="P211" i="39"/>
  <c r="K211" i="39"/>
  <c r="U211" i="39" s="1"/>
  <c r="P210" i="39"/>
  <c r="K210" i="39"/>
  <c r="P209" i="39"/>
  <c r="K209" i="39"/>
  <c r="U209" i="39" s="1"/>
  <c r="P208" i="39"/>
  <c r="K208" i="39"/>
  <c r="U208" i="39" s="1"/>
  <c r="P207" i="39"/>
  <c r="K207" i="39"/>
  <c r="U207" i="39" s="1"/>
  <c r="P205" i="39"/>
  <c r="K205" i="39"/>
  <c r="P204" i="39"/>
  <c r="K204" i="39"/>
  <c r="U204" i="39" s="1"/>
  <c r="P203" i="39"/>
  <c r="K203" i="39"/>
  <c r="P202" i="39"/>
  <c r="K202" i="39"/>
  <c r="U202" i="39" s="1"/>
  <c r="P200" i="39"/>
  <c r="K200" i="39"/>
  <c r="U200" i="39" s="1"/>
  <c r="P199" i="39"/>
  <c r="K199" i="39"/>
  <c r="U199" i="39" s="1"/>
  <c r="P198" i="39"/>
  <c r="K198" i="39"/>
  <c r="P197" i="39"/>
  <c r="K197" i="39"/>
  <c r="U197" i="39" s="1"/>
  <c r="P195" i="39"/>
  <c r="K195" i="39"/>
  <c r="P194" i="39"/>
  <c r="K194" i="39"/>
  <c r="U194" i="39" s="1"/>
  <c r="P193" i="39"/>
  <c r="K193" i="39"/>
  <c r="U193" i="39" s="1"/>
  <c r="P191" i="39"/>
  <c r="K191" i="39"/>
  <c r="U191" i="39" s="1"/>
  <c r="P189" i="39"/>
  <c r="K189" i="39"/>
  <c r="U189" i="39" s="1"/>
  <c r="P188" i="39"/>
  <c r="K188" i="39"/>
  <c r="U188" i="39" s="1"/>
  <c r="P186" i="39"/>
  <c r="K186" i="39"/>
  <c r="P185" i="39"/>
  <c r="K185" i="39"/>
  <c r="U185" i="39" s="1"/>
  <c r="P183" i="39"/>
  <c r="K183" i="39"/>
  <c r="P182" i="39"/>
  <c r="K182" i="39"/>
  <c r="U182" i="39" s="1"/>
  <c r="P180" i="39"/>
  <c r="K180" i="39"/>
  <c r="U180" i="39" s="1"/>
  <c r="P179" i="39"/>
  <c r="K179" i="39"/>
  <c r="U179" i="39" s="1"/>
  <c r="P178" i="39"/>
  <c r="K178" i="39"/>
  <c r="P177" i="39"/>
  <c r="K177" i="39"/>
  <c r="U177" i="39" s="1"/>
  <c r="P175" i="39"/>
  <c r="K175" i="39"/>
  <c r="U175" i="39" s="1"/>
  <c r="P174" i="39"/>
  <c r="K174" i="39"/>
  <c r="U174" i="39" s="1"/>
  <c r="P172" i="39"/>
  <c r="K172" i="39"/>
  <c r="U172" i="39" s="1"/>
  <c r="P171" i="39"/>
  <c r="K171" i="39"/>
  <c r="U171" i="39" s="1"/>
  <c r="P170" i="39"/>
  <c r="K170" i="39"/>
  <c r="P169" i="39"/>
  <c r="K169" i="39"/>
  <c r="U169" i="39" s="1"/>
  <c r="P168" i="39"/>
  <c r="K168" i="39"/>
  <c r="U168" i="39" s="1"/>
  <c r="P167" i="39"/>
  <c r="K167" i="39"/>
  <c r="U167" i="39" s="1"/>
  <c r="P166" i="39"/>
  <c r="K166" i="39"/>
  <c r="U166" i="39" s="1"/>
  <c r="P165" i="39"/>
  <c r="K165" i="39"/>
  <c r="U165" i="39" s="1"/>
  <c r="P164" i="39"/>
  <c r="K164" i="39"/>
  <c r="P163" i="39"/>
  <c r="K163" i="39"/>
  <c r="U163" i="39" s="1"/>
  <c r="P162" i="39"/>
  <c r="K162" i="39"/>
  <c r="U162" i="39" s="1"/>
  <c r="P161" i="39"/>
  <c r="K161" i="39"/>
  <c r="U161" i="39" s="1"/>
  <c r="P160" i="39"/>
  <c r="K160" i="39"/>
  <c r="U160" i="39" s="1"/>
  <c r="P159" i="39"/>
  <c r="K159" i="39"/>
  <c r="U159" i="39" s="1"/>
  <c r="P157" i="39"/>
  <c r="K157" i="39"/>
  <c r="P156" i="39"/>
  <c r="K156" i="39"/>
  <c r="U156" i="39" s="1"/>
  <c r="P154" i="39"/>
  <c r="K154" i="39"/>
  <c r="U154" i="39" s="1"/>
  <c r="P153" i="39"/>
  <c r="N231" i="39"/>
  <c r="M231" i="39"/>
  <c r="L231" i="39"/>
  <c r="P149" i="39"/>
  <c r="K149" i="39"/>
  <c r="P148" i="39"/>
  <c r="K148" i="39"/>
  <c r="P147" i="39"/>
  <c r="K147" i="39"/>
  <c r="P146" i="39"/>
  <c r="K146" i="39"/>
  <c r="P144" i="39"/>
  <c r="K144" i="39"/>
  <c r="P143" i="39"/>
  <c r="K143" i="39"/>
  <c r="P142" i="39"/>
  <c r="K142" i="39"/>
  <c r="P141" i="39"/>
  <c r="K141" i="39"/>
  <c r="P140" i="39"/>
  <c r="K140" i="39"/>
  <c r="P138" i="39"/>
  <c r="K138" i="39"/>
  <c r="P137" i="39"/>
  <c r="K137" i="39"/>
  <c r="P136" i="39"/>
  <c r="K136" i="39"/>
  <c r="P135" i="39"/>
  <c r="K135" i="39"/>
  <c r="P134" i="39"/>
  <c r="K134" i="39"/>
  <c r="P133" i="39"/>
  <c r="K133" i="39"/>
  <c r="P132" i="39"/>
  <c r="K132" i="39"/>
  <c r="P131" i="39"/>
  <c r="K131" i="39"/>
  <c r="P130" i="39"/>
  <c r="K130" i="39"/>
  <c r="P129" i="39"/>
  <c r="K129" i="39"/>
  <c r="P128" i="39"/>
  <c r="K128" i="39"/>
  <c r="P127" i="39"/>
  <c r="K127" i="39"/>
  <c r="P126" i="39"/>
  <c r="K126" i="39"/>
  <c r="P125" i="39"/>
  <c r="K125" i="39"/>
  <c r="P124" i="39"/>
  <c r="K124" i="39"/>
  <c r="P123" i="39"/>
  <c r="K123" i="39"/>
  <c r="P121" i="39"/>
  <c r="K121" i="39"/>
  <c r="P120" i="39"/>
  <c r="L150" i="39"/>
  <c r="N115" i="39"/>
  <c r="M115" i="39"/>
  <c r="L115" i="39"/>
  <c r="P114" i="39"/>
  <c r="K114" i="39"/>
  <c r="P113" i="39"/>
  <c r="K113" i="39"/>
  <c r="P112" i="39"/>
  <c r="K112" i="39"/>
  <c r="P111" i="39"/>
  <c r="K111" i="39"/>
  <c r="P110" i="39"/>
  <c r="K110" i="39"/>
  <c r="N107" i="39"/>
  <c r="M107" i="39"/>
  <c r="P106" i="39"/>
  <c r="K106" i="39"/>
  <c r="P105" i="39"/>
  <c r="K105" i="39"/>
  <c r="P104" i="39"/>
  <c r="K104" i="39"/>
  <c r="P102" i="39"/>
  <c r="L107" i="39"/>
  <c r="K102" i="39"/>
  <c r="P101" i="39"/>
  <c r="K101" i="39"/>
  <c r="P97" i="39"/>
  <c r="K97" i="39"/>
  <c r="P96" i="39"/>
  <c r="K96" i="39"/>
  <c r="P95" i="39"/>
  <c r="K95" i="39"/>
  <c r="P94" i="39"/>
  <c r="K94" i="39"/>
  <c r="P93" i="39"/>
  <c r="K93" i="39"/>
  <c r="P92" i="39"/>
  <c r="K92" i="39"/>
  <c r="P91" i="39"/>
  <c r="K91" i="39"/>
  <c r="P90" i="39"/>
  <c r="K90" i="39"/>
  <c r="P89" i="39"/>
  <c r="K89" i="39"/>
  <c r="P88" i="39"/>
  <c r="K88" i="39"/>
  <c r="N87" i="39"/>
  <c r="N98" i="39" s="1"/>
  <c r="M87" i="39"/>
  <c r="M98" i="39" s="1"/>
  <c r="P86" i="39"/>
  <c r="P84" i="39"/>
  <c r="K84" i="39"/>
  <c r="P83" i="39"/>
  <c r="K83" i="39"/>
  <c r="P82" i="39"/>
  <c r="K82" i="39"/>
  <c r="P80" i="39"/>
  <c r="K80" i="39"/>
  <c r="P79" i="39"/>
  <c r="K79" i="39"/>
  <c r="P78" i="39"/>
  <c r="K78" i="39"/>
  <c r="P77" i="39"/>
  <c r="K77" i="39"/>
  <c r="P76" i="39"/>
  <c r="K76" i="39"/>
  <c r="P75" i="39"/>
  <c r="K75" i="39"/>
  <c r="P74" i="39"/>
  <c r="K74" i="39"/>
  <c r="P73" i="39"/>
  <c r="K73" i="39"/>
  <c r="U73" i="39" s="1"/>
  <c r="P72" i="39"/>
  <c r="K72" i="39"/>
  <c r="P71" i="39"/>
  <c r="K71" i="39"/>
  <c r="U71" i="39" s="1"/>
  <c r="P70" i="39"/>
  <c r="K70" i="39"/>
  <c r="P69" i="39"/>
  <c r="K69" i="39"/>
  <c r="P68" i="39"/>
  <c r="K68" i="39"/>
  <c r="P67" i="39"/>
  <c r="K67" i="39"/>
  <c r="U67" i="39" s="1"/>
  <c r="P66" i="39"/>
  <c r="K66" i="39"/>
  <c r="P65" i="39"/>
  <c r="K65" i="39"/>
  <c r="U65" i="39" s="1"/>
  <c r="P64" i="39"/>
  <c r="K64" i="39"/>
  <c r="P63" i="39"/>
  <c r="K63" i="39"/>
  <c r="P61" i="39"/>
  <c r="K61" i="39"/>
  <c r="P60" i="39"/>
  <c r="K60" i="39"/>
  <c r="U60" i="39" s="1"/>
  <c r="P59" i="39"/>
  <c r="K59" i="39"/>
  <c r="P58" i="39"/>
  <c r="K58" i="39"/>
  <c r="U58" i="39" s="1"/>
  <c r="P57" i="39"/>
  <c r="K57" i="39"/>
  <c r="P56" i="39"/>
  <c r="K56" i="39"/>
  <c r="P55" i="39"/>
  <c r="K55" i="39"/>
  <c r="P54" i="39"/>
  <c r="K54" i="39"/>
  <c r="U54" i="39" s="1"/>
  <c r="P53" i="39"/>
  <c r="K53" i="39"/>
  <c r="P52" i="39"/>
  <c r="K52" i="39"/>
  <c r="U52" i="39" s="1"/>
  <c r="P51" i="39"/>
  <c r="P50" i="39"/>
  <c r="K50" i="39"/>
  <c r="P49" i="39"/>
  <c r="U49" i="39" s="1"/>
  <c r="N46" i="39"/>
  <c r="M46" i="39"/>
  <c r="L46" i="39"/>
  <c r="P45" i="39"/>
  <c r="K45" i="39"/>
  <c r="P44" i="39"/>
  <c r="K44" i="39"/>
  <c r="P43" i="39"/>
  <c r="K43" i="39"/>
  <c r="P41" i="39"/>
  <c r="K41" i="39"/>
  <c r="P39" i="39"/>
  <c r="K39" i="39"/>
  <c r="U39" i="39" s="1"/>
  <c r="N37" i="39"/>
  <c r="M37" i="39"/>
  <c r="P36" i="39"/>
  <c r="K36" i="39"/>
  <c r="P35" i="39"/>
  <c r="K35" i="39"/>
  <c r="P34" i="39"/>
  <c r="K34" i="39"/>
  <c r="P33" i="39"/>
  <c r="K33" i="39"/>
  <c r="P31" i="39"/>
  <c r="K31" i="39"/>
  <c r="P29" i="39"/>
  <c r="K29" i="39"/>
  <c r="P28" i="39"/>
  <c r="K28" i="39"/>
  <c r="P27" i="39"/>
  <c r="K27" i="39"/>
  <c r="P26" i="39"/>
  <c r="K26" i="39"/>
  <c r="P25" i="39"/>
  <c r="K25" i="39"/>
  <c r="P24" i="39"/>
  <c r="L37" i="39"/>
  <c r="K24" i="39"/>
  <c r="P22" i="39"/>
  <c r="K22" i="39"/>
  <c r="P21" i="39"/>
  <c r="K21" i="39"/>
  <c r="P20" i="39"/>
  <c r="K20" i="39"/>
  <c r="P19" i="39"/>
  <c r="K19" i="39"/>
  <c r="P18" i="39"/>
  <c r="K18" i="39"/>
  <c r="P17" i="39"/>
  <c r="K17" i="39"/>
  <c r="P16" i="39"/>
  <c r="K16" i="39"/>
  <c r="P14" i="39"/>
  <c r="K14" i="39"/>
  <c r="P13" i="39"/>
  <c r="K13" i="39"/>
  <c r="K530" i="28"/>
  <c r="S152" i="28"/>
  <c r="S153" i="28" s="1"/>
  <c r="S444" i="28" s="1"/>
  <c r="S551" i="28" s="1"/>
  <c r="K96" i="28"/>
  <c r="U198" i="39" l="1"/>
  <c r="U205" i="39"/>
  <c r="U212" i="39"/>
  <c r="U219" i="39"/>
  <c r="U226" i="39"/>
  <c r="U220" i="39"/>
  <c r="U183" i="39"/>
  <c r="U214" i="39"/>
  <c r="U222" i="39"/>
  <c r="U228" i="39"/>
  <c r="U56" i="39"/>
  <c r="U63" i="39"/>
  <c r="U69" i="39"/>
  <c r="U75" i="39"/>
  <c r="U157" i="39"/>
  <c r="U170" i="39"/>
  <c r="U178" i="39"/>
  <c r="U186" i="39"/>
  <c r="U195" i="39"/>
  <c r="U203" i="39"/>
  <c r="U210" i="39"/>
  <c r="U216" i="39"/>
  <c r="U224" i="39"/>
  <c r="U230" i="39"/>
  <c r="U164" i="39"/>
  <c r="U225" i="39"/>
  <c r="U77" i="39"/>
  <c r="U53" i="39"/>
  <c r="U55" i="39"/>
  <c r="U57" i="39"/>
  <c r="U59" i="39"/>
  <c r="U61" i="39"/>
  <c r="U64" i="39"/>
  <c r="U66" i="39"/>
  <c r="U68" i="39"/>
  <c r="U70" i="39"/>
  <c r="U72" i="39"/>
  <c r="U74" i="39"/>
  <c r="U76" i="39"/>
  <c r="U227" i="39"/>
  <c r="U229" i="39"/>
  <c r="U50" i="39"/>
  <c r="P87" i="39"/>
  <c r="P98" i="39" s="1"/>
  <c r="P326" i="39"/>
  <c r="P312" i="39"/>
  <c r="N299" i="39"/>
  <c r="P298" i="39"/>
  <c r="M299" i="39"/>
  <c r="M327" i="39"/>
  <c r="K326" i="39"/>
  <c r="K314" i="39"/>
  <c r="K312" i="39"/>
  <c r="P150" i="39"/>
  <c r="N116" i="39"/>
  <c r="R335" i="39"/>
  <c r="P240" i="39"/>
  <c r="N273" i="39"/>
  <c r="N335" i="39" s="1"/>
  <c r="K272" i="39"/>
  <c r="S334" i="39"/>
  <c r="K115" i="39"/>
  <c r="P272" i="39"/>
  <c r="K342" i="39"/>
  <c r="K329" i="39"/>
  <c r="P37" i="39"/>
  <c r="P115" i="39"/>
  <c r="P288" i="39"/>
  <c r="P231" i="39"/>
  <c r="P329" i="39"/>
  <c r="Q335" i="39"/>
  <c r="S335" i="39"/>
  <c r="R334" i="39"/>
  <c r="P107" i="39"/>
  <c r="P46" i="39"/>
  <c r="K46" i="39"/>
  <c r="K298" i="39"/>
  <c r="K107" i="39"/>
  <c r="K37" i="39"/>
  <c r="M116" i="39"/>
  <c r="M334" i="39" s="1"/>
  <c r="K240" i="39"/>
  <c r="K288" i="39"/>
  <c r="L116" i="39"/>
  <c r="K51" i="39"/>
  <c r="U51" i="39" s="1"/>
  <c r="K86" i="39"/>
  <c r="K87" i="39" s="1"/>
  <c r="L240" i="39"/>
  <c r="L273" i="39" s="1"/>
  <c r="M272" i="39"/>
  <c r="L298" i="39"/>
  <c r="L299" i="39" s="1"/>
  <c r="K153" i="39"/>
  <c r="K120" i="39"/>
  <c r="K150" i="39" s="1"/>
  <c r="U107" i="39" l="1"/>
  <c r="P299" i="39"/>
  <c r="U87" i="39"/>
  <c r="U240" i="39"/>
  <c r="U37" i="39"/>
  <c r="U46" i="39"/>
  <c r="U272" i="39"/>
  <c r="K98" i="39"/>
  <c r="U98" i="39" s="1"/>
  <c r="U150" i="39"/>
  <c r="K231" i="39"/>
  <c r="U231" i="39" s="1"/>
  <c r="U153" i="39"/>
  <c r="K299" i="39"/>
  <c r="U299" i="39" s="1"/>
  <c r="U288" i="39"/>
  <c r="P327" i="39"/>
  <c r="N334" i="39"/>
  <c r="K327" i="39"/>
  <c r="N327" i="39"/>
  <c r="P29" i="30"/>
  <c r="P273" i="39"/>
  <c r="Q334" i="39"/>
  <c r="P334" i="39" s="1"/>
  <c r="M273" i="39"/>
  <c r="M335" i="39" s="1"/>
  <c r="P335" i="39"/>
  <c r="P116" i="39"/>
  <c r="L335" i="39"/>
  <c r="N274" i="39"/>
  <c r="L274" i="39"/>
  <c r="L328" i="39" s="1"/>
  <c r="L334" i="39"/>
  <c r="K116" i="39" l="1"/>
  <c r="U116" i="39"/>
  <c r="K273" i="39"/>
  <c r="U273" i="39" s="1"/>
  <c r="K29" i="30"/>
  <c r="K20" i="30"/>
  <c r="N328" i="39"/>
  <c r="K334" i="39"/>
  <c r="Q330" i="39"/>
  <c r="Q336" i="39"/>
  <c r="P274" i="39"/>
  <c r="P328" i="39" s="1"/>
  <c r="P330" i="39" s="1"/>
  <c r="R330" i="39"/>
  <c r="Q29" i="30"/>
  <c r="S336" i="39"/>
  <c r="R29" i="30"/>
  <c r="R336" i="39"/>
  <c r="M274" i="39"/>
  <c r="M328" i="39" s="1"/>
  <c r="L20" i="30" s="1"/>
  <c r="S330" i="39"/>
  <c r="K335" i="39"/>
  <c r="K274" i="39"/>
  <c r="K328" i="39" s="1"/>
  <c r="L343" i="39"/>
  <c r="L336" i="39"/>
  <c r="L330" i="39"/>
  <c r="M29" i="30" l="1"/>
  <c r="M20" i="30"/>
  <c r="K339" i="39"/>
  <c r="N336" i="39"/>
  <c r="N330" i="39"/>
  <c r="N343" i="39"/>
  <c r="P336" i="39"/>
  <c r="M336" i="39"/>
  <c r="K336" i="39" s="1"/>
  <c r="L29" i="30"/>
  <c r="M330" i="39"/>
  <c r="M343" i="39"/>
  <c r="K330" i="39"/>
  <c r="K343" i="39"/>
  <c r="O25" i="30" l="1"/>
  <c r="O24" i="30"/>
  <c r="O23" i="30"/>
  <c r="O19" i="30"/>
  <c r="O18" i="30"/>
  <c r="P45" i="31"/>
  <c r="P41" i="31"/>
  <c r="P40" i="31"/>
  <c r="P39" i="31"/>
  <c r="P36" i="31"/>
  <c r="P35" i="31"/>
  <c r="P30" i="31"/>
  <c r="P27" i="31"/>
  <c r="P22" i="31"/>
  <c r="P21" i="31"/>
  <c r="P20" i="31"/>
  <c r="P19" i="31"/>
  <c r="P18" i="31"/>
  <c r="P31" i="31" l="1"/>
  <c r="P28" i="31"/>
  <c r="P16" i="31"/>
  <c r="O21" i="30"/>
  <c r="O27" i="30" s="1"/>
  <c r="P37" i="31"/>
  <c r="P42" i="31"/>
  <c r="P23" i="31"/>
  <c r="P24" i="31" l="1"/>
  <c r="P32" i="31"/>
  <c r="P43" i="31"/>
  <c r="Q47" i="31"/>
  <c r="R47" i="31" l="1"/>
  <c r="S47" i="31"/>
  <c r="P44" i="31"/>
  <c r="P47" i="31" l="1"/>
  <c r="P50" i="31"/>
  <c r="K50" i="31"/>
  <c r="S48" i="31"/>
  <c r="R48" i="31"/>
  <c r="Q48" i="31"/>
  <c r="N48" i="31"/>
  <c r="M48" i="31"/>
  <c r="L48" i="31"/>
  <c r="K41" i="31"/>
  <c r="K40" i="31"/>
  <c r="K36" i="31"/>
  <c r="K35" i="31"/>
  <c r="R33" i="30"/>
  <c r="R30" i="30"/>
  <c r="Q30" i="30"/>
  <c r="J26" i="30"/>
  <c r="J25" i="30"/>
  <c r="J24" i="30"/>
  <c r="J23" i="30"/>
  <c r="K21" i="30"/>
  <c r="J19" i="30"/>
  <c r="J18" i="30"/>
  <c r="M16" i="30"/>
  <c r="L16" i="30"/>
  <c r="K16" i="30"/>
  <c r="J15" i="30"/>
  <c r="J14" i="30"/>
  <c r="J12" i="30"/>
  <c r="J11" i="30"/>
  <c r="P553" i="28"/>
  <c r="K553" i="28"/>
  <c r="P546" i="28"/>
  <c r="K546" i="28"/>
  <c r="P545" i="28"/>
  <c r="P541" i="28"/>
  <c r="K541" i="28"/>
  <c r="P539" i="28"/>
  <c r="K539" i="28"/>
  <c r="P538" i="28"/>
  <c r="K538" i="28"/>
  <c r="N536" i="28"/>
  <c r="M536" i="28"/>
  <c r="L536" i="28"/>
  <c r="P535" i="28"/>
  <c r="K535" i="28"/>
  <c r="P534" i="28"/>
  <c r="K534" i="28"/>
  <c r="P533" i="28"/>
  <c r="K533" i="28"/>
  <c r="P532" i="28"/>
  <c r="K532" i="28"/>
  <c r="P531" i="28"/>
  <c r="K531" i="28"/>
  <c r="P530" i="28"/>
  <c r="N527" i="28"/>
  <c r="M527" i="28"/>
  <c r="L527" i="28"/>
  <c r="P526" i="28"/>
  <c r="K526" i="28"/>
  <c r="P525" i="28"/>
  <c r="K525" i="28"/>
  <c r="P524" i="28"/>
  <c r="K524" i="28"/>
  <c r="P523" i="28"/>
  <c r="K523" i="28"/>
  <c r="P522" i="28"/>
  <c r="K522" i="28"/>
  <c r="P519" i="28"/>
  <c r="K519" i="28"/>
  <c r="P518" i="28"/>
  <c r="K518" i="28"/>
  <c r="P517" i="28"/>
  <c r="K517" i="28"/>
  <c r="P516" i="28"/>
  <c r="K516" i="28"/>
  <c r="P515" i="28"/>
  <c r="K515" i="28"/>
  <c r="P514" i="28"/>
  <c r="K514" i="28"/>
  <c r="P513" i="28"/>
  <c r="K513" i="28"/>
  <c r="P512" i="28"/>
  <c r="K512" i="28"/>
  <c r="P511" i="28"/>
  <c r="K511" i="28"/>
  <c r="P510" i="28"/>
  <c r="K510" i="28"/>
  <c r="P509" i="28"/>
  <c r="K509" i="28"/>
  <c r="P504" i="28"/>
  <c r="K504" i="28"/>
  <c r="P502" i="28"/>
  <c r="K502" i="28"/>
  <c r="P501" i="28"/>
  <c r="K501" i="28"/>
  <c r="N499" i="28"/>
  <c r="M499" i="28"/>
  <c r="P498" i="28"/>
  <c r="L499" i="28"/>
  <c r="P497" i="28"/>
  <c r="K497" i="28"/>
  <c r="P496" i="28"/>
  <c r="K496" i="28"/>
  <c r="P495" i="28"/>
  <c r="K495" i="28"/>
  <c r="P494" i="28"/>
  <c r="K494" i="28"/>
  <c r="P493" i="28"/>
  <c r="K493" i="28"/>
  <c r="N491" i="28"/>
  <c r="M491" i="28"/>
  <c r="L491" i="28"/>
  <c r="P490" i="28"/>
  <c r="K490" i="28"/>
  <c r="P489" i="28"/>
  <c r="K489" i="28"/>
  <c r="P488" i="28"/>
  <c r="K488" i="28"/>
  <c r="P487" i="28"/>
  <c r="K487" i="28"/>
  <c r="P486" i="28"/>
  <c r="K486" i="28"/>
  <c r="N484" i="28"/>
  <c r="M484" i="28"/>
  <c r="L484" i="28"/>
  <c r="P483" i="28"/>
  <c r="K483" i="28"/>
  <c r="P482" i="28"/>
  <c r="K482" i="28"/>
  <c r="P481" i="28"/>
  <c r="K481" i="28"/>
  <c r="N479" i="28"/>
  <c r="M479" i="28"/>
  <c r="L479" i="28"/>
  <c r="P478" i="28"/>
  <c r="K478" i="28"/>
  <c r="P477" i="28"/>
  <c r="K477" i="28"/>
  <c r="P476" i="28"/>
  <c r="K476" i="28"/>
  <c r="P475" i="28"/>
  <c r="K475" i="28"/>
  <c r="P474" i="28"/>
  <c r="K474" i="28"/>
  <c r="P473" i="28"/>
  <c r="K473" i="28"/>
  <c r="P472" i="28"/>
  <c r="K472" i="28"/>
  <c r="P471" i="28"/>
  <c r="K471" i="28"/>
  <c r="N468" i="28"/>
  <c r="M468" i="28"/>
  <c r="L468" i="28"/>
  <c r="P467" i="28"/>
  <c r="K467" i="28"/>
  <c r="P466" i="28"/>
  <c r="K466" i="28"/>
  <c r="P465" i="28"/>
  <c r="K465" i="28"/>
  <c r="P464" i="28"/>
  <c r="K464" i="28"/>
  <c r="P463" i="28"/>
  <c r="K463" i="28"/>
  <c r="N461" i="28"/>
  <c r="M461" i="28"/>
  <c r="L461" i="28"/>
  <c r="P460" i="28"/>
  <c r="K460" i="28"/>
  <c r="P459" i="28"/>
  <c r="K459" i="28"/>
  <c r="P458" i="28"/>
  <c r="K458" i="28"/>
  <c r="P457" i="28"/>
  <c r="K457" i="28"/>
  <c r="P456" i="28"/>
  <c r="K456" i="28"/>
  <c r="P455" i="28"/>
  <c r="K455" i="28"/>
  <c r="P454" i="28"/>
  <c r="K454" i="28"/>
  <c r="P453" i="28"/>
  <c r="K453" i="28"/>
  <c r="P452" i="28"/>
  <c r="K452" i="28"/>
  <c r="P451" i="28"/>
  <c r="K451" i="28"/>
  <c r="P450" i="28"/>
  <c r="K450" i="28"/>
  <c r="N442" i="28"/>
  <c r="M442" i="28"/>
  <c r="L442" i="28"/>
  <c r="P441" i="28"/>
  <c r="K441" i="28"/>
  <c r="P439" i="28"/>
  <c r="K439" i="28"/>
  <c r="P438" i="28"/>
  <c r="K438" i="28"/>
  <c r="P437" i="28"/>
  <c r="K437" i="28"/>
  <c r="P436" i="28"/>
  <c r="K436" i="28"/>
  <c r="P435" i="28"/>
  <c r="K435" i="28"/>
  <c r="P434" i="28"/>
  <c r="K434" i="28"/>
  <c r="P433" i="28"/>
  <c r="K433" i="28"/>
  <c r="P432" i="28"/>
  <c r="K432" i="28"/>
  <c r="P431" i="28"/>
  <c r="K431" i="28"/>
  <c r="N428" i="28"/>
  <c r="M428" i="28"/>
  <c r="L428" i="28"/>
  <c r="P427" i="28"/>
  <c r="K427" i="28"/>
  <c r="P426" i="28"/>
  <c r="K426" i="28"/>
  <c r="P425" i="28"/>
  <c r="K425" i="28"/>
  <c r="P424" i="28"/>
  <c r="K424" i="28"/>
  <c r="N421" i="28"/>
  <c r="M421" i="28"/>
  <c r="L421" i="28"/>
  <c r="P420" i="28"/>
  <c r="K420" i="28"/>
  <c r="P419" i="28"/>
  <c r="K419" i="28"/>
  <c r="P418" i="28"/>
  <c r="K418" i="28"/>
  <c r="P417" i="28"/>
  <c r="K417" i="28"/>
  <c r="P416" i="28"/>
  <c r="K416" i="28"/>
  <c r="P415" i="28"/>
  <c r="K415" i="28"/>
  <c r="P413" i="28"/>
  <c r="K413" i="28"/>
  <c r="P412" i="28"/>
  <c r="K412" i="28"/>
  <c r="P411" i="28"/>
  <c r="K411" i="28"/>
  <c r="P409" i="28"/>
  <c r="K409" i="28"/>
  <c r="P408" i="28"/>
  <c r="K408" i="28"/>
  <c r="P407" i="28"/>
  <c r="K407" i="28"/>
  <c r="P406" i="28"/>
  <c r="K406" i="28"/>
  <c r="P405" i="28"/>
  <c r="K405" i="28"/>
  <c r="P403" i="28"/>
  <c r="K403" i="28"/>
  <c r="P402" i="28"/>
  <c r="K402" i="28"/>
  <c r="P401" i="28"/>
  <c r="K401" i="28"/>
  <c r="P400" i="28"/>
  <c r="K400" i="28"/>
  <c r="P399" i="28"/>
  <c r="K399" i="28"/>
  <c r="P398" i="28"/>
  <c r="K398" i="28"/>
  <c r="P397" i="28"/>
  <c r="K397" i="28"/>
  <c r="P396" i="28"/>
  <c r="K396" i="28"/>
  <c r="P395" i="28"/>
  <c r="K395" i="28"/>
  <c r="P393" i="28"/>
  <c r="K393" i="28"/>
  <c r="P392" i="28"/>
  <c r="K392" i="28"/>
  <c r="P391" i="28"/>
  <c r="K391" i="28"/>
  <c r="P390" i="28"/>
  <c r="K390" i="28"/>
  <c r="P389" i="28"/>
  <c r="K389" i="28"/>
  <c r="P388" i="28"/>
  <c r="K388" i="28"/>
  <c r="P387" i="28"/>
  <c r="K387" i="28"/>
  <c r="P386" i="28"/>
  <c r="K386" i="28"/>
  <c r="P385" i="28"/>
  <c r="K385" i="28"/>
  <c r="P384" i="28"/>
  <c r="K384" i="28"/>
  <c r="P383" i="28"/>
  <c r="K383" i="28"/>
  <c r="P382" i="28"/>
  <c r="K382" i="28"/>
  <c r="P381" i="28"/>
  <c r="K381" i="28"/>
  <c r="P380" i="28"/>
  <c r="K380" i="28"/>
  <c r="P378" i="28"/>
  <c r="K378" i="28"/>
  <c r="P377" i="28"/>
  <c r="K377" i="28"/>
  <c r="P376" i="28"/>
  <c r="K376" i="28"/>
  <c r="P375" i="28"/>
  <c r="K375" i="28"/>
  <c r="P374" i="28"/>
  <c r="K374" i="28"/>
  <c r="P373" i="28"/>
  <c r="K373" i="28"/>
  <c r="P371" i="28"/>
  <c r="K371" i="28"/>
  <c r="P370" i="28"/>
  <c r="K370" i="28"/>
  <c r="P369" i="28"/>
  <c r="K369" i="28"/>
  <c r="P368" i="28"/>
  <c r="K368" i="28"/>
  <c r="P367" i="28"/>
  <c r="K367" i="28"/>
  <c r="P366" i="28"/>
  <c r="K366" i="28"/>
  <c r="P365" i="28"/>
  <c r="K365" i="28"/>
  <c r="P364" i="28"/>
  <c r="K364" i="28"/>
  <c r="P363" i="28"/>
  <c r="K363" i="28"/>
  <c r="P362" i="28"/>
  <c r="K362" i="28"/>
  <c r="P361" i="28"/>
  <c r="K361" i="28"/>
  <c r="P360" i="28"/>
  <c r="K360" i="28"/>
  <c r="P359" i="28"/>
  <c r="K359" i="28"/>
  <c r="P358" i="28"/>
  <c r="K358" i="28"/>
  <c r="P357" i="28"/>
  <c r="K357" i="28"/>
  <c r="P355" i="28"/>
  <c r="K355" i="28"/>
  <c r="P354" i="28"/>
  <c r="K354" i="28"/>
  <c r="P353" i="28"/>
  <c r="K353" i="28"/>
  <c r="P352" i="28"/>
  <c r="K352" i="28"/>
  <c r="P351" i="28"/>
  <c r="K351" i="28"/>
  <c r="P350" i="28"/>
  <c r="K350" i="28"/>
  <c r="P349" i="28"/>
  <c r="K349" i="28"/>
  <c r="P348" i="28"/>
  <c r="K348" i="28"/>
  <c r="P347" i="28"/>
  <c r="K347" i="28"/>
  <c r="P346" i="28"/>
  <c r="K346" i="28"/>
  <c r="P345" i="28"/>
  <c r="K345" i="28"/>
  <c r="P344" i="28"/>
  <c r="K344" i="28"/>
  <c r="P343" i="28"/>
  <c r="K343" i="28"/>
  <c r="P342" i="28"/>
  <c r="K342" i="28"/>
  <c r="P341" i="28"/>
  <c r="K341" i="28"/>
  <c r="P340" i="28"/>
  <c r="K340" i="28"/>
  <c r="P339" i="28"/>
  <c r="K339" i="28"/>
  <c r="P338" i="28"/>
  <c r="K338" i="28"/>
  <c r="P337" i="28"/>
  <c r="K337" i="28"/>
  <c r="P336" i="28"/>
  <c r="K336" i="28"/>
  <c r="P335" i="28"/>
  <c r="K335" i="28"/>
  <c r="P334" i="28"/>
  <c r="K334" i="28"/>
  <c r="P333" i="28"/>
  <c r="K333" i="28"/>
  <c r="P332" i="28"/>
  <c r="K332" i="28"/>
  <c r="P331" i="28"/>
  <c r="K331" i="28"/>
  <c r="P330" i="28"/>
  <c r="K330" i="28"/>
  <c r="P329" i="28"/>
  <c r="K329" i="28"/>
  <c r="P328" i="28"/>
  <c r="K328" i="28"/>
  <c r="P327" i="28"/>
  <c r="K327" i="28"/>
  <c r="P326" i="28"/>
  <c r="K326" i="28"/>
  <c r="P325" i="28"/>
  <c r="K325" i="28"/>
  <c r="P324" i="28"/>
  <c r="K324" i="28"/>
  <c r="P323" i="28"/>
  <c r="K323" i="28"/>
  <c r="P322" i="28"/>
  <c r="K322" i="28"/>
  <c r="P321" i="28"/>
  <c r="K321" i="28"/>
  <c r="P320" i="28"/>
  <c r="K320" i="28"/>
  <c r="P319" i="28"/>
  <c r="K319" i="28"/>
  <c r="P318" i="28"/>
  <c r="K318" i="28"/>
  <c r="P317" i="28"/>
  <c r="K317" i="28"/>
  <c r="P316" i="28"/>
  <c r="K316" i="28"/>
  <c r="P315" i="28"/>
  <c r="K315" i="28"/>
  <c r="P314" i="28"/>
  <c r="K314" i="28"/>
  <c r="P313" i="28"/>
  <c r="K313" i="28"/>
  <c r="P312" i="28"/>
  <c r="K312" i="28"/>
  <c r="P311" i="28"/>
  <c r="K311" i="28"/>
  <c r="P309" i="28"/>
  <c r="K309" i="28"/>
  <c r="P308" i="28"/>
  <c r="K308" i="28"/>
  <c r="P307" i="28"/>
  <c r="K307" i="28"/>
  <c r="P306" i="28"/>
  <c r="K306" i="28"/>
  <c r="P305" i="28"/>
  <c r="K305" i="28"/>
  <c r="P304" i="28"/>
  <c r="K304" i="28"/>
  <c r="P303" i="28"/>
  <c r="K303" i="28"/>
  <c r="P302" i="28"/>
  <c r="K302" i="28"/>
  <c r="P301" i="28"/>
  <c r="K301" i="28"/>
  <c r="P300" i="28"/>
  <c r="K300" i="28"/>
  <c r="P299" i="28"/>
  <c r="K299" i="28"/>
  <c r="P298" i="28"/>
  <c r="K298" i="28"/>
  <c r="P297" i="28"/>
  <c r="K297" i="28"/>
  <c r="P296" i="28"/>
  <c r="K296" i="28"/>
  <c r="P295" i="28"/>
  <c r="K295" i="28"/>
  <c r="P294" i="28"/>
  <c r="K294" i="28"/>
  <c r="P293" i="28"/>
  <c r="K293" i="28"/>
  <c r="P292" i="28"/>
  <c r="K292" i="28"/>
  <c r="P291" i="28"/>
  <c r="K291" i="28"/>
  <c r="P290" i="28"/>
  <c r="K290" i="28"/>
  <c r="P289" i="28"/>
  <c r="K289" i="28"/>
  <c r="P287" i="28"/>
  <c r="K287" i="28"/>
  <c r="P286" i="28"/>
  <c r="K286" i="28"/>
  <c r="P285" i="28"/>
  <c r="K285" i="28"/>
  <c r="P284" i="28"/>
  <c r="K284" i="28"/>
  <c r="P283" i="28"/>
  <c r="K283" i="28"/>
  <c r="P282" i="28"/>
  <c r="K282" i="28"/>
  <c r="P281" i="28"/>
  <c r="K281" i="28"/>
  <c r="P280" i="28"/>
  <c r="K280" i="28"/>
  <c r="P279" i="28"/>
  <c r="K279" i="28"/>
  <c r="P278" i="28"/>
  <c r="K278" i="28"/>
  <c r="P277" i="28"/>
  <c r="K277" i="28"/>
  <c r="P276" i="28"/>
  <c r="K276" i="28"/>
  <c r="P275" i="28"/>
  <c r="K275" i="28"/>
  <c r="P274" i="28"/>
  <c r="K274" i="28"/>
  <c r="P273" i="28"/>
  <c r="K273" i="28"/>
  <c r="P272" i="28"/>
  <c r="K272" i="28"/>
  <c r="P271" i="28"/>
  <c r="K271" i="28"/>
  <c r="P270" i="28"/>
  <c r="K270" i="28"/>
  <c r="P269" i="28"/>
  <c r="K269" i="28"/>
  <c r="P268" i="28"/>
  <c r="K268" i="28"/>
  <c r="P267" i="28"/>
  <c r="K267" i="28"/>
  <c r="P266" i="28"/>
  <c r="K266" i="28"/>
  <c r="P265" i="28"/>
  <c r="K265" i="28"/>
  <c r="P264" i="28"/>
  <c r="K264" i="28"/>
  <c r="P263" i="28"/>
  <c r="K263" i="28"/>
  <c r="P262" i="28"/>
  <c r="P260" i="28"/>
  <c r="P259" i="28"/>
  <c r="P258" i="28"/>
  <c r="P256" i="28"/>
  <c r="K256" i="28"/>
  <c r="P255" i="28"/>
  <c r="K255" i="28"/>
  <c r="P254" i="28"/>
  <c r="K254" i="28"/>
  <c r="P253" i="28"/>
  <c r="K253" i="28"/>
  <c r="P252" i="28"/>
  <c r="K252" i="28"/>
  <c r="P251" i="28"/>
  <c r="K251" i="28"/>
  <c r="P249" i="28"/>
  <c r="K249" i="28"/>
  <c r="P248" i="28"/>
  <c r="K248" i="28"/>
  <c r="N245" i="28"/>
  <c r="M245" i="28"/>
  <c r="L245" i="28"/>
  <c r="P244" i="28"/>
  <c r="K244" i="28"/>
  <c r="P243" i="28"/>
  <c r="K243" i="28"/>
  <c r="P242" i="28"/>
  <c r="K242" i="28"/>
  <c r="P241" i="28"/>
  <c r="K241" i="28"/>
  <c r="P240" i="28"/>
  <c r="K240" i="28"/>
  <c r="P239" i="28"/>
  <c r="K239" i="28"/>
  <c r="N236" i="28"/>
  <c r="M236" i="28"/>
  <c r="L236" i="28"/>
  <c r="P235" i="28"/>
  <c r="K235" i="28"/>
  <c r="P234" i="28"/>
  <c r="K234" i="28"/>
  <c r="P233" i="28"/>
  <c r="K233" i="28"/>
  <c r="P232" i="28"/>
  <c r="K232" i="28"/>
  <c r="P231" i="28"/>
  <c r="K231" i="28"/>
  <c r="P230" i="28"/>
  <c r="K230" i="28"/>
  <c r="P229" i="28"/>
  <c r="K229" i="28"/>
  <c r="P228" i="28"/>
  <c r="K228" i="28"/>
  <c r="P226" i="28"/>
  <c r="K226" i="28"/>
  <c r="P225" i="28"/>
  <c r="K225" i="28"/>
  <c r="P224" i="28"/>
  <c r="K224" i="28"/>
  <c r="P223" i="28"/>
  <c r="K223" i="28"/>
  <c r="P221" i="28"/>
  <c r="K221" i="28"/>
  <c r="P220" i="28"/>
  <c r="K220" i="28"/>
  <c r="P219" i="28"/>
  <c r="K219" i="28"/>
  <c r="P217" i="28"/>
  <c r="K217" i="28"/>
  <c r="P216" i="28"/>
  <c r="K216" i="28"/>
  <c r="P215" i="28"/>
  <c r="K215" i="28"/>
  <c r="P214" i="28"/>
  <c r="K214" i="28"/>
  <c r="P213" i="28"/>
  <c r="K213" i="28"/>
  <c r="P212" i="28"/>
  <c r="K212" i="28"/>
  <c r="P211" i="28"/>
  <c r="K211" i="28"/>
  <c r="P210" i="28"/>
  <c r="K210" i="28"/>
  <c r="P208" i="28"/>
  <c r="K208" i="28"/>
  <c r="P207" i="28"/>
  <c r="K207" i="28"/>
  <c r="P206" i="28"/>
  <c r="K206" i="28"/>
  <c r="P205" i="28"/>
  <c r="K205" i="28"/>
  <c r="P203" i="28"/>
  <c r="K203" i="28"/>
  <c r="P202" i="28"/>
  <c r="K202" i="28"/>
  <c r="P201" i="28"/>
  <c r="K201" i="28"/>
  <c r="P200" i="28"/>
  <c r="K200" i="28"/>
  <c r="P199" i="28"/>
  <c r="K199" i="28"/>
  <c r="P198" i="28"/>
  <c r="K198" i="28"/>
  <c r="P197" i="28"/>
  <c r="K197" i="28"/>
  <c r="P196" i="28"/>
  <c r="K196" i="28"/>
  <c r="P195" i="28"/>
  <c r="K195" i="28"/>
  <c r="P194" i="28"/>
  <c r="K194" i="28"/>
  <c r="P193" i="28"/>
  <c r="K193" i="28"/>
  <c r="P192" i="28"/>
  <c r="K192" i="28"/>
  <c r="P191" i="28"/>
  <c r="K191" i="28"/>
  <c r="P190" i="28"/>
  <c r="K190" i="28"/>
  <c r="P189" i="28"/>
  <c r="K189" i="28"/>
  <c r="P188" i="28"/>
  <c r="K188" i="28"/>
  <c r="P187" i="28"/>
  <c r="K187" i="28"/>
  <c r="P186" i="28"/>
  <c r="K186" i="28"/>
  <c r="N183" i="28"/>
  <c r="M183" i="28"/>
  <c r="L183" i="28"/>
  <c r="P182" i="28"/>
  <c r="K182" i="28"/>
  <c r="P180" i="28"/>
  <c r="K180" i="28"/>
  <c r="P179" i="28"/>
  <c r="K179" i="28"/>
  <c r="P177" i="28"/>
  <c r="K177" i="28"/>
  <c r="P176" i="28"/>
  <c r="K176" i="28"/>
  <c r="P175" i="28"/>
  <c r="K175" i="28"/>
  <c r="P174" i="28"/>
  <c r="K174" i="28"/>
  <c r="P173" i="28"/>
  <c r="K173" i="28"/>
  <c r="P172" i="28"/>
  <c r="K172" i="28"/>
  <c r="P170" i="28"/>
  <c r="K170" i="28"/>
  <c r="P169" i="28"/>
  <c r="K169" i="28"/>
  <c r="P167" i="28"/>
  <c r="K167" i="28"/>
  <c r="P166" i="28"/>
  <c r="K166" i="28"/>
  <c r="P165" i="28"/>
  <c r="K165" i="28"/>
  <c r="P164" i="28"/>
  <c r="K164" i="28"/>
  <c r="P162" i="28"/>
  <c r="K162" i="28"/>
  <c r="P161" i="28"/>
  <c r="K161" i="28"/>
  <c r="P159" i="28"/>
  <c r="K159" i="28"/>
  <c r="P158" i="28"/>
  <c r="K158" i="28"/>
  <c r="P157" i="28"/>
  <c r="K157" i="28"/>
  <c r="N152" i="28"/>
  <c r="M152" i="28"/>
  <c r="L152" i="28"/>
  <c r="P151" i="28"/>
  <c r="K151" i="28"/>
  <c r="P149" i="28"/>
  <c r="K149" i="28"/>
  <c r="P148" i="28"/>
  <c r="K148" i="28"/>
  <c r="P147" i="28"/>
  <c r="K147" i="28"/>
  <c r="P146" i="28"/>
  <c r="K146" i="28"/>
  <c r="P145" i="28"/>
  <c r="K145" i="28"/>
  <c r="P144" i="28"/>
  <c r="K144" i="28"/>
  <c r="N141" i="28"/>
  <c r="M141" i="28"/>
  <c r="L141" i="28"/>
  <c r="P140" i="28"/>
  <c r="P139" i="28"/>
  <c r="P138" i="28"/>
  <c r="P137" i="28"/>
  <c r="K137" i="28"/>
  <c r="P136" i="28"/>
  <c r="K136" i="28"/>
  <c r="P135" i="28"/>
  <c r="K135" i="28"/>
  <c r="P134" i="28"/>
  <c r="K134" i="28"/>
  <c r="P133" i="28"/>
  <c r="K133" i="28"/>
  <c r="P132" i="28"/>
  <c r="K132" i="28"/>
  <c r="P131" i="28"/>
  <c r="K131" i="28"/>
  <c r="P130" i="28"/>
  <c r="K130" i="28"/>
  <c r="P129" i="28"/>
  <c r="K129" i="28"/>
  <c r="P128" i="28"/>
  <c r="K128" i="28"/>
  <c r="K127" i="28"/>
  <c r="P125" i="28"/>
  <c r="K125" i="28"/>
  <c r="P124" i="28"/>
  <c r="K124" i="28"/>
  <c r="P123" i="28"/>
  <c r="K123" i="28"/>
  <c r="P121" i="28"/>
  <c r="K121" i="28"/>
  <c r="P120" i="28"/>
  <c r="K120" i="28"/>
  <c r="P119" i="28"/>
  <c r="K119" i="28"/>
  <c r="P118" i="28"/>
  <c r="K118" i="28"/>
  <c r="P117" i="28"/>
  <c r="K117" i="28"/>
  <c r="P116" i="28"/>
  <c r="K116" i="28"/>
  <c r="P115" i="28"/>
  <c r="K115" i="28"/>
  <c r="P114" i="28"/>
  <c r="K114" i="28"/>
  <c r="P113" i="28"/>
  <c r="K113" i="28"/>
  <c r="P112" i="28"/>
  <c r="K112" i="28"/>
  <c r="P110" i="28"/>
  <c r="K110" i="28"/>
  <c r="N107" i="28"/>
  <c r="M107" i="28"/>
  <c r="L107" i="28"/>
  <c r="P106" i="28"/>
  <c r="K106" i="28"/>
  <c r="P105" i="28"/>
  <c r="K105" i="28"/>
  <c r="P104" i="28"/>
  <c r="K104" i="28"/>
  <c r="P103" i="28"/>
  <c r="K103" i="28"/>
  <c r="P102" i="28"/>
  <c r="K102" i="28"/>
  <c r="P101" i="28"/>
  <c r="K101" i="28"/>
  <c r="P100" i="28"/>
  <c r="K100" i="28"/>
  <c r="P99" i="28"/>
  <c r="K99" i="28"/>
  <c r="P97" i="28"/>
  <c r="K97" i="28"/>
  <c r="P96" i="28"/>
  <c r="P95" i="28"/>
  <c r="K95" i="28"/>
  <c r="P94" i="28"/>
  <c r="K94" i="28"/>
  <c r="P92" i="28"/>
  <c r="K92" i="28"/>
  <c r="P91" i="28"/>
  <c r="K91" i="28"/>
  <c r="P90" i="28"/>
  <c r="K90" i="28"/>
  <c r="P88" i="28"/>
  <c r="K88" i="28"/>
  <c r="P87" i="28"/>
  <c r="K87" i="28"/>
  <c r="P86" i="28"/>
  <c r="K86" i="28"/>
  <c r="P85" i="28"/>
  <c r="K85" i="28"/>
  <c r="P84" i="28"/>
  <c r="K84" i="28"/>
  <c r="P83" i="28"/>
  <c r="K83" i="28"/>
  <c r="P82" i="28"/>
  <c r="K82" i="28"/>
  <c r="P81" i="28"/>
  <c r="K81" i="28"/>
  <c r="P79" i="28"/>
  <c r="K79" i="28"/>
  <c r="P78" i="28"/>
  <c r="K78" i="28"/>
  <c r="P77" i="28"/>
  <c r="K77" i="28"/>
  <c r="P76" i="28"/>
  <c r="K76" i="28"/>
  <c r="P74" i="28"/>
  <c r="K74" i="28"/>
  <c r="P73" i="28"/>
  <c r="K73" i="28"/>
  <c r="P72" i="28"/>
  <c r="K72" i="28"/>
  <c r="P71" i="28"/>
  <c r="K71" i="28"/>
  <c r="P70" i="28"/>
  <c r="K70" i="28"/>
  <c r="P69" i="28"/>
  <c r="K69" i="28"/>
  <c r="P68" i="28"/>
  <c r="K68" i="28"/>
  <c r="P67" i="28"/>
  <c r="K67" i="28"/>
  <c r="P66" i="28"/>
  <c r="K66" i="28"/>
  <c r="P65" i="28"/>
  <c r="K65" i="28"/>
  <c r="P64" i="28"/>
  <c r="K64" i="28"/>
  <c r="P63" i="28"/>
  <c r="K63" i="28"/>
  <c r="P62" i="28"/>
  <c r="K62" i="28"/>
  <c r="P61" i="28"/>
  <c r="K61" i="28"/>
  <c r="P60" i="28"/>
  <c r="K60" i="28"/>
  <c r="P59" i="28"/>
  <c r="K59" i="28"/>
  <c r="P58" i="28"/>
  <c r="K58" i="28"/>
  <c r="P57" i="28"/>
  <c r="K57" i="28"/>
  <c r="N54" i="28"/>
  <c r="M54" i="28"/>
  <c r="L54" i="28"/>
  <c r="P53" i="28"/>
  <c r="K53" i="28"/>
  <c r="P51" i="28"/>
  <c r="K51" i="28"/>
  <c r="P50" i="28"/>
  <c r="K50" i="28"/>
  <c r="P48" i="28"/>
  <c r="K48" i="28"/>
  <c r="P47" i="28"/>
  <c r="K47" i="28"/>
  <c r="P46" i="28"/>
  <c r="K46" i="28"/>
  <c r="P45" i="28"/>
  <c r="K45" i="28"/>
  <c r="P44" i="28"/>
  <c r="K44" i="28"/>
  <c r="P43" i="28"/>
  <c r="K43" i="28"/>
  <c r="P41" i="28"/>
  <c r="K41" i="28"/>
  <c r="P40" i="28"/>
  <c r="K40" i="28"/>
  <c r="P38" i="28"/>
  <c r="K38" i="28"/>
  <c r="P37" i="28"/>
  <c r="K37" i="28"/>
  <c r="P36" i="28"/>
  <c r="K36" i="28"/>
  <c r="P35" i="28"/>
  <c r="K35" i="28"/>
  <c r="P33" i="28"/>
  <c r="K33" i="28"/>
  <c r="P32" i="28"/>
  <c r="K32" i="28"/>
  <c r="P30" i="28"/>
  <c r="K30" i="28"/>
  <c r="P29" i="28"/>
  <c r="K29" i="28"/>
  <c r="P28" i="28"/>
  <c r="K28" i="28"/>
  <c r="S105" i="31"/>
  <c r="R105" i="31"/>
  <c r="Q105" i="31"/>
  <c r="N25" i="28"/>
  <c r="M25" i="28"/>
  <c r="L25" i="28"/>
  <c r="P24" i="28"/>
  <c r="K24" i="28"/>
  <c r="P23" i="28"/>
  <c r="K23" i="28"/>
  <c r="P22" i="28"/>
  <c r="K22" i="28"/>
  <c r="P20" i="28"/>
  <c r="K20" i="28"/>
  <c r="P19" i="28"/>
  <c r="K19" i="28"/>
  <c r="P17" i="28"/>
  <c r="K17" i="28"/>
  <c r="K16" i="28"/>
  <c r="P14" i="28"/>
  <c r="K14" i="28"/>
  <c r="K13" i="28"/>
  <c r="K45" i="31" l="1"/>
  <c r="J16" i="30"/>
  <c r="K428" i="28"/>
  <c r="K520" i="28"/>
  <c r="P236" i="28"/>
  <c r="P245" i="28"/>
  <c r="P428" i="28"/>
  <c r="K28" i="31"/>
  <c r="P152" i="28"/>
  <c r="P183" i="28"/>
  <c r="L528" i="28"/>
  <c r="L542" i="28" s="1"/>
  <c r="P54" i="28"/>
  <c r="K152" i="28"/>
  <c r="K183" i="28"/>
  <c r="K245" i="28"/>
  <c r="P536" i="28"/>
  <c r="K236" i="28"/>
  <c r="P442" i="28"/>
  <c r="P461" i="28"/>
  <c r="P499" i="28"/>
  <c r="P520" i="28"/>
  <c r="N528" i="28"/>
  <c r="N542" i="28" s="1"/>
  <c r="O32" i="30"/>
  <c r="J29" i="30"/>
  <c r="P33" i="30"/>
  <c r="K23" i="31"/>
  <c r="K37" i="31"/>
  <c r="K48" i="31"/>
  <c r="K27" i="30"/>
  <c r="M469" i="28"/>
  <c r="K468" i="28"/>
  <c r="M528" i="28"/>
  <c r="M542" i="28" s="1"/>
  <c r="K479" i="28"/>
  <c r="K536" i="28"/>
  <c r="P491" i="28"/>
  <c r="K491" i="28"/>
  <c r="P421" i="28"/>
  <c r="K421" i="28"/>
  <c r="P141" i="28"/>
  <c r="P107" i="28"/>
  <c r="K107" i="28"/>
  <c r="K54" i="28"/>
  <c r="P25" i="28"/>
  <c r="P105" i="31" s="1"/>
  <c r="K25" i="28"/>
  <c r="U25" i="28" s="1"/>
  <c r="K484" i="28"/>
  <c r="K527" i="28"/>
  <c r="P547" i="28"/>
  <c r="P484" i="28"/>
  <c r="P527" i="28"/>
  <c r="L505" i="28"/>
  <c r="P479" i="28"/>
  <c r="P468" i="28"/>
  <c r="L469" i="28"/>
  <c r="K461" i="28"/>
  <c r="N505" i="28"/>
  <c r="K442" i="28"/>
  <c r="N443" i="28"/>
  <c r="L443" i="28"/>
  <c r="M443" i="28"/>
  <c r="K141" i="28"/>
  <c r="U141" i="28" s="1"/>
  <c r="N153" i="28"/>
  <c r="L153" i="28"/>
  <c r="M153" i="28"/>
  <c r="K31" i="31"/>
  <c r="Q33" i="30"/>
  <c r="M30" i="30"/>
  <c r="J20" i="30"/>
  <c r="J21" i="30" s="1"/>
  <c r="O29" i="30"/>
  <c r="P48" i="31"/>
  <c r="K16" i="31"/>
  <c r="K42" i="31"/>
  <c r="K30" i="30"/>
  <c r="P30" i="30"/>
  <c r="O30" i="30" s="1"/>
  <c r="L30" i="30"/>
  <c r="L21" i="30"/>
  <c r="L27" i="30" s="1"/>
  <c r="M21" i="30"/>
  <c r="M27" i="30" s="1"/>
  <c r="N469" i="28"/>
  <c r="M505" i="28"/>
  <c r="K498" i="28"/>
  <c r="K499" i="28" s="1"/>
  <c r="U152" i="28" l="1"/>
  <c r="N545" i="28"/>
  <c r="M32" i="30" s="1"/>
  <c r="M33" i="30" s="1"/>
  <c r="H11" i="30"/>
  <c r="H16" i="30" s="1"/>
  <c r="H27" i="30" s="1"/>
  <c r="I545" i="28" s="1"/>
  <c r="I547" i="28" s="1"/>
  <c r="I548" i="28" s="1"/>
  <c r="I551" i="28" s="1"/>
  <c r="M545" i="28"/>
  <c r="M547" i="28" s="1"/>
  <c r="G11" i="30"/>
  <c r="G16" i="30" s="1"/>
  <c r="G27" i="30" s="1"/>
  <c r="H545" i="28" s="1"/>
  <c r="L545" i="28"/>
  <c r="K32" i="30" s="1"/>
  <c r="K33" i="30" s="1"/>
  <c r="F11" i="30"/>
  <c r="U245" i="28"/>
  <c r="K443" i="28"/>
  <c r="U421" i="28"/>
  <c r="U107" i="28"/>
  <c r="U54" i="28"/>
  <c r="N547" i="28"/>
  <c r="P528" i="28"/>
  <c r="P542" i="28" s="1"/>
  <c r="K528" i="28"/>
  <c r="O33" i="30"/>
  <c r="L47" i="31"/>
  <c r="P469" i="28"/>
  <c r="K469" i="28"/>
  <c r="P505" i="28"/>
  <c r="P443" i="28"/>
  <c r="N47" i="31"/>
  <c r="J27" i="30"/>
  <c r="M543" i="28"/>
  <c r="N543" i="28"/>
  <c r="K542" i="28"/>
  <c r="M444" i="28"/>
  <c r="P153" i="28"/>
  <c r="K153" i="28"/>
  <c r="K505" i="28"/>
  <c r="L543" i="28"/>
  <c r="L444" i="28"/>
  <c r="N444" i="28"/>
  <c r="J30" i="30"/>
  <c r="K24" i="31"/>
  <c r="K43" i="31"/>
  <c r="K32" i="31"/>
  <c r="N105" i="31" l="1"/>
  <c r="I45" i="31"/>
  <c r="I47" i="31" s="1"/>
  <c r="I109" i="31" s="1"/>
  <c r="L547" i="28"/>
  <c r="L105" i="31"/>
  <c r="G45" i="31"/>
  <c r="L32" i="30"/>
  <c r="L33" i="30" s="1"/>
  <c r="J33" i="30" s="1"/>
  <c r="N548" i="28"/>
  <c r="N551" i="28" s="1"/>
  <c r="K545" i="28"/>
  <c r="K547" i="28" s="1"/>
  <c r="H547" i="28"/>
  <c r="H548" i="28" s="1"/>
  <c r="H551" i="28" s="1"/>
  <c r="F16" i="30"/>
  <c r="F27" i="30" s="1"/>
  <c r="E11" i="30"/>
  <c r="E16" i="30" s="1"/>
  <c r="E27" i="30" s="1"/>
  <c r="U443" i="28"/>
  <c r="U153" i="28"/>
  <c r="M548" i="28"/>
  <c r="M551" i="28" s="1"/>
  <c r="K543" i="28"/>
  <c r="P543" i="28"/>
  <c r="P548" i="28" s="1"/>
  <c r="P444" i="28"/>
  <c r="L548" i="28"/>
  <c r="L551" i="28" s="1"/>
  <c r="K444" i="28"/>
  <c r="R51" i="31"/>
  <c r="R49" i="31"/>
  <c r="K44" i="31"/>
  <c r="N49" i="31"/>
  <c r="N51" i="31"/>
  <c r="P551" i="28" l="1"/>
  <c r="F45" i="31"/>
  <c r="G47" i="31"/>
  <c r="J32" i="30"/>
  <c r="G545" i="28"/>
  <c r="G547" i="28" s="1"/>
  <c r="G548" i="28" s="1"/>
  <c r="G551" i="28" s="1"/>
  <c r="U444" i="28"/>
  <c r="P549" i="28"/>
  <c r="M51" i="31"/>
  <c r="M105" i="31"/>
  <c r="K548" i="28"/>
  <c r="M49" i="31"/>
  <c r="S51" i="31"/>
  <c r="S49" i="31"/>
  <c r="K47" i="31"/>
  <c r="K105" i="31" s="1"/>
  <c r="L51" i="31"/>
  <c r="L49" i="31"/>
  <c r="Q51" i="31"/>
  <c r="Q49" i="31"/>
  <c r="G109" i="31" l="1"/>
  <c r="F47" i="31"/>
  <c r="F545" i="28"/>
  <c r="F547" i="28" s="1"/>
  <c r="F548" i="28" s="1"/>
  <c r="F551" i="28" s="1"/>
  <c r="K549" i="28"/>
  <c r="K551" i="28"/>
  <c r="K560" i="28"/>
  <c r="P49" i="31"/>
  <c r="P51" i="31"/>
  <c r="K49" i="31"/>
  <c r="K51"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james</author>
  </authors>
  <commentList>
    <comment ref="C92" authorId="0" shapeId="0" xr:uid="{00000000-0006-0000-0400-000001000000}">
      <text>
        <r>
          <rPr>
            <b/>
            <sz val="9"/>
            <color indexed="81"/>
            <rFont val="Tahoma"/>
            <family val="2"/>
          </rPr>
          <t>james:</t>
        </r>
        <r>
          <rPr>
            <sz val="9"/>
            <color indexed="81"/>
            <rFont val="Tahoma"/>
            <family val="2"/>
          </rPr>
          <t xml:space="preserve">
- aid to brgys
- Confidential Fund
- 2% EME
- MPBF
- Subsidy to Econ. Enterprise</t>
        </r>
      </text>
    </comment>
  </commentList>
</comments>
</file>

<file path=xl/sharedStrings.xml><?xml version="1.0" encoding="utf-8"?>
<sst xmlns="http://schemas.openxmlformats.org/spreadsheetml/2006/main" count="2445" uniqueCount="1378">
  <si>
    <t>Sports Equipment</t>
  </si>
  <si>
    <t>TOTAL</t>
  </si>
  <si>
    <t>Communication Equipment</t>
  </si>
  <si>
    <t>Office Equipment</t>
  </si>
  <si>
    <t xml:space="preserve"> </t>
  </si>
  <si>
    <t>CITY GOVERNMENT OF PANABO</t>
  </si>
  <si>
    <t>PARTICULARS</t>
  </si>
  <si>
    <t>GF</t>
  </si>
  <si>
    <t>SEF</t>
  </si>
  <si>
    <t>TF</t>
  </si>
  <si>
    <t>ASSETS</t>
  </si>
  <si>
    <t>CURRENT ASSETS</t>
  </si>
  <si>
    <t>CASH AND CASH EQUIVALENTS</t>
  </si>
  <si>
    <t>Cash on Hand</t>
  </si>
  <si>
    <t>Cash Local Treasury</t>
  </si>
  <si>
    <t>Petty Cash</t>
  </si>
  <si>
    <t>Cash in Bank-Local Currency</t>
  </si>
  <si>
    <t>Cash in Bank -Local Currency, Current Account</t>
  </si>
  <si>
    <t>Cash in Bank -Local Currency, Savings Account</t>
  </si>
  <si>
    <t>Cash in Bank- Foreign Currency</t>
  </si>
  <si>
    <t>Cash in Bank - Foreign Currency, Current Account</t>
  </si>
  <si>
    <t>Cash in Bank - Foreign Currency, Savings Account</t>
  </si>
  <si>
    <t>Cash in Bank - Local Currency, Time Deposits</t>
  </si>
  <si>
    <t>Cash in Bank - Foreign Currency, Time Deposits</t>
  </si>
  <si>
    <t>Treasury Bills</t>
  </si>
  <si>
    <t>Total Cash and Cash Equivalent</t>
  </si>
  <si>
    <t>INVESTMENTS</t>
  </si>
  <si>
    <t>Financial Assets at Fair Value through Surplus or Deficit</t>
  </si>
  <si>
    <t>Financial Assets Held for Trading</t>
  </si>
  <si>
    <t>Financial Assets Designated at Fair Value through Surplus or Deficit</t>
  </si>
  <si>
    <t>Financial Assets - Held to Maturity</t>
  </si>
  <si>
    <t>Investment in Treasury Bills - Local</t>
  </si>
  <si>
    <t>Allowance for Impairment - Investment in Treasury Bills - Local</t>
  </si>
  <si>
    <t>Investment in Bonds - Local</t>
  </si>
  <si>
    <t>Allowance for Impairment - Investment in Bonds - Local</t>
  </si>
  <si>
    <t>Financial Assets - Available for Sale</t>
  </si>
  <si>
    <t>Investments in Stocks</t>
  </si>
  <si>
    <t>Investments in Bonds</t>
  </si>
  <si>
    <t>Financial Assets - Others</t>
  </si>
  <si>
    <t>Deposits on Letters of Credit</t>
  </si>
  <si>
    <t>Allowance for Impairment - Deposit on Letter of Credit</t>
  </si>
  <si>
    <t>Guaranty Deposits</t>
  </si>
  <si>
    <t>Allowance for Impairment - Guaranty Deposits</t>
  </si>
  <si>
    <t>Other Investments</t>
  </si>
  <si>
    <t>Allowance for Impairment - Other Investments</t>
  </si>
  <si>
    <t>Investments in Joint Venture</t>
  </si>
  <si>
    <t>Allowance for Impairment - Investments in Joint Venture</t>
  </si>
  <si>
    <t>Sinking Fund</t>
  </si>
  <si>
    <t>Total Investments</t>
  </si>
  <si>
    <t xml:space="preserve">RECEIVABLES </t>
  </si>
  <si>
    <t>Loans and Receivable Accounts</t>
  </si>
  <si>
    <t>Accounts Receivable</t>
  </si>
  <si>
    <t xml:space="preserve">Allowance for Impairment - Accounts Receivable </t>
  </si>
  <si>
    <t>Real Property Tax Receivable</t>
  </si>
  <si>
    <t xml:space="preserve">Allowance for Impairment - RPT Receivable </t>
  </si>
  <si>
    <t>Special Education  Tax Receivable</t>
  </si>
  <si>
    <t xml:space="preserve">Allowance for Impairment - SET Receivable </t>
  </si>
  <si>
    <t>Notes Receivable</t>
  </si>
  <si>
    <t xml:space="preserve">Allowance for Impairment - Notes Receivable </t>
  </si>
  <si>
    <t>Loans Receivable-GOCCs</t>
  </si>
  <si>
    <t xml:space="preserve">Allowance for Impairment - Loans Receivable-GOCCs </t>
  </si>
  <si>
    <t>Loans Receivable-LGUs</t>
  </si>
  <si>
    <t xml:space="preserve">Allowance for Impairment - Loans Receivable-LGUs </t>
  </si>
  <si>
    <t>Interests Receivable</t>
  </si>
  <si>
    <t>Allowance for Impairment - Interests Receivable</t>
  </si>
  <si>
    <t>Dividends Recievable</t>
  </si>
  <si>
    <t>Allowance for Impairment - Dividends Receivable</t>
  </si>
  <si>
    <t>Loans Receivables-Others</t>
  </si>
  <si>
    <t>Allowance for Impairment - Loans Receivable-Others</t>
  </si>
  <si>
    <t>Lease Receivables</t>
  </si>
  <si>
    <t>Operating Lease Receivable</t>
  </si>
  <si>
    <t xml:space="preserve">Allowance for Impairment - Operating Lease Receivable </t>
  </si>
  <si>
    <t>Finance Lease Receivable</t>
  </si>
  <si>
    <t xml:space="preserve">Allowance for Impairment - Finance Lease Receivable </t>
  </si>
  <si>
    <t>Inter-Agency Receivables</t>
  </si>
  <si>
    <t>Due from NGAs</t>
  </si>
  <si>
    <t>Allowance for Impairment - Due from NGAs</t>
  </si>
  <si>
    <t>Due from GOCCs</t>
  </si>
  <si>
    <t>Allowance for Impairment - Due from GOCCs</t>
  </si>
  <si>
    <t>Due from  LGUs</t>
  </si>
  <si>
    <t>Allowance for Impairment - Due from LGUs</t>
  </si>
  <si>
    <t>Due from Joint Venture</t>
  </si>
  <si>
    <t>Allowance for Impairment - Due from Joint Venture</t>
  </si>
  <si>
    <t>Intra-Agency Receivables</t>
  </si>
  <si>
    <t>Due from Other Funds</t>
  </si>
  <si>
    <t>Due from Special Accounts</t>
  </si>
  <si>
    <t>Due from Local Economic Enterprise</t>
  </si>
  <si>
    <t>Advances</t>
  </si>
  <si>
    <t>Advances for Operating Expenses</t>
  </si>
  <si>
    <t>Advances for Payroll</t>
  </si>
  <si>
    <t>Advances to Special Disbursing Officer</t>
  </si>
  <si>
    <t>Advances to Officers and Employees</t>
  </si>
  <si>
    <t>Other Receivables</t>
  </si>
  <si>
    <t xml:space="preserve">Receivables - Disallowances/Charges </t>
  </si>
  <si>
    <t>Allowance for Impairment - Receivables-Disallowances/Charges</t>
  </si>
  <si>
    <t>Due from Officers and Employees</t>
  </si>
  <si>
    <t>Allowance for Impairment - Due from Officers and Employees</t>
  </si>
  <si>
    <t>Due from NGOs/POs</t>
  </si>
  <si>
    <t>Allowance for Impairment - Due from NGOs/POs</t>
  </si>
  <si>
    <t>Allowance for Impairment - Other Receivables</t>
  </si>
  <si>
    <t>Total Receivables</t>
  </si>
  <si>
    <t>INVENTORIES</t>
  </si>
  <si>
    <t>Inventory Held for Sale</t>
  </si>
  <si>
    <t>Merchandise Inventory</t>
  </si>
  <si>
    <t>Inventory Held for Distribution</t>
  </si>
  <si>
    <t>Food Supplies for Distribution</t>
  </si>
  <si>
    <t>Welfare Goods for Distribution</t>
  </si>
  <si>
    <t>Drugs and Medicines for Distribution</t>
  </si>
  <si>
    <t>Medical, Dental and Laboratory Supplies for Distribution</t>
  </si>
  <si>
    <t>Agricultural and Marine Supplies for Distribution</t>
  </si>
  <si>
    <t>Agricultural Produce for Distribution</t>
  </si>
  <si>
    <t>Textbooks and Instructional Materials for Distribution</t>
  </si>
  <si>
    <t>Construction Materials for Distribution</t>
  </si>
  <si>
    <t>Property and Equipment for Distribution</t>
  </si>
  <si>
    <t>Other Supplies and Materials for Distribution</t>
  </si>
  <si>
    <t>Inventory Held for Manufacturing</t>
  </si>
  <si>
    <t>Raw Materials Inventory</t>
  </si>
  <si>
    <t>Work-in-Process Inventory</t>
  </si>
  <si>
    <t>Finished Goods Inventory</t>
  </si>
  <si>
    <t>Inventory Held for Consumption</t>
  </si>
  <si>
    <t>Office Supplies Inventory</t>
  </si>
  <si>
    <t>Accountable Forms, Plates and Stickers</t>
  </si>
  <si>
    <t>Non-Accountable Forms Inventory</t>
  </si>
  <si>
    <t>Animal/Zoological Supplies Inventory</t>
  </si>
  <si>
    <t>Food Supplies Inventory</t>
  </si>
  <si>
    <t>Drugs and Medicines Inventory</t>
  </si>
  <si>
    <t>Medical, Dental and Laboratory Supplies Inventory</t>
  </si>
  <si>
    <t>Fuel, Oil and Lubricants Inventory</t>
  </si>
  <si>
    <t>Agricultural and Marine Supplies Inventory</t>
  </si>
  <si>
    <t>Textbooks and Instructional Materials Inventory</t>
  </si>
  <si>
    <t>Military, Police and Traffic Supplies Inventory</t>
  </si>
  <si>
    <t>Chemical and Filtering Supplies Inventory</t>
  </si>
  <si>
    <t>Other Supplies and Materials Inventory</t>
  </si>
  <si>
    <t>Total Inventories</t>
  </si>
  <si>
    <t>PREPAYMENTS and DEFERRED CHARGES</t>
  </si>
  <si>
    <t>Prepayments</t>
  </si>
  <si>
    <t>Advances to Contractors</t>
  </si>
  <si>
    <t>Prepaid Rent</t>
  </si>
  <si>
    <t>Prepaid Registration</t>
  </si>
  <si>
    <t>Prepaid Interest</t>
  </si>
  <si>
    <t>Prepaid Insurance</t>
  </si>
  <si>
    <t>Other Prepayments</t>
  </si>
  <si>
    <t>Deferred Charges</t>
  </si>
  <si>
    <t>Discount on Advance Payments</t>
  </si>
  <si>
    <t>Total Prepayments and Deferred Charges</t>
  </si>
  <si>
    <t>Total Current Assets</t>
  </si>
  <si>
    <t>NON- CURRENT ASSETS</t>
  </si>
  <si>
    <t>Investments in Treasury Bills - Local</t>
  </si>
  <si>
    <t>Allowance for Impairment - Investments in Treasury Bills - Local</t>
  </si>
  <si>
    <t>Allowance for Impairment - Investments in Bonds - Local</t>
  </si>
  <si>
    <t xml:space="preserve">Investments in Bonds </t>
  </si>
  <si>
    <t>INVESTMENT PROPERTY</t>
  </si>
  <si>
    <t>Land and Buildings</t>
  </si>
  <si>
    <t>Investment Property, Land</t>
  </si>
  <si>
    <t>Accumulated Impairment Losses-Investment Property, Land</t>
  </si>
  <si>
    <t>Investment Property, Buildings</t>
  </si>
  <si>
    <t>Accumulated Depreciation - Investment Property, Buildings</t>
  </si>
  <si>
    <t>Accumulated Impairment Losses-Investment Property,Buildings</t>
  </si>
  <si>
    <t>Construction in Progress - Investment Property, Buildings</t>
  </si>
  <si>
    <t>Total Investment Property</t>
  </si>
  <si>
    <t xml:space="preserve">PROPERTY, PLANT AND EQUIPMENT       </t>
  </si>
  <si>
    <t>Land</t>
  </si>
  <si>
    <t>Accumulated Impairment Losses-Land</t>
  </si>
  <si>
    <t>Land Improvements</t>
  </si>
  <si>
    <t>Land Improvements. Aquaculture Structures</t>
  </si>
  <si>
    <t xml:space="preserve">Accumulated Depreciation-Land Improvement, Aquaculture Structures </t>
  </si>
  <si>
    <t xml:space="preserve">Accumulated Impairment Losses--Land Improvement, Aquaculture Structures </t>
  </si>
  <si>
    <t>Other Land Improvements</t>
  </si>
  <si>
    <t>Accumulated Depreciation-Other Land Improvements</t>
  </si>
  <si>
    <t>Accumulated Impairment Losses-Other Land Improvements</t>
  </si>
  <si>
    <t>Infrastructure Assets</t>
  </si>
  <si>
    <t>Road Networks</t>
  </si>
  <si>
    <t>Accumulated Depreciation-Road Networks</t>
  </si>
  <si>
    <t>Accumulated Impairment Losses-Road Networks</t>
  </si>
  <si>
    <t>Flood Control Systems</t>
  </si>
  <si>
    <t>Accumulated Depreciation-Flood Control Systems</t>
  </si>
  <si>
    <t>Accumulated Impairment Losses-Flood Control Systems</t>
  </si>
  <si>
    <t>Sewer Systems</t>
  </si>
  <si>
    <t>Accumulated Depreciation-Sewer Systems</t>
  </si>
  <si>
    <t>Accumulated Impairment Losses-Sewer Systems</t>
  </si>
  <si>
    <t>Water Supply Systems</t>
  </si>
  <si>
    <t>Accumulated Depreciation-Water Supply Systems</t>
  </si>
  <si>
    <t>Accumulated Impairment Losses-Water Supply Systems</t>
  </si>
  <si>
    <t>Power Supply Systems</t>
  </si>
  <si>
    <t>Accumulated Depreciation-Power Supply Systems</t>
  </si>
  <si>
    <t>Accumulated Impairment Losses-Power Supply Systems</t>
  </si>
  <si>
    <t>Communication Networks</t>
  </si>
  <si>
    <t>Accumulated Depreciation-Communication Networks</t>
  </si>
  <si>
    <t>Accumulated Impairment Losses-Communication Networks</t>
  </si>
  <si>
    <t>Seaport Systems</t>
  </si>
  <si>
    <t>Accumulated Depreciation-Seaport Systems</t>
  </si>
  <si>
    <t>Accumulated Impairment Losses-Seaport Systems</t>
  </si>
  <si>
    <t>Airport Systems</t>
  </si>
  <si>
    <t>Accumulated Depreciation-Airport Systems</t>
  </si>
  <si>
    <t>Accumulated Impairment Losses-Airport Systems</t>
  </si>
  <si>
    <t>Parks, Plazas and Monuments</t>
  </si>
  <si>
    <t>Accumulated Depreciation-Parks, Plazas and Monuments</t>
  </si>
  <si>
    <t>Accumulated Impairment Losses-Parks, Plazas and Monuments</t>
  </si>
  <si>
    <t>Other Infrastructure Assets</t>
  </si>
  <si>
    <t>Accumulated Depreciation-Other Infrastructure Assets</t>
  </si>
  <si>
    <t>Accumulated Impairment Losses-Other Infrastructure Assets</t>
  </si>
  <si>
    <t>Buildings and Other Structures</t>
  </si>
  <si>
    <t>Buildings</t>
  </si>
  <si>
    <t>Accumulated Depreciation-Buildings</t>
  </si>
  <si>
    <t>Accumulated Impairment Losses-Buildings</t>
  </si>
  <si>
    <t>School Buildings</t>
  </si>
  <si>
    <t>Accumulated Depreciation-School Buildings</t>
  </si>
  <si>
    <t>Accumulated Impairment Losses-School Buildings</t>
  </si>
  <si>
    <t>Hospitals and Health Centers</t>
  </si>
  <si>
    <t>Accumulated Depreciation-Hospitals and Health Centers</t>
  </si>
  <si>
    <t>Accumulated Impairment Losses-Hospitals and Health Centers</t>
  </si>
  <si>
    <t>Markets</t>
  </si>
  <si>
    <t>Accumulated Depreciation-Markets</t>
  </si>
  <si>
    <t>Accumulated Impairment Losses-Markets</t>
  </si>
  <si>
    <t>Slaughterhouses</t>
  </si>
  <si>
    <t>Accumulated Depreciation-Slaughterhouses</t>
  </si>
  <si>
    <t>Accumulated Impairment Losses-Slaughterhouses</t>
  </si>
  <si>
    <t>Hostels and Dormitories</t>
  </si>
  <si>
    <t>Accumulated Depreciation-Hostels and Dormitories</t>
  </si>
  <si>
    <t>Accumulated Impairment Losses-Hostels and Dormitories</t>
  </si>
  <si>
    <t>Other Structures</t>
  </si>
  <si>
    <t>Accumulated Depreciation-Other Structures</t>
  </si>
  <si>
    <t>Accumulated Impairment Losses-Other Structures</t>
  </si>
  <si>
    <t>Machinery and Equipment</t>
  </si>
  <si>
    <t>Machinery</t>
  </si>
  <si>
    <t>Accumulated Depreciation-Machinery</t>
  </si>
  <si>
    <t>Accumulated Impairment Losses-Machinery</t>
  </si>
  <si>
    <t>Accumulated Depreciation-Office Equipment</t>
  </si>
  <si>
    <t>Accumulated Impairment Losses-Office Equipment</t>
  </si>
  <si>
    <t>Information and Communication Technology Equipment</t>
  </si>
  <si>
    <t>Accumulated Depreciation-Information and Communication Technology Equipment</t>
  </si>
  <si>
    <t>Accumulated Impairment Losses-Information and Communication Technology Equipment</t>
  </si>
  <si>
    <t>Agricultural and Forestry Equipment</t>
  </si>
  <si>
    <t>Accumulated Depreciation-Agricultural and Forestry Equipment</t>
  </si>
  <si>
    <t>Accumulated Impairment Losses-Agricultural and Forestry Equipment</t>
  </si>
  <si>
    <t>Marine and Fishery Equipment</t>
  </si>
  <si>
    <t>Accumulated Depreciation-Marine and Fishery Equipment</t>
  </si>
  <si>
    <t>Accumulated Impairment Losses-Marine and Fishery Equipment</t>
  </si>
  <si>
    <t>Airport Equipment</t>
  </si>
  <si>
    <t>Accumulated Depreciation-Airport Equipment</t>
  </si>
  <si>
    <t>Accumulated Impairment Losses-Airport Equipment</t>
  </si>
  <si>
    <t>Accumulated Depreciation-Communication Equipment</t>
  </si>
  <si>
    <t>Accumulated Impairment Losses-Communication Equipment</t>
  </si>
  <si>
    <t>Construction and Heavy Equipment</t>
  </si>
  <si>
    <t>Accumulated Depreciation-Construction and Heavy Equipment</t>
  </si>
  <si>
    <t>Accumulated Impairment Losses-Construction and Heavy Equipment</t>
  </si>
  <si>
    <t>Disaster Response and Rescue Equipment</t>
  </si>
  <si>
    <t>Accumulated Depreciation-Disaster Response and Rescue Equipment</t>
  </si>
  <si>
    <t>Accumulated Impairment Losses-Disaster Response and Rescue Equipment</t>
  </si>
  <si>
    <t>Military, Police and Security Equipment</t>
  </si>
  <si>
    <t>Accumulated Depreciation-Military, Police and Security Equipment</t>
  </si>
  <si>
    <t>Accumulated Impairment Losses-Military, Police and Security Equipment</t>
  </si>
  <si>
    <t>Medical Equipment</t>
  </si>
  <si>
    <t>Accumulated Depreciation-Medical Equipment</t>
  </si>
  <si>
    <t>Accumulated Impairment Losses-Medical Equipment</t>
  </si>
  <si>
    <t>Printing Equipment</t>
  </si>
  <si>
    <t>Accumulated Depreciation-Printing Equipment</t>
  </si>
  <si>
    <t>Accumulated Impairment Losses-Printing Equipment</t>
  </si>
  <si>
    <t>Accumulated Depreciation-Sports Equipment</t>
  </si>
  <si>
    <t>Accumulated Impairment Losses-Sports Equipment</t>
  </si>
  <si>
    <t>Technical and Scientific Equipment</t>
  </si>
  <si>
    <t>Accumulated Depreciation-Technical and Scientific Equipment</t>
  </si>
  <si>
    <t>Accumulated Impairment Losses-Technical and Scientific Equipment</t>
  </si>
  <si>
    <t>Other Machinery and Equipment</t>
  </si>
  <si>
    <t>Accumulated Depreciation-Other Machinery and Equipment</t>
  </si>
  <si>
    <t>Accumulated Impairment Losses-Other Machinery and Equipment</t>
  </si>
  <si>
    <t>Transportation Equipment</t>
  </si>
  <si>
    <t>Motor Vehicles</t>
  </si>
  <si>
    <t>Accumulated Depreciation-Motor Vehicles</t>
  </si>
  <si>
    <t>Accumulated Impairment Losses-Motor Vehicles</t>
  </si>
  <si>
    <t>Trains</t>
  </si>
  <si>
    <t>Accumulated Depreciation-Trains</t>
  </si>
  <si>
    <t>Accumulated Impairment Losses-Trains</t>
  </si>
  <si>
    <t>Aircrafts and Aircrafts Ground Equipment</t>
  </si>
  <si>
    <t>Accumulated Depreciation-Aircrafts and Aircrafts Ground Equipment</t>
  </si>
  <si>
    <t>Accumulated Impairment Losses-Aircrafts and Aircrafts Ground Equipment</t>
  </si>
  <si>
    <t>Watercrafts</t>
  </si>
  <si>
    <t>Accumulated Depreciation-Watercrafts</t>
  </si>
  <si>
    <t>Accumulated Impairment Losses-Watercrafts</t>
  </si>
  <si>
    <t>Other Transportation Equipment</t>
  </si>
  <si>
    <t>Accumulated Depreciation-Other Transportation Equipment</t>
  </si>
  <si>
    <t>Accumulated Impairment Losses-Other Transportation Equipment</t>
  </si>
  <si>
    <t>Furniture, Fixtures and Books</t>
  </si>
  <si>
    <t>Furniture and Fixtures</t>
  </si>
  <si>
    <t>Accumulated Depreciation-Furniture and Fixtures</t>
  </si>
  <si>
    <t>Accumulated Impairment Losses-Furniture and Fixtures</t>
  </si>
  <si>
    <t>Books</t>
  </si>
  <si>
    <t>Accumulated Depreciation-Books</t>
  </si>
  <si>
    <t>Accumulated Impairment Losses-Books</t>
  </si>
  <si>
    <t>Leased Assets</t>
  </si>
  <si>
    <t>Leased Assets, Land</t>
  </si>
  <si>
    <t>Accumulated Impairment Losses-Leased Assets, Land</t>
  </si>
  <si>
    <t>Leased Assets, Buildings and Other Structures</t>
  </si>
  <si>
    <t>Accumulated Depreciation-Leased Assets, Buildings and Other Structures</t>
  </si>
  <si>
    <t>Accumulated Impairment Losses-Leased Assets, Buildings and Other Structures</t>
  </si>
  <si>
    <t>Leased Assets, Machinery and Equipment</t>
  </si>
  <si>
    <t>Accumulated Depreciation-Leased Assets, Machinery and Equipment</t>
  </si>
  <si>
    <t>Accumulated Impairment Losses-Leased Assets, Machinery and Equipment</t>
  </si>
  <si>
    <t>Leased Assets, Transportation Equipment</t>
  </si>
  <si>
    <t>Accumulated Depreciation-Leased Assets,  Transportation Equipment</t>
  </si>
  <si>
    <t>Accumulated Impairment Losses-Leased Assets,  Transportation Equipment</t>
  </si>
  <si>
    <t>Other Leased Assets</t>
  </si>
  <si>
    <t>Accumulated Depreciation-Other Leased Assets</t>
  </si>
  <si>
    <t>Accumulated Impairment Losses-Other Leased Assets</t>
  </si>
  <si>
    <t>Leased Assets Improvements</t>
  </si>
  <si>
    <t xml:space="preserve">Leased Assets Improvements, Land </t>
  </si>
  <si>
    <t>Accumulated Depreciation-Leased Assets Improvements, Land</t>
  </si>
  <si>
    <t>Accumulated Impairment Losses-Leased Assets Improvements, Land</t>
  </si>
  <si>
    <t>Leased Assets Improvements, Buildings</t>
  </si>
  <si>
    <t>Accumulated Depreciation-Leased Assets Improvements, Buildings</t>
  </si>
  <si>
    <t>Accumulated Impairment Losses-Leased Assets Improvements, Buildings</t>
  </si>
  <si>
    <t>Other Leased Assets Improvements</t>
  </si>
  <si>
    <t>Accumulated Depreciation-Other Leased Assets Improvements</t>
  </si>
  <si>
    <t>Accumulated Impairment Losses-Other Leased Assets Improvements</t>
  </si>
  <si>
    <t>Construction in Progress</t>
  </si>
  <si>
    <t>Construction in Progress - Land Improvements</t>
  </si>
  <si>
    <t>Construction in Progress - Infrastructures Assets</t>
  </si>
  <si>
    <t>Construction in Progress - Buildings and Other Structures</t>
  </si>
  <si>
    <t>Construction in Progress - Leased Assets</t>
  </si>
  <si>
    <t>Construction in Progress - Leased Assets Improvements</t>
  </si>
  <si>
    <t>Service Concession Assets</t>
  </si>
  <si>
    <t>Accumulated Depreciation - Service Concession Assets</t>
  </si>
  <si>
    <t>Accumulated Impairment Losses - Service Concession Assets</t>
  </si>
  <si>
    <t>Other Property, Plant and Equipment</t>
  </si>
  <si>
    <t>Work/Zoo Animals</t>
  </si>
  <si>
    <t>Accumulated Depreciation - Work/Zoo Animals</t>
  </si>
  <si>
    <t>Accumulated Impairment Losses - Work/Zoo Animals</t>
  </si>
  <si>
    <t>Accumulated Depreciation - Other Property, Plant and Equipment</t>
  </si>
  <si>
    <t>Accumulated Impairment Losses - Other Property, Plant and Equipment</t>
  </si>
  <si>
    <t>Total Property, Plant and Equipment</t>
  </si>
  <si>
    <t>BIOLOGICAL ASSETS</t>
  </si>
  <si>
    <t>Bearer Biological Assets</t>
  </si>
  <si>
    <t>Breeding Stocks</t>
  </si>
  <si>
    <t>Plants and Trees</t>
  </si>
  <si>
    <t>Aquaculture</t>
  </si>
  <si>
    <t>Other Bearer Biological Assets</t>
  </si>
  <si>
    <t>Total Bearer Biological Assets</t>
  </si>
  <si>
    <t>INTANGIBLE ASSETS</t>
  </si>
  <si>
    <t>Intangible Assets</t>
  </si>
  <si>
    <t>Patents/Copyrights</t>
  </si>
  <si>
    <t>Accumulated Amortization - Patents/Copyrights</t>
  </si>
  <si>
    <t>Accumulated Impairment - Patents/Copyrights</t>
  </si>
  <si>
    <t>Computer Software</t>
  </si>
  <si>
    <t>Accumulated Amortization - Computer Softwares</t>
  </si>
  <si>
    <t>Accumulated Impairment - Computer Softwares</t>
  </si>
  <si>
    <t>Other Intangible Assets</t>
  </si>
  <si>
    <t>Accumulated Amortization - Other Intangible Assets</t>
  </si>
  <si>
    <t>Accumulated Impairment - Other Intangible Assets</t>
  </si>
  <si>
    <t>Service Concession Assets - Intangible Assets</t>
  </si>
  <si>
    <t>Total Intangible Assets</t>
  </si>
  <si>
    <t>Total Non-Current Assets</t>
  </si>
  <si>
    <t>TOTAL ASSETS</t>
  </si>
  <si>
    <t>LIABILITIES</t>
  </si>
  <si>
    <t>CURRENT LIABILITIES</t>
  </si>
  <si>
    <t>Financial Liabilities</t>
  </si>
  <si>
    <t>Payables</t>
  </si>
  <si>
    <t>Accounts Payable</t>
  </si>
  <si>
    <t>Due to Officers and Employees</t>
  </si>
  <si>
    <t>Notes Payable</t>
  </si>
  <si>
    <t>Interest Payable</t>
  </si>
  <si>
    <t>Operating Lease Payable</t>
  </si>
  <si>
    <t>Finance Lease Payable</t>
  </si>
  <si>
    <t>Awards and Rewards Payable</t>
  </si>
  <si>
    <t>Service Concession Arrangement Payable</t>
  </si>
  <si>
    <t>Pension Benefits Payable</t>
  </si>
  <si>
    <t>Leave Benefits Payable</t>
  </si>
  <si>
    <t>Retirement Gratuity Payable</t>
  </si>
  <si>
    <t>Total Payables</t>
  </si>
  <si>
    <t>Bills/Bonds/Loans Payable</t>
  </si>
  <si>
    <t>Bonds Payable - Domestic</t>
  </si>
  <si>
    <t>Discount on Bonds Payable - Domestic</t>
  </si>
  <si>
    <t>Premium on Bonds Payable - Domestic</t>
  </si>
  <si>
    <t>Loans Payable - Domestic</t>
  </si>
  <si>
    <t>Loans Payable - Foreign</t>
  </si>
  <si>
    <t>Total Bills/Bonds/Loans Payable</t>
  </si>
  <si>
    <t>Total Financial Liabilities</t>
  </si>
  <si>
    <t>Inter-Agency Payables</t>
  </si>
  <si>
    <t>Due to BIR</t>
  </si>
  <si>
    <t>Due to GSIS</t>
  </si>
  <si>
    <t>Due to PAG-IBIG</t>
  </si>
  <si>
    <t>Due to PHILHEALTH</t>
  </si>
  <si>
    <t>Due to NGAs</t>
  </si>
  <si>
    <t>Due to GOCCs</t>
  </si>
  <si>
    <t>Due to LGUs</t>
  </si>
  <si>
    <t>Due to Joint Venture</t>
  </si>
  <si>
    <t>Total Inter-Agency Payables</t>
  </si>
  <si>
    <t>Intra-Agency Payables</t>
  </si>
  <si>
    <t>Due to Other Funds</t>
  </si>
  <si>
    <t>Due to Special Accounts</t>
  </si>
  <si>
    <t>Due to Local Economic Enterprises</t>
  </si>
  <si>
    <t>Total Intra-Agency Payables</t>
  </si>
  <si>
    <t>Trust Liabilities</t>
  </si>
  <si>
    <t xml:space="preserve">Trust Liabilities - Disaster Risk Reduction and Management Fund </t>
  </si>
  <si>
    <t>Bail Bonds Payable</t>
  </si>
  <si>
    <t>Guaranty/Security Deposits Payable</t>
  </si>
  <si>
    <t>Customers' Deposits Payable</t>
  </si>
  <si>
    <t>Total Trust Liabilities</t>
  </si>
  <si>
    <t>Deferred Credits/Unearned Income</t>
  </si>
  <si>
    <t xml:space="preserve">Deferred Real Property Tax </t>
  </si>
  <si>
    <t xml:space="preserve">Deferred Special Education Tax </t>
  </si>
  <si>
    <t>Deferred Finance Lease Revenue</t>
  </si>
  <si>
    <t>Deferred Service Concession Revenue</t>
  </si>
  <si>
    <t>Unearned Revenue - Investment Property</t>
  </si>
  <si>
    <t>Other Deferred Credits</t>
  </si>
  <si>
    <t>Total Deferred Credits/Unearned Income</t>
  </si>
  <si>
    <t>Provisions</t>
  </si>
  <si>
    <t>Termination Benefits</t>
  </si>
  <si>
    <t>Other Provisions</t>
  </si>
  <si>
    <t>Other Payables</t>
  </si>
  <si>
    <t>Total Current Liabilities</t>
  </si>
  <si>
    <t>Non-Current Liabilities</t>
  </si>
  <si>
    <t>Deferred Special Education Tax</t>
  </si>
  <si>
    <t>Total Non-Current Liabilities</t>
  </si>
  <si>
    <t>TOTAL LIABILITIES</t>
  </si>
  <si>
    <t>NET ASSETS/EQUITY</t>
  </si>
  <si>
    <t>Equity in Joint Venture</t>
  </si>
  <si>
    <t>Total Net Assets/Equity</t>
  </si>
  <si>
    <t>TOTAL LIABILITIES AND NET ASSETS/EQUITY</t>
  </si>
  <si>
    <t>Government Equity, December 31, 2015</t>
  </si>
  <si>
    <t>Note:</t>
  </si>
  <si>
    <t>Accumulated Depreciation - must be presented as negative</t>
  </si>
  <si>
    <t>Accumulated Impairment Losses - must be presented as negative</t>
  </si>
  <si>
    <t>REVENUE</t>
  </si>
  <si>
    <t>TAX REVENUE</t>
  </si>
  <si>
    <t>Tax Revenue - Individual and Corporation</t>
  </si>
  <si>
    <t xml:space="preserve">Professional Tax </t>
  </si>
  <si>
    <t xml:space="preserve">Community Tax </t>
  </si>
  <si>
    <t>Tax Revenue - Property</t>
  </si>
  <si>
    <t>Real Property Tax- Basic</t>
  </si>
  <si>
    <t>Discount on Real Property Tax- Basic</t>
  </si>
  <si>
    <t>Special Education Tax</t>
  </si>
  <si>
    <t>Discount on Special Education Tax</t>
  </si>
  <si>
    <t>Special Levy on Idle Lands</t>
  </si>
  <si>
    <t>Special Levy on Lands Benefited by Public Works Projects</t>
  </si>
  <si>
    <t>Real Property Transfer Tax</t>
  </si>
  <si>
    <t>Tax Revenue - Goods and Services</t>
  </si>
  <si>
    <t xml:space="preserve">Business Tax  </t>
  </si>
  <si>
    <t xml:space="preserve">Tax on Sand, Gravel and Other Quarry Products </t>
  </si>
  <si>
    <t xml:space="preserve">Tax on Delivery  Trucks and Vans </t>
  </si>
  <si>
    <t xml:space="preserve">Amusement Tax </t>
  </si>
  <si>
    <t xml:space="preserve">Franchise Tax  </t>
  </si>
  <si>
    <t xml:space="preserve">Printing and Publication Tax </t>
  </si>
  <si>
    <t>Tax Revenue - Others</t>
  </si>
  <si>
    <t>Other Taxes</t>
  </si>
  <si>
    <t>Tax Revenue - Fines and Penalties</t>
  </si>
  <si>
    <t>Tax Revenue - Fines and Penalties - Taxes on Individual and Corporation</t>
  </si>
  <si>
    <t>Tax Revenue - Fines and Penalties - Property Taxes</t>
  </si>
  <si>
    <t>Tax Revenue - Fines and Penalties - Taxes on Goods and Services</t>
  </si>
  <si>
    <t>Tax Revenue - Fines and Penalties - Other Taxes</t>
  </si>
  <si>
    <t>Total Tax Revenue</t>
  </si>
  <si>
    <t>SHARE FROM NATIONAL TAXES</t>
  </si>
  <si>
    <t>Share from Internal Revenue Collections (IRA)</t>
  </si>
  <si>
    <t>OTHER SHARE FROM NATIONAL TAXES</t>
  </si>
  <si>
    <t xml:space="preserve">Share from Expanded Value Added Tax </t>
  </si>
  <si>
    <t>Share from National Wealth</t>
  </si>
  <si>
    <t>Share from Tobacco Excise Tax (RA 7171 and 8240)</t>
  </si>
  <si>
    <t>Share from Economic Zones</t>
  </si>
  <si>
    <t>Total Other Share from National Taxes</t>
  </si>
  <si>
    <t>SERVICE AND BUSINESS INCOME</t>
  </si>
  <si>
    <t>Service Income</t>
  </si>
  <si>
    <t>Permit Fees</t>
  </si>
  <si>
    <t>Registration Fees</t>
  </si>
  <si>
    <t>Registration Plates, Tags and Stickers Fees</t>
  </si>
  <si>
    <t>Clearance and Certification Fees</t>
  </si>
  <si>
    <t>Supervision and Regulation Enforcement Fees</t>
  </si>
  <si>
    <t>Inspection Fees</t>
  </si>
  <si>
    <t>Verification and Authentication Fees</t>
  </si>
  <si>
    <t>Processing Fees</t>
  </si>
  <si>
    <t>Occupation Fees</t>
  </si>
  <si>
    <t>Fishery Rental Fees and Charges</t>
  </si>
  <si>
    <t>Fees for Sealing  and Licensing of Weights and Measures</t>
  </si>
  <si>
    <t xml:space="preserve">Fines and Penalties - Service Income </t>
  </si>
  <si>
    <t>Other Service Income</t>
  </si>
  <si>
    <t>Business Income</t>
  </si>
  <si>
    <t>School Fees</t>
  </si>
  <si>
    <t>Affiliation Fees</t>
  </si>
  <si>
    <t>Seminar/Training Fees</t>
  </si>
  <si>
    <t xml:space="preserve">Rent Income </t>
  </si>
  <si>
    <t xml:space="preserve">Communication Network Fees </t>
  </si>
  <si>
    <t xml:space="preserve">Transportation System Fees </t>
  </si>
  <si>
    <t xml:space="preserve">Road Network  Fees </t>
  </si>
  <si>
    <t xml:space="preserve">Waterworks System Fees </t>
  </si>
  <si>
    <t>Power Supply System Fees</t>
  </si>
  <si>
    <t xml:space="preserve">Seaport  System Fees </t>
  </si>
  <si>
    <t xml:space="preserve">Parking Fees </t>
  </si>
  <si>
    <t>Receipts  from Operation of Hostels/Dormitories and Other Like Facilities</t>
  </si>
  <si>
    <t>Receipt from Market Operations</t>
  </si>
  <si>
    <t xml:space="preserve">Receipt from Slaughterhouse Operation </t>
  </si>
  <si>
    <t>Receipt from Cemetery Operations</t>
  </si>
  <si>
    <t xml:space="preserve">Receipts from Printing and Publication </t>
  </si>
  <si>
    <t>Sales Revenue</t>
  </si>
  <si>
    <t>Sales Discounts</t>
  </si>
  <si>
    <t>Cost of Goods Manufactured</t>
  </si>
  <si>
    <t>Direct Materials</t>
  </si>
  <si>
    <t>Direct Labor</t>
  </si>
  <si>
    <t>Manufacturing Overhead</t>
  </si>
  <si>
    <t>Cost of Sales</t>
  </si>
  <si>
    <t>Net Sales Revenue</t>
  </si>
  <si>
    <t>Garbage Fees</t>
  </si>
  <si>
    <t>Hospital Fees</t>
  </si>
  <si>
    <t>Dividend Income</t>
  </si>
  <si>
    <t xml:space="preserve">Interest Income </t>
  </si>
  <si>
    <t>Service Concession Revenue</t>
  </si>
  <si>
    <t>Other Service Concession Revenue</t>
  </si>
  <si>
    <t>Lease Revenue</t>
  </si>
  <si>
    <t>Share in the Profit of Joint Venture</t>
  </si>
  <si>
    <t xml:space="preserve">Fines and Penalties - Business Income </t>
  </si>
  <si>
    <t>Other Business Income</t>
  </si>
  <si>
    <t>Total Service and Business Income</t>
  </si>
  <si>
    <t>SHARES, GRANTS AND DONATIONS</t>
  </si>
  <si>
    <t>Share</t>
  </si>
  <si>
    <t>Share from PAGCOR</t>
  </si>
  <si>
    <t>Share from PCSO</t>
  </si>
  <si>
    <t>Grants and Donations</t>
  </si>
  <si>
    <t>Grants and Donations in Cash</t>
  </si>
  <si>
    <t xml:space="preserve">Grants and Donations in Kind </t>
  </si>
  <si>
    <t>Grants from Concessionary Loans</t>
  </si>
  <si>
    <t>Total Shares, Grants and Donations</t>
  </si>
  <si>
    <t>GAINS</t>
  </si>
  <si>
    <t>Gains</t>
  </si>
  <si>
    <t>Gain on Initial Recognition of Biological Assets</t>
  </si>
  <si>
    <t>Gain on Sale of Biological Assets</t>
  </si>
  <si>
    <t>Gain from Changes in Fair Value  Less Cost to Sell of Biological Assets Due to Physical Change</t>
  </si>
  <si>
    <t>Gain from Changes in Fair Value  Less Cost to Sell of Biological Assets Due to Price Change</t>
  </si>
  <si>
    <t>Gain from Initial Recognition of Agricultural Produce</t>
  </si>
  <si>
    <t>Total Gains</t>
  </si>
  <si>
    <t>TOTAL REVENUE</t>
  </si>
  <si>
    <t>LESS:  CURRENT OPERATING EXPENSES</t>
  </si>
  <si>
    <t>PERSONNEL SERVICES</t>
  </si>
  <si>
    <t>Salaries and Wages</t>
  </si>
  <si>
    <t>Salaries and Wages - Regular</t>
  </si>
  <si>
    <t>Salaries and Wages - Casual/Contractual</t>
  </si>
  <si>
    <t>Other Compensation</t>
  </si>
  <si>
    <t>Personal Economic Relief Allowance (PERA)</t>
  </si>
  <si>
    <t>Representation Allowance (RA)</t>
  </si>
  <si>
    <t>Transportation Allowance (TA)</t>
  </si>
  <si>
    <t>Clothing/Uniform Allowance</t>
  </si>
  <si>
    <t>Subsistence Allowance</t>
  </si>
  <si>
    <t>Laundry  Allowance</t>
  </si>
  <si>
    <t>Quarters Allowance</t>
  </si>
  <si>
    <t>Productivity Incentive Allowance</t>
  </si>
  <si>
    <t>Overseas Allowance</t>
  </si>
  <si>
    <t>Honoraria</t>
  </si>
  <si>
    <t>Hazard Pay</t>
  </si>
  <si>
    <t>Longevity Pay</t>
  </si>
  <si>
    <t>Overtime and Night Pay</t>
  </si>
  <si>
    <t>Year End Bonus</t>
  </si>
  <si>
    <t>Cash Gift</t>
  </si>
  <si>
    <t>Other Bonuses and Allowances</t>
  </si>
  <si>
    <t>Personnel Benefits Contributions</t>
  </si>
  <si>
    <t>Retirement and Life Insurance Premiums</t>
  </si>
  <si>
    <t>Pag-IBIG Contributions</t>
  </si>
  <si>
    <t>PhilHealth Contributions</t>
  </si>
  <si>
    <t>Employees Compensation Insurance Premiums</t>
  </si>
  <si>
    <t>Provident/Welfare Fund Contributions</t>
  </si>
  <si>
    <t>Other Personnel Benefits</t>
  </si>
  <si>
    <t xml:space="preserve">Pension Benefits </t>
  </si>
  <si>
    <t xml:space="preserve">Retirement Gratuity </t>
  </si>
  <si>
    <t>Terminal Leave Benefits</t>
  </si>
  <si>
    <t>Total Personnel Services</t>
  </si>
  <si>
    <t>MAINTENANCE AND OTHER OPERATING EXPENSES</t>
  </si>
  <si>
    <t>Traveling Expenses</t>
  </si>
  <si>
    <t>Traveling Expenses - Local</t>
  </si>
  <si>
    <t>Traveling Expenses - Foreign</t>
  </si>
  <si>
    <t>Training and Scholarship Expenses</t>
  </si>
  <si>
    <t>Training Expenses</t>
  </si>
  <si>
    <t>Scholarship Grants/Expenses</t>
  </si>
  <si>
    <t>Supplies and Material Expenses</t>
  </si>
  <si>
    <t xml:space="preserve">Office Supplies Expenses </t>
  </si>
  <si>
    <t>Accountable Forms Expenses</t>
  </si>
  <si>
    <t>Non-Accountable Forms Expenses</t>
  </si>
  <si>
    <t>Animal/Zoological Supplies Expenses</t>
  </si>
  <si>
    <t>Food Supplies Expenses</t>
  </si>
  <si>
    <t>Welfare Goods Expenses</t>
  </si>
  <si>
    <t>Drugs and Medicines Expenses</t>
  </si>
  <si>
    <t>Medical, Dental and Laboratory Supplies Expenses</t>
  </si>
  <si>
    <t>Fuel, Oil and Lubricants Expenses</t>
  </si>
  <si>
    <t>Agricultural and Marine Supplies Expenses</t>
  </si>
  <si>
    <t>Textbooks and Instructional Materials Expenses</t>
  </si>
  <si>
    <t>Military, Police and Traffic Supplies Expenses</t>
  </si>
  <si>
    <t>Chemical and Filtering Supplies Expenses</t>
  </si>
  <si>
    <t>Other Supplies and Materials Expenses</t>
  </si>
  <si>
    <t>Utility Expenses</t>
  </si>
  <si>
    <t>Water Expenses</t>
  </si>
  <si>
    <t>Electricity Expenses</t>
  </si>
  <si>
    <t>Communication Expenses</t>
  </si>
  <si>
    <t xml:space="preserve">Postage and Courier Services </t>
  </si>
  <si>
    <t>Telephone Expenses</t>
  </si>
  <si>
    <t>Internet Subscription Expenses</t>
  </si>
  <si>
    <t>Cable, Satellite, Telegraph and Radio Expenses</t>
  </si>
  <si>
    <t>Awards/Rewards and Prizes</t>
  </si>
  <si>
    <t>Awards/Rewards Expenses</t>
  </si>
  <si>
    <t>Prizes</t>
  </si>
  <si>
    <t>Survey, Research, Exploration and Development Expenses</t>
  </si>
  <si>
    <t>Survey Expenses</t>
  </si>
  <si>
    <t>Research, Exploration and Development Expenses</t>
  </si>
  <si>
    <t>Demolition/Relocation and Desilting/Dredging Expenses</t>
  </si>
  <si>
    <t>Demolition and Relocation Expenses</t>
  </si>
  <si>
    <t>Desilting and Dredging Expenses</t>
  </si>
  <si>
    <t>Generation, Transmission and Distribution Expenses</t>
  </si>
  <si>
    <t>Confidential, Intelligence and Extraordinary Expenses</t>
  </si>
  <si>
    <t>Confidential Expenses</t>
  </si>
  <si>
    <t>Intelligence Expenses</t>
  </si>
  <si>
    <t>Extraordinary and Miscellaneous Expenses</t>
  </si>
  <si>
    <t>Professional Services</t>
  </si>
  <si>
    <t>Legal Services</t>
  </si>
  <si>
    <t>Auditing Services</t>
  </si>
  <si>
    <t>Consultancy Services</t>
  </si>
  <si>
    <t>Other Professional Services</t>
  </si>
  <si>
    <t>General Services</t>
  </si>
  <si>
    <t>Environment/Sanitary Services</t>
  </si>
  <si>
    <t>Janitorial Services</t>
  </si>
  <si>
    <t>Security Services</t>
  </si>
  <si>
    <t>Other General Services</t>
  </si>
  <si>
    <t>Repairs and Maintenance</t>
  </si>
  <si>
    <t>Repairs and Maintenance - Investment Property</t>
  </si>
  <si>
    <t>Repairs and Maintenance - Land Improvements</t>
  </si>
  <si>
    <t>Repairs and Maintenance - Infrastructure Assets</t>
  </si>
  <si>
    <t>Repairs and Maintenance - Buildings and Other Structures</t>
  </si>
  <si>
    <t xml:space="preserve">Repairs and Maintenance - Machinery and Equipment </t>
  </si>
  <si>
    <t xml:space="preserve">Repairs and Maintenance - Transportation Equipment  </t>
  </si>
  <si>
    <t xml:space="preserve">Repairs and Maintenance - Furniture and  Fixtures </t>
  </si>
  <si>
    <t xml:space="preserve">Repairs and Maintenance - Leased Assets </t>
  </si>
  <si>
    <t>Repairs and Maintenance - Leased Assets Improvements</t>
  </si>
  <si>
    <t>Repairs and Maintenance - Other Property, Plant and Equipment</t>
  </si>
  <si>
    <t>Taxes, Insurance Premiums and Other Fees</t>
  </si>
  <si>
    <t>Taxes, Duties and Licenses</t>
  </si>
  <si>
    <t xml:space="preserve">Fidelity Bond Premiums </t>
  </si>
  <si>
    <t>Insurance Expenses</t>
  </si>
  <si>
    <t>Other Maintenance and Operating Expenses</t>
  </si>
  <si>
    <t>Advertising Expenses</t>
  </si>
  <si>
    <t>Printing and Publication Expenses</t>
  </si>
  <si>
    <t>Representation Expenses</t>
  </si>
  <si>
    <t>Transportation and Delivery Expenses</t>
  </si>
  <si>
    <t>Rent Expenses</t>
  </si>
  <si>
    <t>Membership Dues and Contributions to Organizations</t>
  </si>
  <si>
    <t>Subscription Expenses</t>
  </si>
  <si>
    <t>Donations</t>
  </si>
  <si>
    <t xml:space="preserve">Other Maintenance and Operating Expenses  </t>
  </si>
  <si>
    <t>Total Maintenance and Other Operating Expenses</t>
  </si>
  <si>
    <t>FINANCIAL EXPENSES</t>
  </si>
  <si>
    <t>Financial Expenses</t>
  </si>
  <si>
    <t>Management Supervision/Trusteeship Fees</t>
  </si>
  <si>
    <t xml:space="preserve">Interest Expenses </t>
  </si>
  <si>
    <t xml:space="preserve">Guarantee Fees  </t>
  </si>
  <si>
    <t>Bank Charges</t>
  </si>
  <si>
    <t xml:space="preserve">Commitment Fees  </t>
  </si>
  <si>
    <t xml:space="preserve">Other Financial Charges </t>
  </si>
  <si>
    <t>Total Financial Expenses</t>
  </si>
  <si>
    <t>NON-CASH EXPENSES</t>
  </si>
  <si>
    <t xml:space="preserve">Depreciation </t>
  </si>
  <si>
    <t>Depreciation - Investment Property</t>
  </si>
  <si>
    <t>Depreciation - Land Improvements</t>
  </si>
  <si>
    <t>Depreciation - Infrastructure Assets</t>
  </si>
  <si>
    <t>Depreciation - Buildings and Other Structures</t>
  </si>
  <si>
    <t xml:space="preserve">Depreciation - Machinery  and Equipment </t>
  </si>
  <si>
    <t>Depreciation - Transportation Equipment</t>
  </si>
  <si>
    <t xml:space="preserve">Depreciation - Furniture, Fixtures and Books  </t>
  </si>
  <si>
    <t>Depreciation - Leased Assets</t>
  </si>
  <si>
    <t>Depreciation - Leased Assets Improvements</t>
  </si>
  <si>
    <t>Depreciation -Service Concession Assets</t>
  </si>
  <si>
    <t>Depreciation - Other Property, Plant and Equipment</t>
  </si>
  <si>
    <t>Amortization</t>
  </si>
  <si>
    <t>Amortization - Intangible Assets</t>
  </si>
  <si>
    <t>Impairment Loss</t>
  </si>
  <si>
    <t>Impairment Loss - Financial Assets Held to Maturity</t>
  </si>
  <si>
    <t>Impairment Loss - Loans and  Receivables</t>
  </si>
  <si>
    <t>Impairment Loss - Lease Receivables</t>
  </si>
  <si>
    <t>Impairment Loss - Investments in GOCCs</t>
  </si>
  <si>
    <t>Impairment Loss - Investments in Joint Venture</t>
  </si>
  <si>
    <t>Impairment Loss - Other Receivables</t>
  </si>
  <si>
    <t>Impairment Loss - Inventories</t>
  </si>
  <si>
    <t>Impairment Loss - Investment Property</t>
  </si>
  <si>
    <t>Impairment Loss - Property, Plant and Equipment</t>
  </si>
  <si>
    <t>Impairment Loss - Intangible Assets</t>
  </si>
  <si>
    <t xml:space="preserve">Losses </t>
  </si>
  <si>
    <t>Loss on Sale of Biological Assets</t>
  </si>
  <si>
    <t>Loss on Initial Recognition of Biological Assets</t>
  </si>
  <si>
    <t>Grants</t>
  </si>
  <si>
    <t>Grants for Concessionary Loans</t>
  </si>
  <si>
    <t>Total Non-Cash Expenses</t>
  </si>
  <si>
    <t>TOTAL CURRENT OPERATING EXPENSES</t>
  </si>
  <si>
    <t>SURPLUS (DEFICIT) FROM CURRENT OPERATIONS</t>
  </si>
  <si>
    <t>ADD (DEDUCT): TRANSFERS, ASSISTANCE AND SUBSIDY</t>
  </si>
  <si>
    <t>Assistance and Subsidy from</t>
  </si>
  <si>
    <t>Subsidy from National Government</t>
  </si>
  <si>
    <t>Subsidy from Local Government Units</t>
  </si>
  <si>
    <t xml:space="preserve">Subsidy from Government-Owned and/or Controlled Corporations </t>
  </si>
  <si>
    <t>Subsidy from Other Funds</t>
  </si>
  <si>
    <t>Subsidy from General Fund Proper/Other Special Accounts</t>
  </si>
  <si>
    <t>Subsidy from Other Local Economic Enterprise</t>
  </si>
  <si>
    <t>Transfers from</t>
  </si>
  <si>
    <t>Transfers from General Fund of LGU Counterpart/Equity Share</t>
  </si>
  <si>
    <t xml:space="preserve">Transfers from General Fund of Unspent DRRMF </t>
  </si>
  <si>
    <t>Transfers from National Governments</t>
  </si>
  <si>
    <t>Transfers from Other Local Governments</t>
  </si>
  <si>
    <t>Total Transfers, Assistance and Subsidy from</t>
  </si>
  <si>
    <t>Financial Assistance/Subsidy to</t>
  </si>
  <si>
    <t xml:space="preserve">Subsidy to Other Local Government Units </t>
  </si>
  <si>
    <t>Subsidy to Other  Funds</t>
  </si>
  <si>
    <t>Subsidy to General Fund Proper/Special Accounts</t>
  </si>
  <si>
    <t>Subsidy to Local Economic Enterprises</t>
  </si>
  <si>
    <t>Subsidies - Others</t>
  </si>
  <si>
    <t>Transfers to</t>
  </si>
  <si>
    <t>Transfers of Unspent Current Year DRRM Funds to the Trust Funds</t>
  </si>
  <si>
    <t>Transfers for Project Equity Share /LGU Counterpart</t>
  </si>
  <si>
    <t>Total Transfers, Assistance and Subsidy to</t>
  </si>
  <si>
    <t>NET FINANCIAL ASSISTANCE/SUBSIDY</t>
  </si>
  <si>
    <t>Other Non-Operating Income/Losses</t>
  </si>
  <si>
    <t>Sale of Assets</t>
  </si>
  <si>
    <t>Sale of Garnished/Confiscated/Abandoned/Seized Goods and Properties</t>
  </si>
  <si>
    <t>Gain from Changes in Fair Value of Financial Instruments</t>
  </si>
  <si>
    <t>Gain on Foreign Exchange (FOREX)</t>
  </si>
  <si>
    <t>Gain on Sale of Investments</t>
  </si>
  <si>
    <t>Gain on Sale of Investment Property</t>
  </si>
  <si>
    <t>Gain on Sale of Property, Plant and Equipment</t>
  </si>
  <si>
    <t>Gain on Sale of Intangible Assets</t>
  </si>
  <si>
    <t>Reversal of Impairment Losses</t>
  </si>
  <si>
    <t>Other Gains</t>
  </si>
  <si>
    <t>Miscellaneous Income</t>
  </si>
  <si>
    <t>Losses</t>
  </si>
  <si>
    <t>Loss from Changes in Fair Value of Financial Instruments</t>
  </si>
  <si>
    <t>Loss on Foreign Exchange (FOREX)</t>
  </si>
  <si>
    <t>Loss on Sale of Investments</t>
  </si>
  <si>
    <t>Loss on Sale of Investment Property</t>
  </si>
  <si>
    <t>Loss on Sale of Property, Plant and Equipment</t>
  </si>
  <si>
    <t>Loss on Sale of Intangible Assets</t>
  </si>
  <si>
    <t>Loss on Sale of Assets</t>
  </si>
  <si>
    <t>Loss of Assets</t>
  </si>
  <si>
    <t>Loss on Guaranty</t>
  </si>
  <si>
    <t>Other Losses</t>
  </si>
  <si>
    <t>Total Losses</t>
  </si>
  <si>
    <t>Net Other Non-Operating Income/(Losses)</t>
  </si>
  <si>
    <t>SURPLUS (DEFICIT) FOR THE PERIOD</t>
  </si>
  <si>
    <t>from annex d</t>
  </si>
  <si>
    <t>Difference</t>
  </si>
  <si>
    <t>Income</t>
  </si>
  <si>
    <t>Expenses</t>
  </si>
  <si>
    <t>Net Income (Loss)</t>
  </si>
  <si>
    <t xml:space="preserve">Balance at January 1 </t>
  </si>
  <si>
    <t>Adjustment to Government Equity, beginning</t>
  </si>
  <si>
    <t>Add (Deduct)</t>
  </si>
  <si>
    <t>Change in Accounting Policy</t>
  </si>
  <si>
    <t>Prior Period Errors</t>
  </si>
  <si>
    <t>Restated Balance</t>
  </si>
  <si>
    <t>Add (Deduct) Changes in net assets/equity during the Year</t>
  </si>
  <si>
    <t>Adjustment of net revenue recognized directly in net assets/equity</t>
  </si>
  <si>
    <t>Unrealized Gain/(Loss) from Changes in the Fair Value of Financial Assets</t>
  </si>
  <si>
    <t>Suplus (Deficit) for the period</t>
  </si>
  <si>
    <t>Total recognized revenue and expenses for the period</t>
  </si>
  <si>
    <t>Add (Deduct): Others</t>
  </si>
  <si>
    <t>Transfer of Completed Infra. Projects/PPE to Registry</t>
  </si>
  <si>
    <t>Transfer of Funds (from) / to Other Funds</t>
  </si>
  <si>
    <t>Prior Period Adjustments</t>
  </si>
  <si>
    <t>Other Adjustments</t>
  </si>
  <si>
    <t xml:space="preserve">Balance at December 31 </t>
  </si>
  <si>
    <t xml:space="preserve">PER FINANCIAL PERFORMANCE (Surplus/(Deficit) </t>
  </si>
  <si>
    <t>DIFFERENCE</t>
  </si>
  <si>
    <t xml:space="preserve">Cash Flow from Operating Activities </t>
  </si>
  <si>
    <t xml:space="preserve">Cash Inflows </t>
  </si>
  <si>
    <t>Collection from taxpayers</t>
  </si>
  <si>
    <t>Share from Internal Revenue Allotment</t>
  </si>
  <si>
    <t>Receipts from business/service income</t>
  </si>
  <si>
    <t>Interest Income</t>
  </si>
  <si>
    <t>Other Receipts</t>
  </si>
  <si>
    <t xml:space="preserve">Total Cash Inflows </t>
  </si>
  <si>
    <t xml:space="preserve">Cash OutFlows </t>
  </si>
  <si>
    <t>Payments of expenses</t>
  </si>
  <si>
    <t xml:space="preserve">Payment to suppliers and creditors </t>
  </si>
  <si>
    <t>Payment to employees</t>
  </si>
  <si>
    <t>Interest Expense</t>
  </si>
  <si>
    <t>Other Expenses</t>
  </si>
  <si>
    <t xml:space="preserve">Total Cash Outflows </t>
  </si>
  <si>
    <t xml:space="preserve">Net Cash Flows from Operating Activities </t>
  </si>
  <si>
    <t xml:space="preserve">Cash Flow from Investing  Activities </t>
  </si>
  <si>
    <t>Purchase/Construction of Property, Plant and Equipment</t>
  </si>
  <si>
    <t xml:space="preserve">Net Cash Flows from Investing Activities </t>
  </si>
  <si>
    <t xml:space="preserve">Cash Flow from Financing  Activities </t>
  </si>
  <si>
    <t>Proceeds from Issuance of Bills and Bonds</t>
  </si>
  <si>
    <t>Proceeds from Domestic and Foreign Loans</t>
  </si>
  <si>
    <t>Payment of Long-Term Liabilities</t>
  </si>
  <si>
    <t>Retirement/Redemption of debt securities</t>
  </si>
  <si>
    <t>Payment of loan amortization</t>
  </si>
  <si>
    <t xml:space="preserve">Net Cash Flows from Financing  Activities </t>
  </si>
  <si>
    <t xml:space="preserve">Total Cash Provided by Operating, Investing and Financing Activities </t>
  </si>
  <si>
    <t>Add : Cash at the Beginning of the year</t>
  </si>
  <si>
    <t xml:space="preserve">Cash Balance Ending, December 31 </t>
  </si>
  <si>
    <t>from Statement of Financial Position</t>
  </si>
  <si>
    <t>discrepancies</t>
  </si>
  <si>
    <t>AS SUBMITTED</t>
  </si>
  <si>
    <t>Cash Flow from Operating Activities</t>
  </si>
  <si>
    <t>Cash Flow from Investing  Activities</t>
  </si>
  <si>
    <t>Cash Flow from Financing  Activities</t>
  </si>
  <si>
    <t>Net Cash Provided by (Used in)</t>
  </si>
  <si>
    <t xml:space="preserve">Cash Balance Beginning </t>
  </si>
  <si>
    <t>Cash Balance Ending</t>
  </si>
  <si>
    <t>Notes to Cash Flow Statement</t>
  </si>
  <si>
    <t>a)     Cash and Cash Equivalent</t>
  </si>
  <si>
    <t>Cash and cash equivalents consist of cash on hand, balances with banks, and investment in money market instruments. Cash and cash equivalents included in the cash flow statement comprise the following statement of financial position amounts:</t>
  </si>
  <si>
    <t>(absolute amount)</t>
  </si>
  <si>
    <t>Cash on hand and balances with banks</t>
  </si>
  <si>
    <t>Cash Equivalents</t>
  </si>
  <si>
    <t>TOTAL Cash and Cash Equivalent</t>
  </si>
  <si>
    <t>Surplus/(Deficit)</t>
  </si>
  <si>
    <t>Non-cash transactions</t>
  </si>
  <si>
    <t xml:space="preserve">    Depreciation</t>
  </si>
  <si>
    <t xml:space="preserve">    Amortization</t>
  </si>
  <si>
    <t xml:space="preserve">    Increase in payables</t>
  </si>
  <si>
    <t xml:space="preserve">    Increase in provisions relating to employee cost</t>
  </si>
  <si>
    <t xml:space="preserve">    Increase in other current assets</t>
  </si>
  <si>
    <t xml:space="preserve">    Increase in investments due to revaluation</t>
  </si>
  <si>
    <t xml:space="preserve">    Increase in receivables</t>
  </si>
  <si>
    <t xml:space="preserve">    Grants in Kind</t>
  </si>
  <si>
    <t xml:space="preserve">    Loss on Sale of PPE</t>
  </si>
  <si>
    <t xml:space="preserve">    Income/(Expense) under investing activities:
Tax on Sand, Gravel &amp; Other Quarry Products
</t>
  </si>
  <si>
    <t xml:space="preserve">    Repairs &amp; Maintenance - Infrastructure Assets from completed CIP</t>
  </si>
  <si>
    <t>(Increase) in Prior Period Adjustments</t>
  </si>
  <si>
    <t>Net Cash from Operating Activities</t>
  </si>
  <si>
    <t xml:space="preserve">Cash at the End of the Period  </t>
  </si>
  <si>
    <t>Particulars</t>
  </si>
  <si>
    <t>b)     Reconciliation of Net Cash Flows from Operating Activities to Surplus/(Deficit)</t>
  </si>
  <si>
    <t>Construction Materials Inventory</t>
  </si>
  <si>
    <t>Adjustment to cash balance prior year</t>
  </si>
  <si>
    <t xml:space="preserve">Budgeted </t>
  </si>
  <si>
    <t xml:space="preserve">Difference </t>
  </si>
  <si>
    <t>Amounts</t>
  </si>
  <si>
    <t>Original and</t>
  </si>
  <si>
    <t>Actual</t>
  </si>
  <si>
    <t xml:space="preserve">Final Budget </t>
  </si>
  <si>
    <t>Original</t>
  </si>
  <si>
    <t>Final</t>
  </si>
  <si>
    <t>and Actual</t>
  </si>
  <si>
    <t>General Fund</t>
  </si>
  <si>
    <t>Revenue</t>
  </si>
  <si>
    <t xml:space="preserve">A.  Local Sources </t>
  </si>
  <si>
    <t>1.  Tax Revenue</t>
  </si>
  <si>
    <t>a.  Tax Revenue - Property</t>
  </si>
  <si>
    <t>b. Tax Revenue - Goods and Services</t>
  </si>
  <si>
    <t>c.  Other Local Taxes</t>
  </si>
  <si>
    <t>2.  Non-Tax Revenue</t>
  </si>
  <si>
    <t>a.  Service Income</t>
  </si>
  <si>
    <t>b.  Business Income</t>
  </si>
  <si>
    <t>c.  Other Income and Receipts</t>
  </si>
  <si>
    <t>Total Non-Tax Revenue</t>
  </si>
  <si>
    <t>B.  External Sources</t>
  </si>
  <si>
    <t>1.  Share from the National Internal Revenue Taxes (IRA)</t>
  </si>
  <si>
    <t>2.  Share from GOCCs</t>
  </si>
  <si>
    <t>3.  Other Shares from National Tax Collections</t>
  </si>
  <si>
    <t>a.  Share from Ecozone</t>
  </si>
  <si>
    <t>b.  Share from EVAT</t>
  </si>
  <si>
    <t>c.  Share from National Wealth</t>
  </si>
  <si>
    <t>d. Share from Tobacco Excise Tax</t>
  </si>
  <si>
    <t>4.  Other Receipts</t>
  </si>
  <si>
    <t>a.  Grants and Donations</t>
  </si>
  <si>
    <t>b.  Other Subsidy Income</t>
  </si>
  <si>
    <t>5.  Inter-local Transfer</t>
  </si>
  <si>
    <t>6.  Capital /Investment Receipts</t>
  </si>
  <si>
    <t>a.  Sale of Capital Assets</t>
  </si>
  <si>
    <t>b.  Sale of Investments</t>
  </si>
  <si>
    <t>c.  Proceeds from Collections of Loan Receivable</t>
  </si>
  <si>
    <t>C. Receipts from Borrowings</t>
  </si>
  <si>
    <t>Total Revenue and Receipts</t>
  </si>
  <si>
    <t>Funded Continuing Appropriations</t>
  </si>
  <si>
    <t>Grand Total Revenue and Receipts</t>
  </si>
  <si>
    <t xml:space="preserve">Expenditures </t>
  </si>
  <si>
    <t>Current Aprropriations</t>
  </si>
  <si>
    <t>General Public Services</t>
  </si>
  <si>
    <t>Personnel Services</t>
  </si>
  <si>
    <t>Maintenance and Other Operating Expenses</t>
  </si>
  <si>
    <t>Capital Outlay</t>
  </si>
  <si>
    <t>Education</t>
  </si>
  <si>
    <t>Health, Nutrition and Population Control</t>
  </si>
  <si>
    <t>Labor and Employment</t>
  </si>
  <si>
    <t>Housing and Community Development</t>
  </si>
  <si>
    <t>Social Services and Social Welfare</t>
  </si>
  <si>
    <t>Economic Services</t>
  </si>
  <si>
    <t>Other Purposes:</t>
  </si>
  <si>
    <t>Debt Service</t>
  </si>
  <si>
    <t>Financial Expense</t>
  </si>
  <si>
    <t>20% Development Fund</t>
  </si>
  <si>
    <t>Allocation for Senior Citizens and PWD</t>
  </si>
  <si>
    <t>Others</t>
  </si>
  <si>
    <t>Total Current Approrpiations</t>
  </si>
  <si>
    <t>Continuing Aprropriations</t>
  </si>
  <si>
    <t>Total Continuing Approrpiations</t>
  </si>
  <si>
    <t>Total Appropriations</t>
  </si>
  <si>
    <t>Special Education Fund</t>
  </si>
  <si>
    <t>Grand Total Revenue &amp; Receipts</t>
  </si>
  <si>
    <t>Expenditures</t>
  </si>
  <si>
    <r>
      <t xml:space="preserve">Investments in Time Deposits </t>
    </r>
    <r>
      <rPr>
        <sz val="12"/>
        <rFont val="Times New Roman"/>
        <family val="1"/>
      </rPr>
      <t>( 91 days to 1 year)</t>
    </r>
  </si>
  <si>
    <t>(In Philippine Peso)</t>
  </si>
  <si>
    <t>City Government of Panabo</t>
  </si>
  <si>
    <t>CONSOLIDATED DETAILED STATEMENT OF FINANCIAL POSITION (BY FUND)</t>
  </si>
  <si>
    <r>
      <t>Investments in Time Deposits</t>
    </r>
    <r>
      <rPr>
        <sz val="12"/>
        <rFont val="Times New Roman"/>
        <family val="1"/>
      </rPr>
      <t xml:space="preserve"> (90 days)</t>
    </r>
  </si>
  <si>
    <r>
      <t>Investments in Time Deposits</t>
    </r>
    <r>
      <rPr>
        <i/>
        <sz val="12"/>
        <rFont val="Times New Roman"/>
        <family val="1"/>
      </rPr>
      <t xml:space="preserve"> (More than 1 year)</t>
    </r>
  </si>
  <si>
    <r>
      <t>Net Assets/Equity</t>
    </r>
    <r>
      <rPr>
        <i/>
        <sz val="12"/>
        <rFont val="Times New Roman"/>
        <family val="1"/>
      </rPr>
      <t xml:space="preserve">  </t>
    </r>
  </si>
  <si>
    <t>PER FINANCIAL POSITIONS (Net Asset/Equity)</t>
  </si>
  <si>
    <t>CONSOLIDATED DETAILED STATEMENT OF FINANCIAL PERFORMANCE (BY FUND)</t>
  </si>
  <si>
    <t>CONSOLIDATED DETAILED STATEMENT OF CHANGES IN NET ASSETS/EQUITY (BY FUND)</t>
  </si>
  <si>
    <t>CONSOLIDATED STATEMENT OF CASH FLOWS (BY FUND)</t>
  </si>
  <si>
    <t>Bal vs Cash on Hand per SFPo</t>
  </si>
  <si>
    <t>Proceeds from Sale of PPE</t>
  </si>
  <si>
    <t>Notes</t>
  </si>
  <si>
    <t>CDRRMF</t>
  </si>
  <si>
    <t>Aid to Brgys.</t>
  </si>
  <si>
    <t>Intelligence/Confidential Fund</t>
  </si>
  <si>
    <t>2% Discretionary Fund</t>
  </si>
  <si>
    <t>MPBF</t>
  </si>
  <si>
    <t>Subsidy to Economic Enterprise/Special Accounts</t>
  </si>
  <si>
    <t>Subsidy to Other Funds</t>
  </si>
  <si>
    <t>Statement of Comparison of Budget and Actual Amounts</t>
  </si>
  <si>
    <t>Surplus/Deficit for the period</t>
  </si>
  <si>
    <t>As of November 30, 2021</t>
  </si>
  <si>
    <t>Schedule of reconciling items</t>
  </si>
  <si>
    <t>Account No.</t>
  </si>
  <si>
    <t>Date</t>
  </si>
  <si>
    <t>Check No.</t>
  </si>
  <si>
    <t>Amount</t>
  </si>
  <si>
    <t>Unrecorded Paid Vouchers</t>
  </si>
  <si>
    <t>1742-1006-90</t>
  </si>
  <si>
    <t>1742-1007-03</t>
  </si>
  <si>
    <t>1742-1006-81</t>
  </si>
  <si>
    <t>1742-1037-29</t>
  </si>
  <si>
    <t>1742-1008-35</t>
  </si>
  <si>
    <t>1742-1037-10</t>
  </si>
  <si>
    <t>1742-1037-96</t>
  </si>
  <si>
    <t>Total</t>
  </si>
  <si>
    <t>As at December 31, 2021</t>
  </si>
  <si>
    <t>Unrecorded Credit Memo</t>
  </si>
  <si>
    <t>CM Ordinary dated 12-03-19</t>
  </si>
  <si>
    <t>CM Ordinary dated 05-25-21</t>
  </si>
  <si>
    <t>CM Ordinary dated 09-21-21</t>
  </si>
  <si>
    <t>CM Ordinary remittance mgt Dept. dated 11-29-21</t>
  </si>
  <si>
    <t>CM Ordinary dated 11-29-21</t>
  </si>
  <si>
    <t>CM- PYRL/OTHRS dtd 11-28-19</t>
  </si>
  <si>
    <t>1742-1033-46</t>
  </si>
  <si>
    <t>CM-ordinary dtd 8-13-18</t>
  </si>
  <si>
    <t>CM Ordinary dtd 8-13-18</t>
  </si>
  <si>
    <t>1742-1044-07</t>
  </si>
  <si>
    <t>CM-auto reansfer</t>
  </si>
  <si>
    <t>1742-1043-50</t>
  </si>
  <si>
    <t>CA-CM ordinary dtd 1-4-19</t>
  </si>
  <si>
    <t>1742-1066-55</t>
  </si>
  <si>
    <t>CM-Ordinary dtd 9/29/20</t>
  </si>
  <si>
    <t>CM-Ordinary dtd 9/230/20</t>
  </si>
  <si>
    <t>Sub-total</t>
  </si>
  <si>
    <t>Unrecorded Debit Memo</t>
  </si>
  <si>
    <t>Authorized transfer dtd 6-10-14</t>
  </si>
  <si>
    <t>DM Ordinary dated 7-14-14</t>
  </si>
  <si>
    <t>DM Ordinary dated 5-16-17</t>
  </si>
  <si>
    <t>DM Ordinary dated 10-19-18</t>
  </si>
  <si>
    <t>DM Ordinary dated 11/16-18</t>
  </si>
  <si>
    <t>DM Ordinary dated 1-29-19</t>
  </si>
  <si>
    <t>DM Ordinary dated 3-20-19</t>
  </si>
  <si>
    <t>DM Ordinary dated 4-12-19</t>
  </si>
  <si>
    <t>DMRT dated 4-10-19</t>
  </si>
  <si>
    <t>DM Ordinary dated 7-16-19</t>
  </si>
  <si>
    <t>DM Ordinary dated 9-29-20</t>
  </si>
  <si>
    <t>DM Ordinary dated 10-4-21</t>
  </si>
  <si>
    <t>DM Ordinary dated 11-27-19</t>
  </si>
  <si>
    <t>DMTRA CA DM TRF AUTH dtd 7-13-20</t>
  </si>
  <si>
    <t>DM-ordinary dtd 10-19-18</t>
  </si>
  <si>
    <t>DMTRA CA DM TRF AUTH dtd 8/27/21</t>
  </si>
  <si>
    <t>DM-ordinary dtd 11-27-19</t>
  </si>
  <si>
    <t>DM-Ordinary dtd 10-5-21</t>
  </si>
  <si>
    <t>DM-ordinary dtd 7-8-21</t>
  </si>
  <si>
    <t>DM stubs checkbooks @360</t>
  </si>
  <si>
    <t>DM - ordinary dtd 10-5-21</t>
  </si>
  <si>
    <t>DM ordinary dtd 10-22-20</t>
  </si>
  <si>
    <t>DM ordinary dtd 10-5-21</t>
  </si>
  <si>
    <t>DM ordinary dtd 7-8-21</t>
  </si>
  <si>
    <t>1753-1045-04</t>
  </si>
  <si>
    <t>DM- Ordinary dtd 5-8-20</t>
  </si>
  <si>
    <t>DM- Ordinary dtd 10/8/20</t>
  </si>
  <si>
    <t>Book Errors</t>
  </si>
  <si>
    <t>Adjustment on JEV-2021-09-014178 was recorded as duplicte deposit with OR No.0237456-7, RCD-2021-09-08 dated 9-3-21</t>
  </si>
  <si>
    <t>Adjustment on JEV-2021-11-017438 was recorded as P27,000 instead of P24,000</t>
  </si>
  <si>
    <t>Adjustment on JEV-2021-11-017031 was recorded as P14,296.26 instead of P11,290.82</t>
  </si>
  <si>
    <t>Adjustment on JEV-2021-11-017834 was recorded as P14,296.26 instead of P11,290.83</t>
  </si>
  <si>
    <t>Adjustment on JEV-2021-11-017500 was recorded as P142,330.86 instead of P42,331.47</t>
  </si>
  <si>
    <t>Deposits</t>
  </si>
  <si>
    <t>Unrecorded deposit dated 8-28-20</t>
  </si>
  <si>
    <t>Deposit collections</t>
  </si>
  <si>
    <t>Unrecorded Deposit for the month of March 2020</t>
  </si>
  <si>
    <t>1742-1046-10</t>
  </si>
  <si>
    <t>Deposit of collections</t>
  </si>
  <si>
    <t>Untraceable deposit in transient</t>
  </si>
  <si>
    <t>Service Charge</t>
  </si>
  <si>
    <t>SC Minimum on July &amp; August 2019</t>
  </si>
  <si>
    <t>SC Minimum dtd 9/30/19</t>
  </si>
  <si>
    <t>SC Minimum dtd 10/31/19</t>
  </si>
  <si>
    <t>SC Minimum dtd 11/30/19</t>
  </si>
  <si>
    <t>SC Minimum dtd 12/27/19</t>
  </si>
  <si>
    <t>SC Minimum dtd 1/31/20</t>
  </si>
  <si>
    <t>SC Minimum dtd 2/28/20</t>
  </si>
  <si>
    <t>SC Minimum dtd 3/31/20</t>
  </si>
  <si>
    <t>SC Minimum dtd4/30/20</t>
  </si>
  <si>
    <t>SC Minimum dtd 5/29/20</t>
  </si>
  <si>
    <t>SC Minimum dtd 6/30/20</t>
  </si>
  <si>
    <t>SC Minimum dtd 7/30/20</t>
  </si>
  <si>
    <t>SC Minimum dtd 8/28/20</t>
  </si>
  <si>
    <t>Interest Income earned for the 4Q CY 2020</t>
  </si>
  <si>
    <t>Interest Income earned for the 1Q CY 2021</t>
  </si>
  <si>
    <t>Interest Income earned for the 2Q CY 2021</t>
  </si>
  <si>
    <t>Interest Income earned for the 3Q CY 2021</t>
  </si>
  <si>
    <t>Tax withheld on interest income for the 4Q CY 2020</t>
  </si>
  <si>
    <t>Tax withheld on interest income for the 1Q CY 2021</t>
  </si>
  <si>
    <t>Tax withheld on interest income for the 2Q CY 2021</t>
  </si>
  <si>
    <t>Tax withheld on interest income for the 3Q CY 2021</t>
  </si>
  <si>
    <t>Grand Total</t>
  </si>
  <si>
    <t>Schedule of Completed Pojects under CIP accounts</t>
  </si>
  <si>
    <t>No.</t>
  </si>
  <si>
    <t>Fund</t>
  </si>
  <si>
    <t>Account Code</t>
  </si>
  <si>
    <t>Account Title</t>
  </si>
  <si>
    <t>Description</t>
  </si>
  <si>
    <t>Date Completed</t>
  </si>
  <si>
    <t>Estimated useful life (in months)</t>
  </si>
  <si>
    <t>No. of months of depreciation as at year-end</t>
  </si>
  <si>
    <t>Total depreciation</t>
  </si>
  <si>
    <t>Asset Account</t>
  </si>
  <si>
    <t>CIP-Artesian Wells, Reservoirs, Pumping Stations and Conduits</t>
  </si>
  <si>
    <t>POW#2019-05-204_INSTALLATION OF WATER SYSTEM WITH RAINWATER HARVESTING FACILITY AT PANABO CITY</t>
  </si>
  <si>
    <t>Artesian Wells, Reservoirs, Pumping Stations and Conduits</t>
  </si>
  <si>
    <t>CIP-Agency Assets</t>
  </si>
  <si>
    <t>POW#2019-10-001_Site Developmentfor Resettlement Areas - Land Development (DAVIN) @ Brgy. San Franci</t>
  </si>
  <si>
    <t>Land Improvement</t>
  </si>
  <si>
    <t>Cons. of 477 li.m. Perimeter Fence Fronting Cityhall Government Center w/Gate Component @ Brgy. JP L</t>
  </si>
  <si>
    <t>CIP-Other Public Infrastructures</t>
  </si>
  <si>
    <t>Construction of Perimeter Fence at PAnabo City Eternal Garden, Brgy. Datu Abdul, Panabo City/Project</t>
  </si>
  <si>
    <t>POW#2021-05-004_Site Development for Resettlement Areas @Brgy. San Fracisco</t>
  </si>
  <si>
    <t>POW#2020-07-265_Rehabilitation/ Improvement of Multi-Purpose Building- Salvacion</t>
  </si>
  <si>
    <t>Other Public Infrastructure</t>
  </si>
  <si>
    <t>POW#2019-09-344_CONSTRUCTION OF BATCHING FOUNDATION</t>
  </si>
  <si>
    <t>POW#2019-12-484_COMPLETION/OPERATION OF ASPHALT BATCHING PLANT</t>
  </si>
  <si>
    <t>POW#2019-05-195_RENOVATION OF PANABO CITY TEEN CENTER</t>
  </si>
  <si>
    <t>COMPLETION OF MULTI-PURPOSE GYM, PUROK RAMIHAN, BRGY. DATU ABDUL_POW#2015-06-348</t>
  </si>
  <si>
    <t>CONSTRUCTION OF PANABO CITY MARICULTURE COMPLEX (BAYWALK PHASE III)_POW#2016-09-466</t>
  </si>
  <si>
    <t>CONSTRUCTION OF REHABILITATION CENTER FOR CICL_POW # 2015-05-280</t>
  </si>
  <si>
    <t>CONSTRUCTION OF WOMEN'S CRISIS CENTER @ BRGY. DATU ABDUL_POW # 2015-06-306</t>
  </si>
  <si>
    <t>CONSTRUCTION OF SOLAR DRYER, BRGY. MABUNAO_POW#2016-02-130</t>
  </si>
  <si>
    <t>CONSTRUCTION OF BAYWALK (EXPANSION ON-WARD THE SEASHORE)_POW#2017-05-454</t>
  </si>
  <si>
    <t>Installation of Traffic Lights w/ Controls &amp; Vehicle Sensor at Junction Quirino St. National Highway</t>
  </si>
  <si>
    <t>Construction of Tennis Court - Brgy. J.P Laurel, Panabo City</t>
  </si>
  <si>
    <t>CONSTRUCTION OF CONCRETE DRAINAGE, BRGY. UPPER LICANAN_POW#2015-10-587</t>
  </si>
  <si>
    <t>POW#2021-03-118_Construction of Water &amp; Sanitation Facilities(2 seater w/ PWD and sink), Consolacion</t>
  </si>
  <si>
    <t>Renovation of Angel Barachael Drop-in Center Phase II @ Brgy. New Pandan_POW#2016-08-397</t>
  </si>
  <si>
    <t>Other Structure</t>
  </si>
  <si>
    <t>Construction in Progress - Parks, Plazas and Monuments</t>
  </si>
  <si>
    <t>Improvement of Parks &amp; Plaza: Fencing &amp; Lightings_Old City Hall_POW#2015-04-238</t>
  </si>
  <si>
    <t>POW#2019-12-468_Improvement of Parks and Plaza at Old City Hall- New Pandan</t>
  </si>
  <si>
    <t>CIP-Roads, Highways and bridges</t>
  </si>
  <si>
    <t>Roads, Highways and bridges</t>
  </si>
  <si>
    <t>POW#2021-05-162_Concreting of Road- Consolacion to Malativas_300mm thick x 6.70m width x 944.50 ln.m</t>
  </si>
  <si>
    <t>CIP-Waterways, Aqueducts,Seawalls, Riverwalls and Others</t>
  </si>
  <si>
    <t>POW#2018-12-489_CONSTRUCTION OF DRAINAGE WITHIN PANABO PUBLIC PARK</t>
  </si>
  <si>
    <t>Waterways, Aqueducts,Seawalls, Riverwalls and Others</t>
  </si>
  <si>
    <t>Total - GF</t>
  </si>
  <si>
    <t>POW#2019-04-191_INSTALLATION OF WATER RESERVOIR/ TANK (BEST TANK, TAGPORE, ES</t>
  </si>
  <si>
    <t>Construction of Perimeter Fence @ Sison E.S., Brgy. Sindaton_POW#2016-08-396</t>
  </si>
  <si>
    <t>POW#2019-04-167_Construction of Perimeter Fence, So. Davao ES @Southern Davao</t>
  </si>
  <si>
    <t>POW#2019-05-199_CONSTRUCTION OF PERIMETER FENCE, PANABO CITY SHS</t>
  </si>
  <si>
    <t>FENCING OF ELEMENTARY SCHOOL - JP Laurel</t>
  </si>
  <si>
    <t>CONSTRUCTION OF PERIMETER FENCE , SINDATON E/S_POW#2016-07-358</t>
  </si>
  <si>
    <t>POW#2019-03-132_Construction of Perimeter Fence P. Changco ES @Brgy. Tibungol</t>
  </si>
  <si>
    <t>REPAIR AND MAINTENANCE OF SCHOOL BLDG., PANABO CENTRAL E/S, SPED_POW#2016-07-367</t>
  </si>
  <si>
    <t>CONST. OF 1 STOREY 2 CLASSROOM SCHOOL BLDG.- NEW MALITBOG HIGH SCHOOL EXT. (PHASE II)_POW # 2016-09-</t>
  </si>
  <si>
    <t>School Buidling</t>
  </si>
  <si>
    <t>IMPROVEMENT OF SCHOOL SITE, AOFES II, BRGY. SAN VICENTE_POW #  2016-08-405</t>
  </si>
  <si>
    <t>POW#2019-01-006_CONSTRUCTION OF SCHOOL BUILDING ONE (1) STOREY 2 CL SCHOOL BUILDING, KASILAK E/S</t>
  </si>
  <si>
    <t>POW#2019-07-263_COMPLETION OF SCHOOL BUILDING-ONE STOREY 3 CL 7 X 27 SCHOOL BUILDING, PHASE 2 SAN FR</t>
  </si>
  <si>
    <t>POW # 2018-06-257_SCHOOL SITE IMPROVEMENT(CONSTRUCTION OF DRAINAGE SYSTEM)A.O FLOIRENDO NHS</t>
  </si>
  <si>
    <t>Total - SEF</t>
  </si>
  <si>
    <t>Trust Fund</t>
  </si>
  <si>
    <t>IMPROVEMENT OF PANABO EMERGENCY CLINIC_POW # 2017-09-653</t>
  </si>
  <si>
    <t>POW#2020-03-166_Closure and Rehabilitation of Open Dumpsite (Phase II) @New Malitbog, PC</t>
  </si>
  <si>
    <t>MATERIAL RECOVERY FACILITY AND SHARP SEPTIC VAULT_POW #  2017-07-564</t>
  </si>
  <si>
    <t>CONSTRUCTION OF SEPTIC VAULT FOR DISPOSAL OF USED SHARPS &amp; PLACENTA</t>
  </si>
  <si>
    <t>Total - TF</t>
  </si>
  <si>
    <t>GRAND TOTAL</t>
  </si>
  <si>
    <t>List of beneficiaries at Barangay Quezon</t>
  </si>
  <si>
    <t>Name</t>
  </si>
  <si>
    <t>Status</t>
  </si>
  <si>
    <t>Year Hired</t>
  </si>
  <si>
    <t>Acdal, Wilfredo M</t>
  </si>
  <si>
    <t>permanent</t>
  </si>
  <si>
    <t>Acosta, Lenita B</t>
  </si>
  <si>
    <t>retired</t>
  </si>
  <si>
    <t>Aguisando, Helene May S</t>
  </si>
  <si>
    <t>Albasin, Randy A</t>
  </si>
  <si>
    <t>Almorato, Rex Joy C</t>
  </si>
  <si>
    <t>Alpuerto, Amy B</t>
  </si>
  <si>
    <t>Amper, Salee C</t>
  </si>
  <si>
    <t>Atanoza, Novie Joy M</t>
  </si>
  <si>
    <t>Bacalso, Perla B</t>
  </si>
  <si>
    <t>Balaga, Myrna M</t>
  </si>
  <si>
    <t>Balagot, Edito G</t>
  </si>
  <si>
    <t>Balanay, Erchied J</t>
  </si>
  <si>
    <t>Bascon, Mary Sim E</t>
  </si>
  <si>
    <t>Bautista, Rajed M</t>
  </si>
  <si>
    <t>Benedicto, Juliet S</t>
  </si>
  <si>
    <t>Bernaldez, Gloria T</t>
  </si>
  <si>
    <t>Betonio Rosiefe G</t>
  </si>
  <si>
    <t>Bustamante Jerry B</t>
  </si>
  <si>
    <t>Caballero, Maria Teresa L</t>
  </si>
  <si>
    <t>Cañete, Joel V</t>
  </si>
  <si>
    <t>Casil, Charlin B</t>
  </si>
  <si>
    <t>Catalan, Roel J</t>
  </si>
  <si>
    <t>Claudio, Lord Vincent M</t>
  </si>
  <si>
    <t>Consuegra, Mark Lester M</t>
  </si>
  <si>
    <t>Cozo, Cristito D</t>
  </si>
  <si>
    <t>Dacumos, Elizabeth U.</t>
  </si>
  <si>
    <t>Dela Gente, Jackie Joseph F</t>
  </si>
  <si>
    <t>Dela gente, Juliet C</t>
  </si>
  <si>
    <t>Dela Salde, Edwin B</t>
  </si>
  <si>
    <t>Deloso, Annabelle A</t>
  </si>
  <si>
    <t>Delusa, Brian G</t>
  </si>
  <si>
    <t>Demeterio, Ana B</t>
  </si>
  <si>
    <t>Descuatan, Elenita A</t>
  </si>
  <si>
    <t>Dianzon, Daisy L</t>
  </si>
  <si>
    <t>Donayre, Lolita L</t>
  </si>
  <si>
    <t>Ersan, Sheila D</t>
  </si>
  <si>
    <t>Escovilla, Rex S</t>
  </si>
  <si>
    <t>Estimada, Delia F</t>
  </si>
  <si>
    <t>Flores, Bernard R</t>
  </si>
  <si>
    <t>Gementiza, Cris</t>
  </si>
  <si>
    <t>Geraldo, Alma M</t>
  </si>
  <si>
    <t>Hofileña, Mary Divine Grace T</t>
  </si>
  <si>
    <t>Ibañez, Gesell H</t>
  </si>
  <si>
    <t>Idagdag, Ellen D</t>
  </si>
  <si>
    <t>Jaso, Marcelo Jr A</t>
  </si>
  <si>
    <t>Jumalon, Edena L</t>
  </si>
  <si>
    <t>Ladiao, Rita A</t>
  </si>
  <si>
    <t>Lamintac, Diane L</t>
  </si>
  <si>
    <t>Mazo, Joanne L.</t>
  </si>
  <si>
    <t>Leoppardas, Antolin</t>
  </si>
  <si>
    <t>Lintangi, Molina B</t>
  </si>
  <si>
    <t>Liquigan, Edisa P</t>
  </si>
  <si>
    <t>Lumain, Eulogia S</t>
  </si>
  <si>
    <t>Lumba, Milagros G</t>
  </si>
  <si>
    <t>Madalo, Anabela T</t>
  </si>
  <si>
    <t>Magallon, Emma N</t>
  </si>
  <si>
    <t>Maquilan, Karen Ann R</t>
  </si>
  <si>
    <t>Martin, Ereneo P</t>
  </si>
  <si>
    <t>Matutino, Rhodora O</t>
  </si>
  <si>
    <t>Medalla, Charlote</t>
  </si>
  <si>
    <t>Miano, Cielito N</t>
  </si>
  <si>
    <t>Milloria, Domindor H</t>
  </si>
  <si>
    <t>Moran, Claudette C</t>
  </si>
  <si>
    <t>Nacario, Juliet S</t>
  </si>
  <si>
    <t>Navasca, Nenita</t>
  </si>
  <si>
    <t>Nicolas, Thelma P</t>
  </si>
  <si>
    <t>Nono, Evelyn L</t>
  </si>
  <si>
    <t>Olmillo, Michael E</t>
  </si>
  <si>
    <t>Olpindo, Dennis M</t>
  </si>
  <si>
    <t>Onong, Avelino A</t>
  </si>
  <si>
    <t>Oriol, Lorelies R</t>
  </si>
  <si>
    <t>Paman, Ignacio T</t>
  </si>
  <si>
    <t>Pausal, Ninfa M</t>
  </si>
  <si>
    <t>Payot Darlene E</t>
  </si>
  <si>
    <t>deceased</t>
  </si>
  <si>
    <t>Payot, Esteban</t>
  </si>
  <si>
    <t>Perez, Edward G</t>
  </si>
  <si>
    <t>Quieta, Carlyn T</t>
  </si>
  <si>
    <t>Ramos, Mitch D</t>
  </si>
  <si>
    <t>Rasay, Arlene C</t>
  </si>
  <si>
    <t>Rescalar, Loren V</t>
  </si>
  <si>
    <t>Reyes, Cresenciana A</t>
  </si>
  <si>
    <t>Roma, Myrna I</t>
  </si>
  <si>
    <t>Rosario, Jesse Gregg G</t>
  </si>
  <si>
    <t>Sala, Joel D</t>
  </si>
  <si>
    <t>Saligumba, Leila P</t>
  </si>
  <si>
    <t>Samarca, Evelyn C</t>
  </si>
  <si>
    <t>Samillano, Sarah D</t>
  </si>
  <si>
    <t>Sanchez, Rowena V</t>
  </si>
  <si>
    <t>Sioson, Harold C</t>
  </si>
  <si>
    <t>Solicar, Jose Darwin Clark</t>
  </si>
  <si>
    <t>Somozo, Evelyn A</t>
  </si>
  <si>
    <t>Suello, Maria Mildred E</t>
  </si>
  <si>
    <t>Tinaco, Elene R.</t>
  </si>
  <si>
    <t>Valenciano, Philamor</t>
  </si>
  <si>
    <t>Rian Marcos</t>
  </si>
  <si>
    <t>Coterminous</t>
  </si>
  <si>
    <t>Vanessa Lou Bugay</t>
  </si>
  <si>
    <t>Honey Kate Ayco</t>
  </si>
  <si>
    <t>Casual</t>
  </si>
  <si>
    <t>Rose Ann Regmal</t>
  </si>
  <si>
    <t>Michael Van Cogollodo</t>
  </si>
  <si>
    <t>Joshua Guia</t>
  </si>
  <si>
    <t>Lovena Adlawan</t>
  </si>
  <si>
    <t>Eajean Joy Princess Nicolas</t>
  </si>
  <si>
    <t>lester John Bulfango</t>
  </si>
  <si>
    <t>Joseph Sayao</t>
  </si>
  <si>
    <t>Janielyn V. Saclot</t>
  </si>
  <si>
    <t>Reynard Engada</t>
  </si>
  <si>
    <t>Hepher Santos</t>
  </si>
  <si>
    <t>Charle Louise Dequina</t>
  </si>
  <si>
    <t>Justine Keziah Antalan</t>
  </si>
  <si>
    <t>Analyn Encarnacion</t>
  </si>
  <si>
    <t>James Paul Balbastro</t>
  </si>
  <si>
    <t>Edward Alilin</t>
  </si>
  <si>
    <t>Resigned</t>
  </si>
  <si>
    <t>Sharon Ranain</t>
  </si>
  <si>
    <t>Meljun Badal</t>
  </si>
  <si>
    <t>Daisy Canlobo</t>
  </si>
  <si>
    <t>Maria Fatima Ormega</t>
  </si>
  <si>
    <t>Yza Vera Persigas</t>
  </si>
  <si>
    <t>Sandy Sangco</t>
  </si>
  <si>
    <t>Fe Garcia</t>
  </si>
  <si>
    <t>Annex J</t>
  </si>
  <si>
    <t>List of beneficiaries who owned a lot</t>
  </si>
  <si>
    <t>Cozo, Crsitito D</t>
  </si>
  <si>
    <t>Descuatan, Elinita A</t>
  </si>
  <si>
    <t>Rasay, Arline C</t>
  </si>
  <si>
    <t>Rescallar, Loren V</t>
  </si>
  <si>
    <t>Tinaco, Elene R</t>
  </si>
  <si>
    <t>Annex K</t>
  </si>
  <si>
    <t>Annex A: Total COVID-19 Vaccines Received  by the City of Panabo and its Ending Inventory</t>
  </si>
  <si>
    <t>As of December 31, 2021</t>
  </si>
  <si>
    <t>Per GSO</t>
  </si>
  <si>
    <t>Per Audit</t>
  </si>
  <si>
    <t>Remarks</t>
  </si>
  <si>
    <t>Received</t>
  </si>
  <si>
    <t>Ending balance</t>
  </si>
  <si>
    <t>DATE</t>
  </si>
  <si>
    <t>PTR No.</t>
  </si>
  <si>
    <t>Vaccine Brand</t>
  </si>
  <si>
    <r>
      <rPr>
        <b/>
        <sz val="11"/>
        <color theme="1"/>
        <rFont val="Times New Roman"/>
        <family val="1"/>
      </rPr>
      <t xml:space="preserve">Received From </t>
    </r>
    <r>
      <rPr>
        <sz val="11"/>
        <color theme="1"/>
        <rFont val="Times New Roman"/>
        <family val="1"/>
      </rPr>
      <t xml:space="preserve">   </t>
    </r>
    <r>
      <rPr>
        <i/>
        <sz val="11"/>
        <color theme="1"/>
        <rFont val="Bodoni MT"/>
        <family val="1"/>
      </rPr>
      <t/>
    </r>
  </si>
  <si>
    <t>Qty</t>
  </si>
  <si>
    <t>Price</t>
  </si>
  <si>
    <t>a</t>
  </si>
  <si>
    <t>b</t>
  </si>
  <si>
    <t>(a x b)</t>
  </si>
  <si>
    <t>c</t>
  </si>
  <si>
    <t>(c x b)</t>
  </si>
  <si>
    <t>First Dose</t>
  </si>
  <si>
    <t>CVS-21-03-03</t>
  </si>
  <si>
    <t>Astrazeneca</t>
  </si>
  <si>
    <t>PHO</t>
  </si>
  <si>
    <t>Sinovac</t>
  </si>
  <si>
    <t>As per PTR, 600 units of Sinovac with unit price of P714.37, was erroneously totaled as P214,311.00.</t>
  </si>
  <si>
    <t>21-V-03-20</t>
  </si>
  <si>
    <t>21-V-03-69</t>
  </si>
  <si>
    <t>V-21-04-16</t>
  </si>
  <si>
    <t>V-21-04-19</t>
  </si>
  <si>
    <t>V-21-04-35</t>
  </si>
  <si>
    <t>V-21-05-18</t>
  </si>
  <si>
    <t>V-21-05-46</t>
  </si>
  <si>
    <t>V-21-05-61</t>
  </si>
  <si>
    <t>V-21-05-72</t>
  </si>
  <si>
    <t>V-21-06-88</t>
  </si>
  <si>
    <t>V-21-07-08</t>
  </si>
  <si>
    <t>V-21-07-41</t>
  </si>
  <si>
    <t>V-21-08-13</t>
  </si>
  <si>
    <t>V-21-08-19</t>
  </si>
  <si>
    <t>Moderna</t>
  </si>
  <si>
    <t>V-21-08-53</t>
  </si>
  <si>
    <t>V-21-08-73</t>
  </si>
  <si>
    <t>V-21-08-83</t>
  </si>
  <si>
    <t>V-21-08-97</t>
  </si>
  <si>
    <t>Pfizer</t>
  </si>
  <si>
    <t>V-21-08-150</t>
  </si>
  <si>
    <t>V-21-08-148</t>
  </si>
  <si>
    <t>V-21-08-184</t>
  </si>
  <si>
    <t>V-21-09-41</t>
  </si>
  <si>
    <t>V-21-09-52</t>
  </si>
  <si>
    <t>Sinophram</t>
  </si>
  <si>
    <t>V-21-09-79</t>
  </si>
  <si>
    <t>V-21-09-87</t>
  </si>
  <si>
    <t>V-21-09-108</t>
  </si>
  <si>
    <t>V-21-10-14</t>
  </si>
  <si>
    <t>V-21-10-24</t>
  </si>
  <si>
    <t>V-21-10-32</t>
  </si>
  <si>
    <t>V-21-10-66</t>
  </si>
  <si>
    <t>V-21-10-69</t>
  </si>
  <si>
    <t>V-21-10-74</t>
  </si>
  <si>
    <t>V-21-10-75</t>
  </si>
  <si>
    <t>11/0/2021</t>
  </si>
  <si>
    <t>21-V-11-107</t>
  </si>
  <si>
    <t>DOH RO XI</t>
  </si>
  <si>
    <t>V-21-11-07</t>
  </si>
  <si>
    <t>V-21-11-44</t>
  </si>
  <si>
    <t>V-21-11-79</t>
  </si>
  <si>
    <t>V-21-11-84</t>
  </si>
  <si>
    <t>V-21-11-106</t>
  </si>
  <si>
    <t>V-21-11-119</t>
  </si>
  <si>
    <t>V-21-11-131</t>
  </si>
  <si>
    <t>V-21-11-145</t>
  </si>
  <si>
    <t>21-V-11-24</t>
  </si>
  <si>
    <t>Correctly recorded in the books</t>
  </si>
  <si>
    <t>21-V-11-71</t>
  </si>
  <si>
    <t>PFIZER Comirnaty Vaccine</t>
  </si>
  <si>
    <t>12/0/2021</t>
  </si>
  <si>
    <t>21-V-12-125</t>
  </si>
  <si>
    <t>- 14,570 vials were the total allocation for Davao del Norte, of which  2,480 vials were received by Panabo.
-Correctly recorded in the books</t>
  </si>
  <si>
    <t>V-21-12-02</t>
  </si>
  <si>
    <t>V-21-12-25</t>
  </si>
  <si>
    <t>V-21-12-49</t>
  </si>
  <si>
    <t>V-21-12-51</t>
  </si>
  <si>
    <t>V-21-12-59</t>
  </si>
  <si>
    <t>V-21-12-70</t>
  </si>
  <si>
    <t>V-21-12-90</t>
  </si>
  <si>
    <t>Janssen</t>
  </si>
  <si>
    <t>Second Dose</t>
  </si>
  <si>
    <t>V-21-04-05</t>
  </si>
  <si>
    <t>V-21-05-08</t>
  </si>
  <si>
    <t>V-21-05-21</t>
  </si>
  <si>
    <t>V-21-06-06</t>
  </si>
  <si>
    <t>V-21-06-34</t>
  </si>
  <si>
    <t>V-21-06-51</t>
  </si>
  <si>
    <t>V-21-07-73</t>
  </si>
  <si>
    <t>J &amp; J</t>
  </si>
  <si>
    <t>V-21-07-82</t>
  </si>
  <si>
    <t>V-21-07-96</t>
  </si>
  <si>
    <t>V-21-08-18</t>
  </si>
  <si>
    <t>V-21-08-112</t>
  </si>
  <si>
    <t>V-21-08-126</t>
  </si>
  <si>
    <t>V-21-08-129</t>
  </si>
  <si>
    <t>V-21-08-172</t>
  </si>
  <si>
    <t>V-21-08-196</t>
  </si>
  <si>
    <t>V-21-09-12</t>
  </si>
  <si>
    <t>V-21-09-27</t>
  </si>
  <si>
    <t>V-21-09-60</t>
  </si>
  <si>
    <t>V-21-09-71</t>
  </si>
  <si>
    <t>V-21-09-93</t>
  </si>
  <si>
    <t>V-21-09-116</t>
  </si>
  <si>
    <t>V-21-10-02</t>
  </si>
  <si>
    <t>V-21-10-50</t>
  </si>
  <si>
    <t>V-21-10-57</t>
  </si>
  <si>
    <t>V-21-10-84</t>
  </si>
  <si>
    <t>V-21-10-103</t>
  </si>
  <si>
    <t>V-21-11-15</t>
  </si>
  <si>
    <t>V-21-11-20</t>
  </si>
  <si>
    <t>V-21-11-49</t>
  </si>
  <si>
    <t>V-21-11-64</t>
  </si>
  <si>
    <t>V-21-11-93</t>
  </si>
  <si>
    <t>V-21-12-12</t>
  </si>
  <si>
    <t>V-21-12-37</t>
  </si>
  <si>
    <t>V-21-12-106</t>
  </si>
  <si>
    <t>V-21-12-84</t>
  </si>
  <si>
    <t>V-21-12-85-A</t>
  </si>
  <si>
    <t>V-21-12-86-B</t>
  </si>
  <si>
    <t>LGU TAGUM</t>
  </si>
  <si>
    <t>V-21-12-102</t>
  </si>
  <si>
    <t>V-21-12-103</t>
  </si>
  <si>
    <t>TOTAL COVID-19 VACCINES</t>
  </si>
  <si>
    <t>Annex H</t>
  </si>
  <si>
    <t>Annex I</t>
  </si>
  <si>
    <t>Annex L</t>
  </si>
  <si>
    <t>CY 2021 Financial Reports of Panabo City as posted in FDP Portal</t>
  </si>
  <si>
    <t>Annual Budget Report;</t>
  </si>
  <si>
    <t>Annual Budget Report:</t>
  </si>
  <si>
    <t>Annual Procurement Plan;</t>
  </si>
  <si>
    <t>Statement of Receipts and Expenditures;</t>
  </si>
  <si>
    <t>GAD Accomplishment Report;</t>
  </si>
  <si>
    <t>Local Disaster Risk and Reduction and Management Fund Utilization;</t>
  </si>
  <si>
    <t>Special Education Fund Utilization</t>
  </si>
  <si>
    <t>20% Component of the IRA Utilization;</t>
  </si>
  <si>
    <t>Trust Fund Utilization</t>
  </si>
  <si>
    <t>Annual Procurement Plan:</t>
  </si>
  <si>
    <t>Quarterly Statement of Cash Flows;</t>
  </si>
  <si>
    <t>Supplemental Procurement Plan; and</t>
  </si>
  <si>
    <t>Manpower Component</t>
  </si>
  <si>
    <t>Supplemental Procurement Plan:</t>
  </si>
  <si>
    <t>Statement of Receipts and Expenditures:</t>
  </si>
  <si>
    <t>GAD Accomplishment Report:</t>
  </si>
  <si>
    <t>Annex M</t>
  </si>
  <si>
    <t>(With Comparative Figures for CY 2020)</t>
  </si>
  <si>
    <t>As at  December 31, 2021</t>
  </si>
  <si>
    <t>For the Year Ended December 31, 2021</t>
  </si>
  <si>
    <t>(With Comparative figures in 2020)</t>
  </si>
  <si>
    <t>b.  Tax Revenue - Other Local Taxes</t>
  </si>
  <si>
    <t>c. Other Income and Receipts</t>
  </si>
  <si>
    <t>a. Service Income</t>
  </si>
  <si>
    <t>b. Business Income</t>
  </si>
  <si>
    <t>Schedule of Completed Projects under CIP accounts</t>
  </si>
  <si>
    <t>Annex F</t>
  </si>
  <si>
    <t>Annex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</si>
</sst>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0.00;[Black]\(#,##0.00\)"/>
    <numFmt numFmtId="166" formatCode="#,##0.0000000_);\(#,##0.0000000\)"/>
    <numFmt numFmtId="167" formatCode="_(* #,##0_);_(* \(#,##0\);_(* &quot;-&quot;??_);_(@_)"/>
    <numFmt numFmtId="168" formatCode="_-* #,##0_-;\-* #,##0_-;_-* &quot;-&quot;??_-;_-@_-"/>
    <numFmt numFmtId="169" formatCode="#,##0.00;\(#,##0.00\)"/>
  </numFmts>
  <fonts count="52" x14ac:knownFonts="1">
    <font>
      <sz val="11"/>
      <color theme="1"/>
      <name val="Calibri"/>
      <family val="2"/>
      <scheme val="minor"/>
    </font>
    <font>
      <sz val="11"/>
      <color theme="1"/>
      <name val="Calibri"/>
      <family val="2"/>
      <scheme val="minor"/>
    </font>
    <font>
      <sz val="11"/>
      <color theme="1"/>
      <name val="Times New Roman"/>
      <family val="1"/>
    </font>
    <font>
      <sz val="10"/>
      <color theme="1"/>
      <name val="Times New Roman"/>
      <family val="1"/>
    </font>
    <font>
      <sz val="10"/>
      <name val="Arial"/>
      <family val="2"/>
    </font>
    <font>
      <b/>
      <sz val="11.05"/>
      <color indexed="8"/>
      <name val="Arial"/>
      <family val="2"/>
    </font>
    <font>
      <b/>
      <i/>
      <sz val="12"/>
      <color indexed="8"/>
      <name val="Times New Roman"/>
      <family val="1"/>
    </font>
    <font>
      <b/>
      <sz val="10"/>
      <name val="Times New Roman"/>
      <family val="1"/>
    </font>
    <font>
      <sz val="10"/>
      <name val="Times New Roman"/>
      <family val="1"/>
    </font>
    <font>
      <sz val="10"/>
      <color indexed="8"/>
      <name val="Times New Roman"/>
      <family val="1"/>
    </font>
    <font>
      <b/>
      <sz val="10"/>
      <color indexed="8"/>
      <name val="Times New Roman"/>
      <family val="1"/>
    </font>
    <font>
      <b/>
      <sz val="10"/>
      <color indexed="12"/>
      <name val="Times New Roman"/>
      <family val="1"/>
    </font>
    <font>
      <sz val="10"/>
      <color indexed="10"/>
      <name val="Times New Roman"/>
      <family val="1"/>
    </font>
    <font>
      <b/>
      <sz val="10"/>
      <color indexed="48"/>
      <name val="Times New Roman"/>
      <family val="1"/>
    </font>
    <font>
      <b/>
      <sz val="12"/>
      <name val="Times New Roman"/>
      <family val="1"/>
    </font>
    <font>
      <sz val="12"/>
      <color indexed="8"/>
      <name val="Times New Roman"/>
      <family val="1"/>
    </font>
    <font>
      <sz val="12"/>
      <name val="Times New Roman"/>
      <family val="1"/>
    </font>
    <font>
      <b/>
      <sz val="12"/>
      <color indexed="8"/>
      <name val="Times New Roman"/>
      <family val="1"/>
    </font>
    <font>
      <b/>
      <i/>
      <sz val="10"/>
      <color indexed="8"/>
      <name val="Times New Roman"/>
      <family val="1"/>
    </font>
    <font>
      <i/>
      <sz val="10"/>
      <color indexed="8"/>
      <name val="Times New Roman"/>
      <family val="1"/>
    </font>
    <font>
      <b/>
      <sz val="10"/>
      <color indexed="9"/>
      <name val="Times New Roman"/>
      <family val="1"/>
    </font>
    <font>
      <sz val="10"/>
      <color indexed="9"/>
      <name val="Times New Roman"/>
      <family val="1"/>
    </font>
    <font>
      <b/>
      <sz val="10"/>
      <color rgb="FF0070C0"/>
      <name val="Times New Roman"/>
      <family val="1"/>
    </font>
    <font>
      <sz val="10"/>
      <color rgb="FF0070C0"/>
      <name val="Times New Roman"/>
      <family val="1"/>
    </font>
    <font>
      <sz val="10"/>
      <color indexed="61"/>
      <name val="Times New Roman"/>
      <family val="1"/>
    </font>
    <font>
      <b/>
      <sz val="10"/>
      <color indexed="10"/>
      <name val="Times New Roman"/>
      <family val="1"/>
    </font>
    <font>
      <b/>
      <sz val="9"/>
      <color indexed="81"/>
      <name val="Tahoma"/>
      <family val="2"/>
    </font>
    <font>
      <sz val="9"/>
      <color indexed="81"/>
      <name val="Tahoma"/>
      <family val="2"/>
    </font>
    <font>
      <sz val="12"/>
      <color indexed="10"/>
      <name val="Times New Roman"/>
      <family val="1"/>
    </font>
    <font>
      <i/>
      <sz val="12"/>
      <name val="Times New Roman"/>
      <family val="1"/>
    </font>
    <font>
      <sz val="12"/>
      <color rgb="FFFF0000"/>
      <name val="Times New Roman"/>
      <family val="1"/>
    </font>
    <font>
      <b/>
      <i/>
      <sz val="12"/>
      <name val="Times New Roman"/>
      <family val="1"/>
    </font>
    <font>
      <b/>
      <sz val="14"/>
      <name val="Times New Roman"/>
      <family val="1"/>
    </font>
    <font>
      <sz val="14"/>
      <name val="Times New Roman"/>
      <family val="1"/>
    </font>
    <font>
      <i/>
      <sz val="14"/>
      <name val="Times New Roman"/>
      <family val="1"/>
    </font>
    <font>
      <b/>
      <sz val="12"/>
      <color indexed="9"/>
      <name val="Times New Roman"/>
      <family val="1"/>
    </font>
    <font>
      <b/>
      <sz val="11"/>
      <name val="Times New Roman"/>
      <family val="1"/>
    </font>
    <font>
      <sz val="11"/>
      <name val="Times New Roman"/>
      <family val="1"/>
    </font>
    <font>
      <i/>
      <sz val="11"/>
      <name val="Times New Roman"/>
      <family val="1"/>
    </font>
    <font>
      <sz val="11"/>
      <color rgb="FFFF0000"/>
      <name val="Times New Roman"/>
      <family val="1"/>
    </font>
    <font>
      <b/>
      <sz val="11"/>
      <color theme="1"/>
      <name val="Times New Roman"/>
      <family val="1"/>
    </font>
    <font>
      <b/>
      <sz val="11"/>
      <color indexed="8"/>
      <name val="Times New Roman"/>
      <family val="1"/>
    </font>
    <font>
      <sz val="12"/>
      <color theme="1"/>
      <name val="Times New Roman"/>
      <family val="1"/>
    </font>
    <font>
      <b/>
      <sz val="12"/>
      <color theme="1"/>
      <name val="Times New Roman"/>
      <family val="1"/>
    </font>
    <font>
      <b/>
      <sz val="10.5"/>
      <color theme="1"/>
      <name val="Times New Roman"/>
      <family val="1"/>
    </font>
    <font>
      <i/>
      <sz val="11"/>
      <color theme="1"/>
      <name val="Bodoni MT"/>
      <family val="1"/>
    </font>
    <font>
      <b/>
      <sz val="10"/>
      <color theme="1"/>
      <name val="Times New Roman"/>
      <family val="1"/>
    </font>
    <font>
      <sz val="8"/>
      <color theme="1"/>
      <name val="Times New Roman"/>
      <family val="1"/>
    </font>
    <font>
      <sz val="8"/>
      <color theme="1"/>
      <name val="Calibri"/>
      <family val="2"/>
      <scheme val="minor"/>
    </font>
    <font>
      <b/>
      <sz val="8"/>
      <color theme="1"/>
      <name val="Times New Roman"/>
      <family val="1"/>
    </font>
    <font>
      <b/>
      <u val="double"/>
      <sz val="8"/>
      <color theme="1"/>
      <name val="Times New Roman"/>
      <family val="1"/>
    </font>
    <font>
      <b/>
      <u val="doubleAccounting"/>
      <sz val="8"/>
      <color theme="1"/>
      <name val="Times New Roman"/>
      <family val="1"/>
    </font>
  </fonts>
  <fills count="11">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tint="-0.499984740745262"/>
        <bgColor indexed="64"/>
      </patternFill>
    </fill>
    <fill>
      <patternFill patternType="solid">
        <fgColor theme="9" tint="0.39997558519241921"/>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double">
        <color indexed="64"/>
      </bottom>
      <diagonal/>
    </border>
    <border>
      <left/>
      <right/>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style="medium">
        <color indexed="64"/>
      </top>
      <bottom/>
      <diagonal/>
    </border>
    <border>
      <left/>
      <right style="thin">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double">
        <color indexed="64"/>
      </bottom>
      <diagonal/>
    </border>
    <border>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medium">
        <color indexed="64"/>
      </right>
      <top/>
      <bottom style="double">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thin">
        <color indexed="64"/>
      </top>
      <bottom style="double">
        <color indexed="64"/>
      </bottom>
      <diagonal/>
    </border>
    <border>
      <left style="medium">
        <color indexed="64"/>
      </left>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s>
  <cellStyleXfs count="12">
    <xf numFmtId="0" fontId="0"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1" fillId="0" borderId="0" applyFont="0" applyFill="0" applyBorder="0" applyAlignment="0" applyProtection="0"/>
    <xf numFmtId="0" fontId="4" fillId="0" borderId="0"/>
    <xf numFmtId="164" fontId="4" fillId="0" borderId="0" applyFont="0" applyFill="0" applyBorder="0" applyAlignment="0" applyProtection="0"/>
    <xf numFmtId="43" fontId="1" fillId="0" borderId="0" applyFont="0" applyFill="0" applyBorder="0" applyAlignment="0" applyProtection="0"/>
  </cellStyleXfs>
  <cellXfs count="699">
    <xf numFmtId="0" fontId="0" fillId="0" borderId="0" xfId="0"/>
    <xf numFmtId="0" fontId="8" fillId="0" borderId="0" xfId="0" applyNumberFormat="1" applyFont="1" applyFill="1" applyBorder="1" applyAlignment="1" applyProtection="1"/>
    <xf numFmtId="164" fontId="8" fillId="0" borderId="0" xfId="0" applyNumberFormat="1" applyFont="1" applyFill="1" applyBorder="1"/>
    <xf numFmtId="0" fontId="8" fillId="0" borderId="0" xfId="0" applyFont="1" applyFill="1" applyBorder="1"/>
    <xf numFmtId="0" fontId="8" fillId="2" borderId="0" xfId="0" applyFont="1" applyFill="1" applyBorder="1" applyAlignment="1">
      <alignment horizontal="left" vertical="center"/>
    </xf>
    <xf numFmtId="0" fontId="9" fillId="0" borderId="0" xfId="0" applyNumberFormat="1" applyFont="1" applyFill="1" applyBorder="1" applyAlignment="1" applyProtection="1"/>
    <xf numFmtId="164" fontId="10" fillId="0" borderId="6" xfId="0" applyNumberFormat="1" applyFont="1" applyFill="1" applyBorder="1" applyAlignment="1">
      <alignment horizontal="center" vertical="center"/>
    </xf>
    <xf numFmtId="164" fontId="10" fillId="0" borderId="6" xfId="0" applyNumberFormat="1" applyFont="1" applyFill="1" applyBorder="1" applyAlignment="1" applyProtection="1">
      <alignment horizontal="center" vertical="center"/>
    </xf>
    <xf numFmtId="0" fontId="10" fillId="0" borderId="0" xfId="1" applyFont="1" applyFill="1" applyBorder="1" applyAlignment="1">
      <alignment vertical="center"/>
    </xf>
    <xf numFmtId="164" fontId="9" fillId="0" borderId="0" xfId="0" applyNumberFormat="1" applyFont="1" applyFill="1" applyBorder="1" applyAlignment="1" applyProtection="1"/>
    <xf numFmtId="0" fontId="9" fillId="0" borderId="0" xfId="1" applyFont="1" applyFill="1" applyBorder="1" applyAlignment="1">
      <alignment vertical="center"/>
    </xf>
    <xf numFmtId="164" fontId="8" fillId="0" borderId="0" xfId="5" applyFont="1" applyFill="1" applyBorder="1"/>
    <xf numFmtId="0" fontId="10" fillId="0" borderId="0" xfId="0" applyNumberFormat="1" applyFont="1" applyFill="1" applyBorder="1" applyAlignment="1" applyProtection="1"/>
    <xf numFmtId="164" fontId="8" fillId="0" borderId="0" xfId="5" applyNumberFormat="1" applyFont="1" applyFill="1" applyBorder="1" applyAlignment="1" applyProtection="1"/>
    <xf numFmtId="164" fontId="8" fillId="0" borderId="0" xfId="0" applyNumberFormat="1" applyFont="1" applyFill="1" applyBorder="1" applyAlignment="1" applyProtection="1"/>
    <xf numFmtId="0" fontId="12" fillId="0" borderId="0" xfId="0" applyFont="1" applyFill="1" applyBorder="1"/>
    <xf numFmtId="164" fontId="10" fillId="0" borderId="0" xfId="0" applyNumberFormat="1" applyFont="1" applyFill="1" applyBorder="1" applyAlignment="1" applyProtection="1"/>
    <xf numFmtId="0" fontId="9" fillId="0" borderId="0" xfId="1" applyNumberFormat="1" applyFont="1" applyFill="1" applyBorder="1" applyAlignment="1" applyProtection="1"/>
    <xf numFmtId="0" fontId="7" fillId="0" borderId="0" xfId="1" applyFont="1" applyFill="1" applyBorder="1" applyAlignment="1">
      <alignment vertical="center"/>
    </xf>
    <xf numFmtId="0" fontId="7" fillId="0" borderId="0" xfId="0" applyNumberFormat="1" applyFont="1" applyFill="1" applyBorder="1" applyAlignment="1" applyProtection="1"/>
    <xf numFmtId="164" fontId="8" fillId="0" borderId="0" xfId="5" applyFont="1" applyFill="1" applyBorder="1" applyAlignment="1" applyProtection="1"/>
    <xf numFmtId="0" fontId="14" fillId="0" borderId="0" xfId="1" applyFont="1" applyFill="1" applyBorder="1" applyAlignment="1">
      <alignment vertical="center"/>
    </xf>
    <xf numFmtId="0" fontId="15" fillId="0" borderId="0" xfId="0" applyNumberFormat="1" applyFont="1" applyFill="1" applyBorder="1" applyAlignment="1" applyProtection="1"/>
    <xf numFmtId="164" fontId="15" fillId="0" borderId="0" xfId="5" applyNumberFormat="1" applyFont="1" applyFill="1" applyBorder="1" applyAlignment="1" applyProtection="1"/>
    <xf numFmtId="0" fontId="6" fillId="0" borderId="0" xfId="0" applyNumberFormat="1" applyFont="1" applyFill="1" applyBorder="1" applyAlignment="1" applyProtection="1">
      <alignment horizontal="left" vertical="center" indent="4"/>
    </xf>
    <xf numFmtId="0" fontId="17" fillId="0" borderId="0" xfId="0" applyNumberFormat="1" applyFont="1" applyFill="1" applyBorder="1" applyAlignment="1" applyProtection="1"/>
    <xf numFmtId="164" fontId="17" fillId="0" borderId="0" xfId="5" applyNumberFormat="1" applyFont="1" applyFill="1" applyBorder="1" applyAlignment="1" applyProtection="1"/>
    <xf numFmtId="0" fontId="18" fillId="0" borderId="0" xfId="0" applyNumberFormat="1" applyFont="1" applyFill="1" applyBorder="1" applyAlignment="1" applyProtection="1">
      <alignment horizontal="left" vertical="center" indent="4"/>
    </xf>
    <xf numFmtId="0" fontId="9" fillId="0" borderId="0" xfId="0" applyNumberFormat="1" applyFont="1" applyFill="1" applyBorder="1" applyAlignment="1" applyProtection="1">
      <alignment horizontal="left" vertical="center" wrapText="1"/>
    </xf>
    <xf numFmtId="0" fontId="9" fillId="0" borderId="0" xfId="0" applyNumberFormat="1" applyFont="1" applyFill="1" applyBorder="1" applyAlignment="1" applyProtection="1">
      <alignment wrapText="1"/>
    </xf>
    <xf numFmtId="0" fontId="10" fillId="0" borderId="0" xfId="0" applyNumberFormat="1" applyFont="1" applyFill="1" applyBorder="1" applyAlignment="1" applyProtection="1">
      <alignment horizontal="justify" vertical="center" wrapText="1"/>
    </xf>
    <xf numFmtId="0" fontId="9" fillId="0" borderId="0" xfId="0" applyNumberFormat="1" applyFont="1" applyFill="1" applyBorder="1" applyAlignment="1" applyProtection="1">
      <alignment horizontal="justify" vertical="center" wrapText="1"/>
    </xf>
    <xf numFmtId="0" fontId="8" fillId="2" borderId="0" xfId="0" applyFont="1" applyFill="1"/>
    <xf numFmtId="0" fontId="7" fillId="2" borderId="0" xfId="0" applyFont="1" applyFill="1" applyBorder="1" applyAlignment="1">
      <alignment vertical="center"/>
    </xf>
    <xf numFmtId="0" fontId="7" fillId="2" borderId="0" xfId="0" applyFont="1" applyFill="1" applyBorder="1" applyAlignment="1">
      <alignment vertical="center" wrapText="1"/>
    </xf>
    <xf numFmtId="164" fontId="7" fillId="2" borderId="0" xfId="8" applyFont="1" applyFill="1" applyBorder="1" applyAlignment="1">
      <alignment horizontal="center" vertical="center"/>
    </xf>
    <xf numFmtId="164" fontId="9" fillId="2" borderId="0" xfId="0" applyNumberFormat="1" applyFont="1" applyFill="1" applyBorder="1" applyAlignment="1" applyProtection="1">
      <alignment vertical="center"/>
    </xf>
    <xf numFmtId="0" fontId="2" fillId="2" borderId="0" xfId="0" applyFont="1" applyFill="1" applyAlignment="1">
      <alignment wrapText="1"/>
    </xf>
    <xf numFmtId="0" fontId="2" fillId="2" borderId="0" xfId="0" applyFont="1" applyFill="1"/>
    <xf numFmtId="0" fontId="8" fillId="0" borderId="0" xfId="0" applyFont="1" applyFill="1" applyBorder="1" applyAlignment="1">
      <alignment horizontal="left" vertical="center"/>
    </xf>
    <xf numFmtId="164" fontId="9" fillId="0" borderId="0" xfId="5" applyFont="1" applyFill="1" applyBorder="1" applyAlignment="1" applyProtection="1">
      <alignment horizontal="left"/>
    </xf>
    <xf numFmtId="164" fontId="9" fillId="0" borderId="0" xfId="5" applyFont="1" applyFill="1" applyBorder="1" applyAlignment="1" applyProtection="1"/>
    <xf numFmtId="164" fontId="20" fillId="0" borderId="0" xfId="5" applyFont="1" applyFill="1" applyBorder="1" applyAlignment="1"/>
    <xf numFmtId="164" fontId="21" fillId="0" borderId="0" xfId="5" applyFont="1" applyFill="1" applyBorder="1"/>
    <xf numFmtId="164" fontId="7" fillId="0" borderId="0" xfId="5" applyFont="1" applyFill="1" applyBorder="1" applyAlignment="1">
      <alignment horizontal="center" wrapText="1"/>
    </xf>
    <xf numFmtId="164" fontId="12" fillId="0" borderId="0" xfId="5" applyFont="1" applyFill="1" applyBorder="1"/>
    <xf numFmtId="0" fontId="10" fillId="0" borderId="0" xfId="0" applyFont="1" applyFill="1" applyBorder="1" applyAlignment="1">
      <alignment horizontal="left" vertical="center"/>
    </xf>
    <xf numFmtId="164" fontId="22" fillId="0" borderId="0" xfId="5" applyFont="1" applyFill="1" applyBorder="1" applyAlignment="1">
      <alignment horizontal="center"/>
    </xf>
    <xf numFmtId="164" fontId="23" fillId="0" borderId="0" xfId="5" applyFont="1" applyFill="1" applyBorder="1"/>
    <xf numFmtId="164" fontId="7" fillId="0" borderId="0" xfId="5" applyFont="1" applyFill="1" applyBorder="1"/>
    <xf numFmtId="164" fontId="13" fillId="0" borderId="0" xfId="5" applyFont="1" applyFill="1" applyBorder="1"/>
    <xf numFmtId="164" fontId="24" fillId="0" borderId="0" xfId="5" applyFont="1" applyFill="1" applyBorder="1"/>
    <xf numFmtId="164" fontId="25" fillId="0" borderId="0" xfId="5" applyFont="1" applyFill="1" applyBorder="1"/>
    <xf numFmtId="164" fontId="7" fillId="0" borderId="0" xfId="5" applyFont="1" applyFill="1" applyBorder="1" applyAlignment="1">
      <alignment horizontal="center" vertical="center"/>
    </xf>
    <xf numFmtId="164" fontId="7" fillId="2" borderId="0" xfId="6" applyFont="1" applyFill="1" applyBorder="1" applyAlignment="1">
      <alignment horizontal="center" vertical="center"/>
    </xf>
    <xf numFmtId="0" fontId="10" fillId="0" borderId="0" xfId="0" applyFont="1" applyFill="1" applyBorder="1" applyAlignment="1">
      <alignment horizontal="center" vertical="center"/>
    </xf>
    <xf numFmtId="0" fontId="7" fillId="0" borderId="0" xfId="0" applyFont="1" applyFill="1" applyBorder="1" applyAlignment="1">
      <alignment vertical="center"/>
    </xf>
    <xf numFmtId="0" fontId="16" fillId="0" borderId="0" xfId="0" applyNumberFormat="1" applyFont="1" applyFill="1" applyBorder="1" applyAlignment="1" applyProtection="1"/>
    <xf numFmtId="164" fontId="16" fillId="0" borderId="0" xfId="2" applyFont="1" applyFill="1" applyBorder="1" applyAlignment="1">
      <alignment vertical="center"/>
    </xf>
    <xf numFmtId="164" fontId="16" fillId="0" borderId="0" xfId="2" applyFont="1" applyFill="1" applyBorder="1"/>
    <xf numFmtId="164" fontId="16" fillId="2" borderId="0" xfId="2" applyFont="1" applyFill="1" applyBorder="1" applyAlignment="1">
      <alignment vertical="center"/>
    </xf>
    <xf numFmtId="0" fontId="14" fillId="0" borderId="0" xfId="0" applyFont="1" applyFill="1" applyBorder="1" applyAlignment="1">
      <alignment horizontal="left" vertical="center"/>
    </xf>
    <xf numFmtId="0" fontId="16" fillId="0" borderId="0" xfId="0" applyFont="1" applyFill="1" applyBorder="1" applyAlignment="1">
      <alignment horizontal="center" vertical="center"/>
    </xf>
    <xf numFmtId="0" fontId="16" fillId="0" borderId="0" xfId="0" applyFont="1" applyFill="1" applyBorder="1" applyAlignment="1">
      <alignment horizontal="left" vertical="center"/>
    </xf>
    <xf numFmtId="164" fontId="14" fillId="0" borderId="6" xfId="3" applyFont="1" applyFill="1" applyBorder="1" applyAlignment="1">
      <alignment horizontal="center" vertical="center"/>
    </xf>
    <xf numFmtId="164" fontId="14" fillId="0" borderId="6" xfId="2" applyFont="1" applyFill="1" applyBorder="1" applyAlignment="1">
      <alignment horizontal="center" vertical="center"/>
    </xf>
    <xf numFmtId="164" fontId="14" fillId="0" borderId="6" xfId="2" applyFont="1" applyFill="1" applyBorder="1" applyAlignment="1">
      <alignment horizontal="center" vertical="center" wrapText="1"/>
    </xf>
    <xf numFmtId="0" fontId="14" fillId="0" borderId="0" xfId="0" applyFont="1" applyFill="1" applyBorder="1" applyAlignment="1">
      <alignment vertical="center"/>
    </xf>
    <xf numFmtId="0" fontId="16" fillId="0" borderId="0" xfId="0" applyFont="1" applyFill="1" applyBorder="1" applyAlignment="1">
      <alignment vertical="center"/>
    </xf>
    <xf numFmtId="0" fontId="16" fillId="0" borderId="0" xfId="0" applyFont="1" applyFill="1" applyBorder="1" applyAlignment="1">
      <alignment vertical="center" wrapText="1"/>
    </xf>
    <xf numFmtId="164" fontId="14" fillId="0" borderId="0" xfId="3" applyFont="1" applyFill="1" applyBorder="1" applyAlignment="1">
      <alignment vertical="center"/>
    </xf>
    <xf numFmtId="164" fontId="16" fillId="0" borderId="0" xfId="5" applyFont="1" applyFill="1" applyBorder="1"/>
    <xf numFmtId="0" fontId="29" fillId="0" borderId="0" xfId="0" applyFont="1" applyFill="1" applyBorder="1" applyAlignment="1">
      <alignment vertical="center"/>
    </xf>
    <xf numFmtId="164" fontId="14" fillId="0" borderId="0" xfId="2" applyFont="1" applyFill="1" applyBorder="1"/>
    <xf numFmtId="0" fontId="29" fillId="0" borderId="0" xfId="0" applyFont="1" applyFill="1" applyBorder="1" applyAlignment="1">
      <alignment horizontal="left" vertical="center"/>
    </xf>
    <xf numFmtId="164" fontId="16" fillId="0" borderId="0" xfId="2" applyFont="1" applyFill="1" applyBorder="1" applyAlignment="1">
      <alignment horizontal="left" vertical="center"/>
    </xf>
    <xf numFmtId="0" fontId="16" fillId="0" borderId="0" xfId="0" applyFont="1" applyFill="1" applyBorder="1"/>
    <xf numFmtId="0" fontId="31" fillId="0" borderId="0" xfId="0" applyFont="1" applyFill="1" applyBorder="1" applyAlignment="1">
      <alignment vertical="center"/>
    </xf>
    <xf numFmtId="0" fontId="31" fillId="0" borderId="0" xfId="0" applyFont="1" applyFill="1" applyBorder="1" applyAlignment="1">
      <alignment vertical="center" wrapText="1"/>
    </xf>
    <xf numFmtId="164" fontId="16" fillId="0" borderId="0" xfId="2" applyFont="1" applyFill="1" applyBorder="1" applyAlignment="1">
      <alignment vertical="center" wrapText="1"/>
    </xf>
    <xf numFmtId="164" fontId="14" fillId="0" borderId="0" xfId="2" applyFont="1" applyFill="1" applyBorder="1" applyAlignment="1">
      <alignment vertical="center"/>
    </xf>
    <xf numFmtId="164" fontId="16" fillId="0" borderId="0" xfId="2" applyFont="1" applyFill="1"/>
    <xf numFmtId="165" fontId="16" fillId="0" borderId="0" xfId="4" applyNumberFormat="1" applyFont="1" applyFill="1" applyBorder="1" applyAlignment="1">
      <alignment vertical="center"/>
    </xf>
    <xf numFmtId="165" fontId="14" fillId="0" borderId="0" xfId="3" applyNumberFormat="1" applyFont="1" applyFill="1" applyBorder="1" applyAlignment="1">
      <alignment vertical="center"/>
    </xf>
    <xf numFmtId="165" fontId="16" fillId="0" borderId="0" xfId="2" applyNumberFormat="1" applyFont="1" applyFill="1" applyBorder="1"/>
    <xf numFmtId="165" fontId="16" fillId="0" borderId="0" xfId="5" applyNumberFormat="1" applyFont="1" applyFill="1" applyBorder="1" applyAlignment="1">
      <alignment horizontal="center"/>
    </xf>
    <xf numFmtId="165" fontId="14" fillId="0" borderId="4" xfId="3" applyNumberFormat="1" applyFont="1" applyFill="1" applyBorder="1" applyAlignment="1">
      <alignment vertical="center"/>
    </xf>
    <xf numFmtId="165" fontId="16" fillId="0" borderId="4" xfId="4" applyNumberFormat="1" applyFont="1" applyFill="1" applyBorder="1" applyAlignment="1">
      <alignment vertical="center"/>
    </xf>
    <xf numFmtId="165" fontId="14" fillId="0" borderId="0" xfId="2" applyNumberFormat="1" applyFont="1" applyFill="1" applyBorder="1"/>
    <xf numFmtId="165" fontId="16" fillId="0" borderId="0" xfId="5" applyNumberFormat="1" applyFont="1" applyFill="1" applyBorder="1"/>
    <xf numFmtId="165" fontId="14" fillId="0" borderId="6" xfId="3" applyNumberFormat="1" applyFont="1" applyFill="1" applyBorder="1" applyAlignment="1">
      <alignment vertical="center"/>
    </xf>
    <xf numFmtId="165" fontId="16" fillId="0" borderId="0" xfId="11" applyNumberFormat="1" applyFont="1" applyFill="1" applyBorder="1" applyAlignment="1">
      <alignment vertical="center"/>
    </xf>
    <xf numFmtId="165" fontId="14" fillId="0" borderId="0" xfId="3" applyNumberFormat="1" applyFont="1" applyFill="1" applyBorder="1" applyAlignment="1"/>
    <xf numFmtId="165" fontId="16" fillId="0" borderId="0" xfId="2" applyNumberFormat="1" applyFont="1" applyFill="1" applyBorder="1" applyAlignment="1"/>
    <xf numFmtId="165" fontId="16" fillId="0" borderId="0" xfId="2" applyNumberFormat="1" applyFont="1" applyFill="1" applyBorder="1" applyAlignment="1">
      <alignment vertical="center"/>
    </xf>
    <xf numFmtId="165" fontId="16" fillId="0" borderId="0" xfId="0" applyNumberFormat="1" applyFont="1" applyFill="1"/>
    <xf numFmtId="165" fontId="14" fillId="0" borderId="0" xfId="0" applyNumberFormat="1" applyFont="1" applyFill="1"/>
    <xf numFmtId="165" fontId="14" fillId="0" borderId="5" xfId="3" applyNumberFormat="1" applyFont="1" applyFill="1" applyBorder="1" applyAlignment="1">
      <alignment vertical="center"/>
    </xf>
    <xf numFmtId="165" fontId="14" fillId="0" borderId="0" xfId="4" applyNumberFormat="1" applyFont="1" applyFill="1" applyBorder="1" applyAlignment="1">
      <alignment vertical="center"/>
    </xf>
    <xf numFmtId="165" fontId="14" fillId="0" borderId="6" xfId="4" applyNumberFormat="1" applyFont="1" applyFill="1" applyBorder="1" applyAlignment="1">
      <alignment vertical="center"/>
    </xf>
    <xf numFmtId="0" fontId="29" fillId="0" borderId="0" xfId="0" applyFont="1" applyFill="1" applyBorder="1" applyAlignment="1">
      <alignment vertical="center" wrapText="1"/>
    </xf>
    <xf numFmtId="164" fontId="14" fillId="0" borderId="0" xfId="5" applyFont="1" applyFill="1" applyBorder="1" applyAlignment="1">
      <alignment horizontal="center" wrapText="1"/>
    </xf>
    <xf numFmtId="164" fontId="17" fillId="0" borderId="4" xfId="0" applyNumberFormat="1" applyFont="1" applyFill="1" applyBorder="1" applyAlignment="1">
      <alignment horizontal="center" vertical="center"/>
    </xf>
    <xf numFmtId="164" fontId="17" fillId="0" borderId="4" xfId="0" applyNumberFormat="1" applyFont="1" applyFill="1" applyBorder="1" applyAlignment="1" applyProtection="1">
      <alignment horizontal="center" vertical="center"/>
    </xf>
    <xf numFmtId="0" fontId="17" fillId="0" borderId="0" xfId="0" applyFont="1" applyFill="1" applyBorder="1" applyAlignment="1">
      <alignment horizontal="center" vertical="center"/>
    </xf>
    <xf numFmtId="164" fontId="17" fillId="0" borderId="0" xfId="0" applyNumberFormat="1" applyFont="1" applyFill="1" applyBorder="1" applyAlignment="1">
      <alignment horizontal="center" vertical="center"/>
    </xf>
    <xf numFmtId="164" fontId="17" fillId="0" borderId="0" xfId="0" applyNumberFormat="1" applyFont="1" applyFill="1" applyBorder="1" applyAlignment="1" applyProtection="1">
      <alignment horizontal="center" vertical="center"/>
    </xf>
    <xf numFmtId="164" fontId="28" fillId="0" borderId="0" xfId="5" applyFont="1" applyFill="1" applyBorder="1"/>
    <xf numFmtId="0" fontId="17" fillId="0" borderId="0" xfId="0" applyFont="1" applyFill="1" applyBorder="1" applyAlignment="1">
      <alignment horizontal="left" vertical="center"/>
    </xf>
    <xf numFmtId="164" fontId="17" fillId="0" borderId="0" xfId="6" applyNumberFormat="1" applyFont="1" applyFill="1" applyBorder="1" applyAlignment="1" applyProtection="1"/>
    <xf numFmtId="164" fontId="17" fillId="0" borderId="0" xfId="5" applyFont="1" applyFill="1" applyBorder="1" applyAlignment="1" applyProtection="1"/>
    <xf numFmtId="164" fontId="15" fillId="0" borderId="0" xfId="5" applyFont="1" applyFill="1" applyBorder="1" applyAlignment="1" applyProtection="1"/>
    <xf numFmtId="164" fontId="16" fillId="0" borderId="0" xfId="5" applyNumberFormat="1" applyFont="1" applyFill="1" applyBorder="1" applyAlignment="1" applyProtection="1"/>
    <xf numFmtId="164" fontId="14" fillId="0" borderId="0" xfId="5" applyFont="1" applyFill="1" applyBorder="1"/>
    <xf numFmtId="0" fontId="15" fillId="0" borderId="0" xfId="0" applyFont="1" applyFill="1" applyBorder="1" applyAlignment="1">
      <alignment horizontal="left" vertical="center"/>
    </xf>
    <xf numFmtId="164" fontId="17" fillId="0" borderId="0" xfId="5" applyFont="1" applyFill="1" applyBorder="1" applyAlignment="1">
      <alignment vertical="center"/>
    </xf>
    <xf numFmtId="164" fontId="15" fillId="0" borderId="0" xfId="5" applyFont="1" applyFill="1" applyBorder="1" applyAlignment="1">
      <alignment vertical="center"/>
    </xf>
    <xf numFmtId="164" fontId="16" fillId="0" borderId="0" xfId="5" applyFont="1" applyFill="1" applyBorder="1" applyAlignment="1" applyProtection="1"/>
    <xf numFmtId="164" fontId="17" fillId="0" borderId="0" xfId="5" applyFont="1" applyFill="1" applyBorder="1" applyAlignment="1">
      <alignment horizontal="left" vertical="center"/>
    </xf>
    <xf numFmtId="0" fontId="17" fillId="0" borderId="0" xfId="0" applyFont="1" applyFill="1" applyBorder="1"/>
    <xf numFmtId="0" fontId="15" fillId="0" borderId="0" xfId="0" applyFont="1" applyFill="1" applyBorder="1"/>
    <xf numFmtId="164" fontId="17" fillId="0" borderId="0" xfId="6" applyNumberFormat="1" applyFont="1" applyFill="1" applyBorder="1" applyAlignment="1">
      <alignment horizontal="right"/>
    </xf>
    <xf numFmtId="164" fontId="15" fillId="0" borderId="0" xfId="5" applyNumberFormat="1" applyFont="1" applyFill="1" applyBorder="1" applyAlignment="1">
      <alignment horizontal="right"/>
    </xf>
    <xf numFmtId="164" fontId="16" fillId="0" borderId="0" xfId="5" applyFont="1" applyFill="1" applyBorder="1" applyAlignment="1">
      <alignment horizontal="right"/>
    </xf>
    <xf numFmtId="165" fontId="14" fillId="0" borderId="0" xfId="6" applyNumberFormat="1" applyFont="1" applyFill="1" applyBorder="1" applyAlignment="1">
      <alignment horizontal="right"/>
    </xf>
    <xf numFmtId="165" fontId="16" fillId="0" borderId="0" xfId="5" applyNumberFormat="1" applyFont="1" applyFill="1" applyBorder="1" applyAlignment="1" applyProtection="1">
      <alignment horizontal="right"/>
    </xf>
    <xf numFmtId="165" fontId="16" fillId="0" borderId="0" xfId="5" applyNumberFormat="1" applyFont="1" applyFill="1" applyBorder="1" applyAlignment="1">
      <alignment horizontal="right"/>
    </xf>
    <xf numFmtId="165" fontId="16" fillId="0" borderId="0" xfId="7" applyNumberFormat="1" applyFont="1" applyFill="1" applyBorder="1" applyAlignment="1" applyProtection="1">
      <alignment horizontal="right"/>
    </xf>
    <xf numFmtId="165" fontId="14" fillId="0" borderId="0" xfId="5" applyNumberFormat="1" applyFont="1" applyFill="1" applyBorder="1" applyAlignment="1">
      <alignment horizontal="right"/>
    </xf>
    <xf numFmtId="165" fontId="14" fillId="0" borderId="6" xfId="6" applyNumberFormat="1" applyFont="1" applyFill="1" applyBorder="1" applyAlignment="1">
      <alignment horizontal="right"/>
    </xf>
    <xf numFmtId="165" fontId="14" fillId="0" borderId="0" xfId="7" applyNumberFormat="1" applyFont="1" applyFill="1" applyBorder="1" applyAlignment="1" applyProtection="1">
      <alignment horizontal="right"/>
    </xf>
    <xf numFmtId="165" fontId="14" fillId="0" borderId="6" xfId="5" applyNumberFormat="1" applyFont="1" applyFill="1" applyBorder="1" applyAlignment="1">
      <alignment horizontal="right"/>
    </xf>
    <xf numFmtId="165" fontId="14" fillId="0" borderId="0" xfId="5" applyNumberFormat="1" applyFont="1" applyFill="1" applyBorder="1" applyAlignment="1" applyProtection="1">
      <alignment horizontal="right"/>
    </xf>
    <xf numFmtId="165" fontId="31" fillId="0" borderId="0" xfId="5" applyNumberFormat="1" applyFont="1" applyFill="1" applyBorder="1" applyAlignment="1" applyProtection="1">
      <alignment horizontal="right"/>
    </xf>
    <xf numFmtId="165" fontId="14" fillId="0" borderId="6" xfId="5" applyNumberFormat="1" applyFont="1" applyFill="1" applyBorder="1" applyAlignment="1" applyProtection="1">
      <alignment horizontal="right"/>
    </xf>
    <xf numFmtId="165" fontId="16" fillId="0" borderId="0" xfId="0" applyNumberFormat="1" applyFont="1" applyFill="1" applyAlignment="1">
      <alignment horizontal="right"/>
    </xf>
    <xf numFmtId="165" fontId="14" fillId="0" borderId="4" xfId="5" applyNumberFormat="1" applyFont="1" applyFill="1" applyBorder="1" applyAlignment="1" applyProtection="1">
      <alignment horizontal="right"/>
    </xf>
    <xf numFmtId="165" fontId="14" fillId="0" borderId="0" xfId="0" applyNumberFormat="1" applyFont="1" applyFill="1" applyAlignment="1">
      <alignment horizontal="right"/>
    </xf>
    <xf numFmtId="165" fontId="14" fillId="0" borderId="0" xfId="6" applyNumberFormat="1" applyFont="1" applyFill="1" applyBorder="1" applyAlignment="1" applyProtection="1">
      <alignment horizontal="right"/>
    </xf>
    <xf numFmtId="165" fontId="14" fillId="0" borderId="5" xfId="5" applyNumberFormat="1" applyFont="1" applyFill="1" applyBorder="1" applyAlignment="1" applyProtection="1">
      <alignment horizontal="right"/>
    </xf>
    <xf numFmtId="0" fontId="7" fillId="0" borderId="0" xfId="0" applyFont="1" applyFill="1" applyBorder="1" applyAlignment="1">
      <alignment vertical="center" wrapText="1"/>
    </xf>
    <xf numFmtId="164" fontId="7" fillId="0" borderId="0" xfId="8" applyFont="1" applyFill="1" applyBorder="1" applyAlignment="1">
      <alignment horizontal="center" vertical="center"/>
    </xf>
    <xf numFmtId="164" fontId="7" fillId="0" borderId="0" xfId="6" applyFont="1" applyFill="1" applyBorder="1" applyAlignment="1">
      <alignment horizontal="center" vertical="center"/>
    </xf>
    <xf numFmtId="0" fontId="8" fillId="0" borderId="0" xfId="0" applyFont="1" applyFill="1"/>
    <xf numFmtId="0" fontId="10" fillId="0" borderId="0" xfId="0" applyNumberFormat="1" applyFont="1" applyFill="1" applyBorder="1" applyAlignment="1" applyProtection="1">
      <alignment vertical="center"/>
    </xf>
    <xf numFmtId="164" fontId="9" fillId="0" borderId="0" xfId="0" applyNumberFormat="1" applyFont="1" applyFill="1" applyBorder="1" applyAlignment="1" applyProtection="1">
      <alignment vertical="center"/>
    </xf>
    <xf numFmtId="0" fontId="9" fillId="0" borderId="0" xfId="0" applyNumberFormat="1" applyFont="1" applyFill="1" applyBorder="1" applyAlignment="1" applyProtection="1">
      <alignment vertical="center"/>
    </xf>
    <xf numFmtId="0" fontId="9" fillId="0" borderId="0" xfId="0" applyNumberFormat="1" applyFont="1" applyFill="1" applyBorder="1" applyAlignment="1" applyProtection="1">
      <alignment vertical="center" wrapText="1"/>
    </xf>
    <xf numFmtId="164" fontId="8" fillId="0" borderId="0" xfId="8" applyNumberFormat="1" applyFont="1" applyFill="1" applyBorder="1" applyAlignment="1">
      <alignment vertical="center"/>
    </xf>
    <xf numFmtId="0" fontId="9" fillId="0" borderId="0" xfId="0" applyNumberFormat="1" applyFont="1" applyFill="1" applyBorder="1" applyAlignment="1" applyProtection="1">
      <alignment horizontal="left" vertical="center"/>
    </xf>
    <xf numFmtId="0" fontId="8" fillId="0" borderId="0" xfId="0" applyNumberFormat="1" applyFont="1" applyFill="1" applyBorder="1" applyAlignment="1" applyProtection="1">
      <alignment vertical="center" wrapText="1"/>
    </xf>
    <xf numFmtId="0" fontId="19" fillId="0" borderId="0" xfId="0" applyFont="1" applyFill="1" applyBorder="1" applyAlignment="1">
      <alignment horizontal="left" vertical="center"/>
    </xf>
    <xf numFmtId="0" fontId="9" fillId="0" borderId="7" xfId="0" applyNumberFormat="1" applyFont="1" applyFill="1" applyBorder="1" applyAlignment="1" applyProtection="1">
      <alignment vertical="center"/>
    </xf>
    <xf numFmtId="0" fontId="2" fillId="0" borderId="0" xfId="0" applyFont="1" applyFill="1" applyAlignment="1">
      <alignment wrapText="1"/>
    </xf>
    <xf numFmtId="0" fontId="8" fillId="0" borderId="0" xfId="0" applyNumberFormat="1" applyFont="1" applyFill="1" applyBorder="1" applyAlignment="1" applyProtection="1">
      <alignment horizontal="left" vertical="center"/>
    </xf>
    <xf numFmtId="0" fontId="8" fillId="0" borderId="0" xfId="0" applyNumberFormat="1" applyFont="1" applyFill="1" applyBorder="1" applyAlignment="1" applyProtection="1">
      <alignment vertical="center"/>
    </xf>
    <xf numFmtId="0" fontId="18" fillId="0" borderId="0" xfId="0" applyFont="1" applyFill="1" applyBorder="1" applyAlignment="1">
      <alignment horizontal="left" vertical="center"/>
    </xf>
    <xf numFmtId="0" fontId="10" fillId="0" borderId="0" xfId="0" applyNumberFormat="1" applyFont="1" applyFill="1" applyBorder="1" applyAlignment="1" applyProtection="1">
      <alignment vertical="center" wrapText="1"/>
    </xf>
    <xf numFmtId="0" fontId="2" fillId="0" borderId="0" xfId="0" applyFont="1" applyFill="1"/>
    <xf numFmtId="0" fontId="10" fillId="0" borderId="0" xfId="0" applyNumberFormat="1" applyFont="1" applyFill="1" applyBorder="1" applyAlignment="1" applyProtection="1">
      <alignment horizontal="left" vertical="center"/>
    </xf>
    <xf numFmtId="0" fontId="10" fillId="0" borderId="7" xfId="0" applyFont="1" applyFill="1" applyBorder="1" applyAlignment="1">
      <alignment vertical="center"/>
    </xf>
    <xf numFmtId="164" fontId="10" fillId="0" borderId="0" xfId="0" applyNumberFormat="1" applyFont="1" applyFill="1" applyBorder="1" applyAlignment="1" applyProtection="1">
      <alignment vertical="center" wrapText="1"/>
    </xf>
    <xf numFmtId="0" fontId="10" fillId="0" borderId="0" xfId="0" applyFont="1" applyFill="1" applyBorder="1" applyAlignment="1">
      <alignment vertical="center"/>
    </xf>
    <xf numFmtId="164" fontId="8" fillId="0" borderId="0" xfId="0" applyNumberFormat="1" applyFont="1" applyFill="1" applyBorder="1" applyAlignment="1">
      <alignment wrapText="1"/>
    </xf>
    <xf numFmtId="164" fontId="7" fillId="0" borderId="0" xfId="0" applyNumberFormat="1" applyFont="1" applyFill="1" applyBorder="1" applyAlignment="1"/>
    <xf numFmtId="164" fontId="7" fillId="0" borderId="0" xfId="0" applyNumberFormat="1" applyFont="1" applyFill="1" applyBorder="1" applyAlignment="1">
      <alignment wrapText="1"/>
    </xf>
    <xf numFmtId="164" fontId="8" fillId="0" borderId="0" xfId="0" applyNumberFormat="1" applyFont="1" applyFill="1" applyBorder="1" applyAlignment="1"/>
    <xf numFmtId="164" fontId="8" fillId="0" borderId="0" xfId="0" applyNumberFormat="1" applyFont="1" applyFill="1" applyBorder="1" applyAlignment="1" applyProtection="1">
      <alignment vertical="center" wrapText="1"/>
    </xf>
    <xf numFmtId="165" fontId="8" fillId="0" borderId="0" xfId="8" applyNumberFormat="1" applyFont="1" applyFill="1" applyBorder="1" applyAlignment="1">
      <alignment horizontal="right" vertical="center"/>
    </xf>
    <xf numFmtId="165" fontId="8" fillId="0" borderId="0" xfId="5" applyNumberFormat="1" applyFont="1" applyFill="1" applyBorder="1" applyAlignment="1">
      <alignment horizontal="right"/>
    </xf>
    <xf numFmtId="165" fontId="8" fillId="0" borderId="0" xfId="0" applyNumberFormat="1" applyFont="1" applyFill="1" applyAlignment="1">
      <alignment horizontal="right"/>
    </xf>
    <xf numFmtId="165" fontId="7" fillId="0" borderId="6" xfId="8" applyNumberFormat="1" applyFont="1" applyFill="1" applyBorder="1" applyAlignment="1">
      <alignment horizontal="right" vertical="center"/>
    </xf>
    <xf numFmtId="165" fontId="11" fillId="0" borderId="0" xfId="8" applyNumberFormat="1" applyFont="1" applyFill="1" applyBorder="1" applyAlignment="1">
      <alignment horizontal="right" vertical="center"/>
    </xf>
    <xf numFmtId="165" fontId="8" fillId="0" borderId="4" xfId="8" applyNumberFormat="1" applyFont="1" applyFill="1" applyBorder="1" applyAlignment="1">
      <alignment horizontal="right" vertical="center"/>
    </xf>
    <xf numFmtId="165" fontId="8" fillId="0" borderId="4" xfId="5" applyNumberFormat="1" applyFont="1" applyFill="1" applyBorder="1" applyAlignment="1">
      <alignment horizontal="right"/>
    </xf>
    <xf numFmtId="165" fontId="9" fillId="0" borderId="0" xfId="0" applyNumberFormat="1" applyFont="1" applyFill="1" applyBorder="1" applyAlignment="1" applyProtection="1">
      <alignment horizontal="right" vertical="center"/>
    </xf>
    <xf numFmtId="165" fontId="8" fillId="2" borderId="0" xfId="0" applyNumberFormat="1" applyFont="1" applyFill="1"/>
    <xf numFmtId="4" fontId="8" fillId="2" borderId="0" xfId="0" applyNumberFormat="1" applyFont="1" applyFill="1"/>
    <xf numFmtId="165" fontId="7" fillId="0" borderId="3" xfId="8" applyNumberFormat="1" applyFont="1" applyFill="1" applyBorder="1" applyAlignment="1">
      <alignment horizontal="right" vertical="center"/>
    </xf>
    <xf numFmtId="165" fontId="2" fillId="0" borderId="0" xfId="0" applyNumberFormat="1" applyFont="1" applyFill="1"/>
    <xf numFmtId="165" fontId="8" fillId="0" borderId="0" xfId="0" applyNumberFormat="1" applyFont="1" applyFill="1" applyBorder="1" applyAlignment="1">
      <alignment horizontal="right"/>
    </xf>
    <xf numFmtId="4" fontId="2" fillId="0" borderId="0" xfId="0" applyNumberFormat="1" applyFont="1" applyFill="1" applyBorder="1"/>
    <xf numFmtId="165" fontId="8" fillId="0" borderId="0" xfId="0" applyNumberFormat="1" applyFont="1" applyFill="1" applyBorder="1"/>
    <xf numFmtId="165" fontId="8" fillId="0" borderId="0" xfId="5" applyNumberFormat="1" applyFont="1" applyFill="1" applyBorder="1"/>
    <xf numFmtId="165" fontId="8" fillId="0" borderId="0" xfId="5" applyNumberFormat="1" applyFont="1" applyFill="1" applyBorder="1" applyAlignment="1" applyProtection="1"/>
    <xf numFmtId="165" fontId="7" fillId="0" borderId="5" xfId="5" applyNumberFormat="1" applyFont="1" applyFill="1" applyBorder="1" applyAlignment="1">
      <alignment vertical="center"/>
    </xf>
    <xf numFmtId="165" fontId="7" fillId="0" borderId="5" xfId="5" applyNumberFormat="1" applyFont="1" applyFill="1" applyBorder="1" applyAlignment="1" applyProtection="1"/>
    <xf numFmtId="165" fontId="8" fillId="0" borderId="0" xfId="0" applyNumberFormat="1" applyFont="1" applyFill="1" applyBorder="1" applyAlignment="1" applyProtection="1"/>
    <xf numFmtId="165" fontId="8" fillId="0" borderId="0" xfId="5" applyNumberFormat="1" applyFont="1" applyFill="1" applyBorder="1" applyAlignment="1">
      <alignment vertical="center"/>
    </xf>
    <xf numFmtId="165" fontId="7" fillId="0" borderId="6" xfId="5" applyNumberFormat="1" applyFont="1" applyFill="1" applyBorder="1" applyAlignment="1">
      <alignment vertical="center"/>
    </xf>
    <xf numFmtId="165" fontId="7" fillId="0" borderId="6" xfId="5" applyNumberFormat="1" applyFont="1" applyFill="1" applyBorder="1" applyAlignment="1" applyProtection="1"/>
    <xf numFmtId="165" fontId="7" fillId="0" borderId="6" xfId="5" applyNumberFormat="1" applyFont="1" applyFill="1" applyBorder="1" applyAlignment="1">
      <alignment horizontal="right" vertical="center"/>
    </xf>
    <xf numFmtId="165" fontId="7" fillId="0" borderId="0" xfId="5" applyNumberFormat="1" applyFont="1" applyFill="1" applyBorder="1" applyAlignment="1">
      <alignment vertical="center"/>
    </xf>
    <xf numFmtId="165" fontId="7" fillId="0" borderId="0" xfId="5" applyNumberFormat="1" applyFont="1" applyFill="1" applyBorder="1" applyAlignment="1">
      <alignment horizontal="right" vertical="center"/>
    </xf>
    <xf numFmtId="165" fontId="7" fillId="0" borderId="6" xfId="5" applyNumberFormat="1" applyFont="1" applyFill="1" applyBorder="1" applyAlignment="1"/>
    <xf numFmtId="4" fontId="8" fillId="0" borderId="0" xfId="0" applyNumberFormat="1" applyFont="1" applyFill="1" applyBorder="1"/>
    <xf numFmtId="165" fontId="22" fillId="0" borderId="0" xfId="5" applyNumberFormat="1" applyFont="1" applyFill="1" applyBorder="1" applyAlignment="1">
      <alignment horizontal="center"/>
    </xf>
    <xf numFmtId="165" fontId="7" fillId="0" borderId="0" xfId="5" applyNumberFormat="1" applyFont="1" applyFill="1" applyBorder="1"/>
    <xf numFmtId="165" fontId="13" fillId="0" borderId="0" xfId="5" applyNumberFormat="1" applyFont="1" applyFill="1" applyBorder="1"/>
    <xf numFmtId="165" fontId="24" fillId="0" borderId="0" xfId="5" applyNumberFormat="1" applyFont="1" applyFill="1" applyBorder="1"/>
    <xf numFmtId="165" fontId="25" fillId="0" borderId="0" xfId="5" applyNumberFormat="1" applyFont="1" applyFill="1" applyBorder="1"/>
    <xf numFmtId="165" fontId="12" fillId="0" borderId="0" xfId="5" applyNumberFormat="1" applyFont="1" applyFill="1" applyBorder="1"/>
    <xf numFmtId="165" fontId="15" fillId="0" borderId="0" xfId="0" applyNumberFormat="1" applyFont="1" applyFill="1" applyBorder="1" applyAlignment="1" applyProtection="1"/>
    <xf numFmtId="165" fontId="16" fillId="0" borderId="0" xfId="0" applyNumberFormat="1" applyFont="1" applyFill="1" applyBorder="1" applyAlignment="1" applyProtection="1"/>
    <xf numFmtId="165" fontId="14" fillId="0" borderId="0" xfId="4" applyNumberFormat="1" applyFont="1" applyFill="1" applyBorder="1" applyAlignment="1">
      <alignment horizontal="center" vertical="center"/>
    </xf>
    <xf numFmtId="165" fontId="14" fillId="0" borderId="0" xfId="4" applyNumberFormat="1" applyFont="1" applyFill="1" applyBorder="1" applyAlignment="1">
      <alignment horizontal="center" vertical="center" wrapText="1"/>
    </xf>
    <xf numFmtId="165" fontId="30" fillId="0" borderId="0" xfId="5" applyNumberFormat="1" applyFont="1" applyFill="1" applyBorder="1" applyAlignment="1">
      <alignment vertical="center"/>
    </xf>
    <xf numFmtId="165" fontId="9" fillId="0" borderId="0" xfId="0" applyNumberFormat="1" applyFont="1" applyFill="1" applyBorder="1" applyAlignment="1" applyProtection="1"/>
    <xf numFmtId="165" fontId="9" fillId="0" borderId="0" xfId="5" applyNumberFormat="1" applyFont="1" applyFill="1" applyBorder="1" applyAlignment="1" applyProtection="1"/>
    <xf numFmtId="165" fontId="10" fillId="0" borderId="0" xfId="0" applyNumberFormat="1" applyFont="1" applyFill="1" applyBorder="1" applyAlignment="1">
      <alignment horizontal="center" vertical="center"/>
    </xf>
    <xf numFmtId="165" fontId="10" fillId="0" borderId="0" xfId="0" applyNumberFormat="1" applyFont="1" applyFill="1" applyBorder="1" applyAlignment="1" applyProtection="1">
      <alignment horizontal="center" vertical="center"/>
    </xf>
    <xf numFmtId="165" fontId="9" fillId="0" borderId="0" xfId="5" applyNumberFormat="1" applyFont="1" applyFill="1" applyBorder="1" applyAlignment="1">
      <alignment horizontal="right" vertical="center"/>
    </xf>
    <xf numFmtId="165" fontId="15" fillId="0" borderId="0" xfId="5" applyNumberFormat="1" applyFont="1" applyFill="1" applyBorder="1" applyAlignment="1">
      <alignment horizontal="right" vertical="center"/>
    </xf>
    <xf numFmtId="165" fontId="15" fillId="0" borderId="0" xfId="5" applyNumberFormat="1" applyFont="1" applyFill="1" applyBorder="1" applyAlignment="1" applyProtection="1"/>
    <xf numFmtId="165" fontId="17" fillId="0" borderId="0" xfId="0" applyNumberFormat="1" applyFont="1" applyFill="1" applyBorder="1" applyAlignment="1" applyProtection="1"/>
    <xf numFmtId="165" fontId="14" fillId="0" borderId="0" xfId="5" applyNumberFormat="1" applyFont="1" applyFill="1" applyBorder="1"/>
    <xf numFmtId="165" fontId="17" fillId="0" borderId="0" xfId="5" applyNumberFormat="1" applyFont="1" applyFill="1" applyBorder="1" applyAlignment="1" applyProtection="1"/>
    <xf numFmtId="165" fontId="10" fillId="0" borderId="0" xfId="0" applyNumberFormat="1" applyFont="1" applyFill="1" applyBorder="1" applyAlignment="1" applyProtection="1"/>
    <xf numFmtId="165" fontId="10" fillId="0" borderId="0" xfId="5" applyNumberFormat="1" applyFont="1" applyFill="1" applyBorder="1" applyAlignment="1" applyProtection="1"/>
    <xf numFmtId="165" fontId="10" fillId="0" borderId="1" xfId="0" applyNumberFormat="1" applyFont="1" applyFill="1" applyBorder="1" applyAlignment="1">
      <alignment horizontal="center" vertical="center"/>
    </xf>
    <xf numFmtId="165" fontId="10" fillId="0" borderId="1" xfId="0" applyNumberFormat="1" applyFont="1" applyFill="1" applyBorder="1" applyAlignment="1" applyProtection="1">
      <alignment horizontal="center" vertical="center"/>
    </xf>
    <xf numFmtId="165" fontId="9" fillId="0" borderId="0" xfId="5" applyNumberFormat="1" applyFont="1" applyFill="1" applyBorder="1" applyAlignment="1">
      <alignment vertical="center"/>
    </xf>
    <xf numFmtId="165" fontId="10" fillId="0" borderId="0" xfId="5" applyNumberFormat="1" applyFont="1" applyFill="1" applyBorder="1" applyAlignment="1">
      <alignment vertical="center"/>
    </xf>
    <xf numFmtId="164" fontId="16" fillId="0" borderId="0" xfId="7" applyNumberFormat="1" applyFont="1"/>
    <xf numFmtId="165" fontId="8" fillId="0" borderId="6" xfId="8" applyNumberFormat="1" applyFont="1" applyFill="1" applyBorder="1" applyAlignment="1">
      <alignment horizontal="right" vertical="center"/>
    </xf>
    <xf numFmtId="165" fontId="8" fillId="0" borderId="6" xfId="5" applyNumberFormat="1" applyFont="1" applyFill="1" applyBorder="1" applyAlignment="1">
      <alignment horizontal="right"/>
    </xf>
    <xf numFmtId="164" fontId="7" fillId="0" borderId="0" xfId="5" applyFont="1" applyFill="1" applyBorder="1" applyAlignment="1">
      <alignment horizontal="center" vertical="center"/>
    </xf>
    <xf numFmtId="164" fontId="16" fillId="0" borderId="0" xfId="7" applyFont="1"/>
    <xf numFmtId="166" fontId="8" fillId="0" borderId="0" xfId="0" applyNumberFormat="1" applyFont="1" applyFill="1" applyBorder="1" applyAlignment="1" applyProtection="1"/>
    <xf numFmtId="165" fontId="16" fillId="0" borderId="0" xfId="4" applyNumberFormat="1" applyFont="1" applyFill="1" applyBorder="1" applyAlignment="1">
      <alignment horizontal="center" vertical="center"/>
    </xf>
    <xf numFmtId="165" fontId="8" fillId="0" borderId="0" xfId="5" applyNumberFormat="1" applyFont="1" applyFill="1" applyBorder="1" applyAlignment="1" applyProtection="1">
      <alignment horizontal="right"/>
    </xf>
    <xf numFmtId="165" fontId="8" fillId="5" borderId="0" xfId="5" applyNumberFormat="1" applyFont="1" applyFill="1" applyBorder="1"/>
    <xf numFmtId="0" fontId="8" fillId="0" borderId="0" xfId="9" applyFont="1"/>
    <xf numFmtId="0" fontId="7" fillId="0" borderId="0" xfId="9" applyFont="1" applyFill="1"/>
    <xf numFmtId="0" fontId="7" fillId="0" borderId="25" xfId="9" applyFont="1" applyBorder="1"/>
    <xf numFmtId="0" fontId="8" fillId="0" borderId="25" xfId="9" applyFont="1" applyBorder="1"/>
    <xf numFmtId="0" fontId="8" fillId="0" borderId="16" xfId="9" applyFont="1" applyBorder="1"/>
    <xf numFmtId="0" fontId="7" fillId="0" borderId="0" xfId="9" applyFont="1"/>
    <xf numFmtId="164" fontId="8" fillId="0" borderId="0" xfId="8" applyFont="1"/>
    <xf numFmtId="164" fontId="8" fillId="0" borderId="0" xfId="9" applyNumberFormat="1" applyFont="1"/>
    <xf numFmtId="39" fontId="8" fillId="0" borderId="0" xfId="9" applyNumberFormat="1" applyFont="1"/>
    <xf numFmtId="39" fontId="7" fillId="0" borderId="3" xfId="9" applyNumberFormat="1" applyFont="1" applyBorder="1"/>
    <xf numFmtId="39" fontId="7" fillId="0" borderId="36" xfId="9" applyNumberFormat="1" applyFont="1" applyBorder="1"/>
    <xf numFmtId="0" fontId="37" fillId="0" borderId="0" xfId="9" applyFont="1"/>
    <xf numFmtId="0" fontId="36" fillId="0" borderId="23" xfId="9" applyFont="1" applyBorder="1"/>
    <xf numFmtId="0" fontId="36" fillId="0" borderId="20" xfId="9" applyFont="1" applyBorder="1" applyAlignment="1">
      <alignment horizontal="center"/>
    </xf>
    <xf numFmtId="0" fontId="36" fillId="0" borderId="23" xfId="9" applyFont="1" applyBorder="1" applyAlignment="1">
      <alignment horizontal="center"/>
    </xf>
    <xf numFmtId="0" fontId="36" fillId="0" borderId="25" xfId="9" applyFont="1" applyBorder="1"/>
    <xf numFmtId="0" fontId="36" fillId="0" borderId="16" xfId="9" applyFont="1" applyBorder="1" applyAlignment="1">
      <alignment horizontal="center"/>
    </xf>
    <xf numFmtId="0" fontId="36" fillId="0" borderId="25" xfId="9" applyFont="1" applyBorder="1" applyAlignment="1">
      <alignment horizontal="center"/>
    </xf>
    <xf numFmtId="0" fontId="36" fillId="0" borderId="26" xfId="9" applyFont="1" applyBorder="1"/>
    <xf numFmtId="0" fontId="37" fillId="0" borderId="21" xfId="9" applyFont="1" applyBorder="1" applyAlignment="1">
      <alignment horizontal="center"/>
    </xf>
    <xf numFmtId="0" fontId="37" fillId="0" borderId="19" xfId="9" applyFont="1" applyBorder="1" applyAlignment="1">
      <alignment horizontal="center"/>
    </xf>
    <xf numFmtId="0" fontId="36" fillId="0" borderId="19" xfId="9" applyFont="1" applyBorder="1" applyAlignment="1">
      <alignment horizontal="center"/>
    </xf>
    <xf numFmtId="0" fontId="36" fillId="0" borderId="26" xfId="9" applyFont="1" applyBorder="1" applyAlignment="1">
      <alignment horizontal="center"/>
    </xf>
    <xf numFmtId="0" fontId="37" fillId="0" borderId="25" xfId="9" applyFont="1" applyBorder="1"/>
    <xf numFmtId="0" fontId="37" fillId="0" borderId="0" xfId="9" applyFont="1" applyBorder="1"/>
    <xf numFmtId="0" fontId="37" fillId="0" borderId="16" xfId="9" applyFont="1" applyBorder="1"/>
    <xf numFmtId="0" fontId="37" fillId="0" borderId="7" xfId="9" applyFont="1" applyBorder="1"/>
    <xf numFmtId="0" fontId="37" fillId="0" borderId="12" xfId="9" applyFont="1" applyBorder="1"/>
    <xf numFmtId="0" fontId="37" fillId="0" borderId="27" xfId="9" applyFont="1" applyBorder="1"/>
    <xf numFmtId="0" fontId="37" fillId="0" borderId="25" xfId="9" applyFont="1" applyFill="1" applyBorder="1"/>
    <xf numFmtId="0" fontId="37" fillId="0" borderId="0" xfId="9" applyFont="1" applyFill="1" applyBorder="1"/>
    <xf numFmtId="0" fontId="37" fillId="0" borderId="7" xfId="9" applyFont="1" applyFill="1" applyBorder="1"/>
    <xf numFmtId="0" fontId="37" fillId="0" borderId="12" xfId="9" applyFont="1" applyFill="1" applyBorder="1"/>
    <xf numFmtId="0" fontId="37" fillId="0" borderId="16" xfId="9" applyFont="1" applyFill="1" applyBorder="1"/>
    <xf numFmtId="0" fontId="37" fillId="0" borderId="0" xfId="9" applyFont="1" applyBorder="1" applyAlignment="1">
      <alignment horizontal="justify" vertical="center" wrapText="1"/>
    </xf>
    <xf numFmtId="0" fontId="37" fillId="0" borderId="16" xfId="9" applyFont="1" applyBorder="1" applyAlignment="1">
      <alignment horizontal="justify" vertical="center" wrapText="1"/>
    </xf>
    <xf numFmtId="164" fontId="37" fillId="0" borderId="16" xfId="8" applyFont="1" applyFill="1" applyBorder="1"/>
    <xf numFmtId="0" fontId="36" fillId="0" borderId="0" xfId="9" applyFont="1" applyBorder="1"/>
    <xf numFmtId="39" fontId="37" fillId="0" borderId="0" xfId="8" applyNumberFormat="1" applyFont="1" applyFill="1" applyBorder="1"/>
    <xf numFmtId="39" fontId="37" fillId="0" borderId="12" xfId="9" applyNumberFormat="1" applyFont="1" applyFill="1" applyBorder="1"/>
    <xf numFmtId="39" fontId="37" fillId="0" borderId="7" xfId="8" applyNumberFormat="1" applyFont="1" applyFill="1" applyBorder="1"/>
    <xf numFmtId="39" fontId="37" fillId="0" borderId="0" xfId="9" applyNumberFormat="1" applyFont="1" applyFill="1" applyBorder="1"/>
    <xf numFmtId="39" fontId="37" fillId="0" borderId="16" xfId="8" applyNumberFormat="1" applyFont="1" applyFill="1" applyBorder="1"/>
    <xf numFmtId="39" fontId="37" fillId="0" borderId="25" xfId="9" applyNumberFormat="1" applyFont="1" applyFill="1" applyBorder="1"/>
    <xf numFmtId="39" fontId="37" fillId="0" borderId="28" xfId="8" applyNumberFormat="1" applyFont="1" applyFill="1" applyBorder="1"/>
    <xf numFmtId="39" fontId="37" fillId="0" borderId="6" xfId="8" applyNumberFormat="1" applyFont="1" applyFill="1" applyBorder="1"/>
    <xf numFmtId="39" fontId="37" fillId="0" borderId="11" xfId="8" applyNumberFormat="1" applyFont="1" applyFill="1" applyBorder="1"/>
    <xf numFmtId="39" fontId="37" fillId="0" borderId="14" xfId="8" applyNumberFormat="1" applyFont="1" applyFill="1" applyBorder="1"/>
    <xf numFmtId="39" fontId="37" fillId="0" borderId="7" xfId="9" applyNumberFormat="1" applyFont="1" applyFill="1" applyBorder="1"/>
    <xf numFmtId="39" fontId="37" fillId="0" borderId="16" xfId="9" applyNumberFormat="1" applyFont="1" applyFill="1" applyBorder="1"/>
    <xf numFmtId="0" fontId="37" fillId="4" borderId="0" xfId="9" applyFont="1" applyFill="1"/>
    <xf numFmtId="164" fontId="37" fillId="0" borderId="25" xfId="9" applyNumberFormat="1" applyFont="1" applyFill="1" applyBorder="1"/>
    <xf numFmtId="39" fontId="38" fillId="0" borderId="0" xfId="8" applyNumberFormat="1" applyFont="1" applyFill="1" applyBorder="1"/>
    <xf numFmtId="39" fontId="38" fillId="0" borderId="16" xfId="8" applyNumberFormat="1" applyFont="1" applyFill="1" applyBorder="1"/>
    <xf numFmtId="39" fontId="37" fillId="0" borderId="9" xfId="8" applyNumberFormat="1" applyFont="1" applyFill="1" applyBorder="1"/>
    <xf numFmtId="39" fontId="37" fillId="0" borderId="10" xfId="8" applyNumberFormat="1" applyFont="1" applyFill="1" applyBorder="1"/>
    <xf numFmtId="39" fontId="37" fillId="0" borderId="29" xfId="8" applyNumberFormat="1" applyFont="1" applyFill="1" applyBorder="1"/>
    <xf numFmtId="39" fontId="2" fillId="0" borderId="0" xfId="0" applyNumberFormat="1" applyFont="1" applyFill="1" applyBorder="1" applyAlignment="1">
      <alignment horizontal="right" vertical="center" wrapText="1"/>
    </xf>
    <xf numFmtId="39" fontId="2" fillId="0" borderId="0" xfId="8" applyNumberFormat="1" applyFont="1" applyFill="1" applyBorder="1"/>
    <xf numFmtId="39" fontId="37" fillId="0" borderId="0" xfId="0" applyNumberFormat="1" applyFont="1" applyFill="1" applyBorder="1" applyAlignment="1">
      <alignment horizontal="right" vertical="center" wrapText="1"/>
    </xf>
    <xf numFmtId="39" fontId="37" fillId="0" borderId="0" xfId="9" applyNumberFormat="1" applyFont="1" applyBorder="1"/>
    <xf numFmtId="39" fontId="37" fillId="0" borderId="16" xfId="9" applyNumberFormat="1" applyFont="1" applyBorder="1"/>
    <xf numFmtId="0" fontId="36" fillId="0" borderId="0" xfId="9" applyFont="1" applyBorder="1" applyAlignment="1">
      <alignment wrapText="1"/>
    </xf>
    <xf numFmtId="0" fontId="37" fillId="0" borderId="0" xfId="9" applyFont="1" applyBorder="1" applyAlignment="1">
      <alignment wrapText="1"/>
    </xf>
    <xf numFmtId="0" fontId="37" fillId="0" borderId="16" xfId="9" applyFont="1" applyBorder="1" applyAlignment="1">
      <alignment wrapText="1"/>
    </xf>
    <xf numFmtId="39" fontId="37" fillId="0" borderId="0" xfId="8" applyNumberFormat="1" applyFont="1" applyFill="1" applyBorder="1" applyAlignment="1">
      <alignment horizontal="right"/>
    </xf>
    <xf numFmtId="39" fontId="37" fillId="0" borderId="7" xfId="8" applyNumberFormat="1" applyFont="1" applyFill="1" applyBorder="1" applyAlignment="1">
      <alignment horizontal="right"/>
    </xf>
    <xf numFmtId="39" fontId="2" fillId="0" borderId="0" xfId="0" applyNumberFormat="1" applyFont="1" applyFill="1" applyBorder="1"/>
    <xf numFmtId="39" fontId="37" fillId="0" borderId="0" xfId="10" applyNumberFormat="1" applyFont="1" applyFill="1" applyBorder="1"/>
    <xf numFmtId="39" fontId="37" fillId="0" borderId="15" xfId="8" applyNumberFormat="1" applyFont="1" applyFill="1" applyBorder="1"/>
    <xf numFmtId="39" fontId="36" fillId="0" borderId="5" xfId="9" applyNumberFormat="1" applyFont="1" applyFill="1" applyBorder="1"/>
    <xf numFmtId="39" fontId="37" fillId="0" borderId="5" xfId="9" applyNumberFormat="1" applyFont="1" applyFill="1" applyBorder="1"/>
    <xf numFmtId="39" fontId="37" fillId="0" borderId="31" xfId="9" applyNumberFormat="1" applyFont="1" applyFill="1" applyBorder="1"/>
    <xf numFmtId="39" fontId="36" fillId="0" borderId="32" xfId="9" applyNumberFormat="1" applyFont="1" applyFill="1" applyBorder="1"/>
    <xf numFmtId="39" fontId="37" fillId="0" borderId="30" xfId="9" applyNumberFormat="1" applyFont="1" applyFill="1" applyBorder="1"/>
    <xf numFmtId="39" fontId="37" fillId="0" borderId="7" xfId="10" applyNumberFormat="1" applyFont="1" applyFill="1" applyBorder="1"/>
    <xf numFmtId="39" fontId="37" fillId="0" borderId="0" xfId="11" applyNumberFormat="1" applyFont="1" applyFill="1" applyBorder="1"/>
    <xf numFmtId="39" fontId="37" fillId="0" borderId="7" xfId="11" applyNumberFormat="1" applyFont="1" applyFill="1" applyBorder="1"/>
    <xf numFmtId="0" fontId="36" fillId="0" borderId="21" xfId="9" applyFont="1" applyBorder="1"/>
    <xf numFmtId="0" fontId="37" fillId="0" borderId="21" xfId="9" applyFont="1" applyBorder="1"/>
    <xf numFmtId="0" fontId="37" fillId="0" borderId="19" xfId="9" applyFont="1" applyBorder="1"/>
    <xf numFmtId="39" fontId="36" fillId="0" borderId="33" xfId="9" applyNumberFormat="1" applyFont="1" applyFill="1" applyBorder="1"/>
    <xf numFmtId="39" fontId="36" fillId="0" borderId="35" xfId="9" applyNumberFormat="1" applyFont="1" applyFill="1" applyBorder="1"/>
    <xf numFmtId="39" fontId="37" fillId="0" borderId="17" xfId="9" applyNumberFormat="1" applyFont="1" applyFill="1" applyBorder="1"/>
    <xf numFmtId="39" fontId="37" fillId="0" borderId="33" xfId="9" applyNumberFormat="1" applyFont="1" applyFill="1" applyBorder="1"/>
    <xf numFmtId="39" fontId="37" fillId="0" borderId="37" xfId="9" applyNumberFormat="1" applyFont="1" applyFill="1" applyBorder="1"/>
    <xf numFmtId="39" fontId="36" fillId="0" borderId="38" xfId="9" applyNumberFormat="1" applyFont="1" applyFill="1" applyBorder="1"/>
    <xf numFmtId="39" fontId="39" fillId="0" borderId="7" xfId="9" applyNumberFormat="1" applyFont="1" applyFill="1" applyBorder="1"/>
    <xf numFmtId="39" fontId="39" fillId="0" borderId="0" xfId="9" applyNumberFormat="1" applyFont="1" applyFill="1" applyBorder="1"/>
    <xf numFmtId="39" fontId="39" fillId="0" borderId="16" xfId="8" applyNumberFormat="1" applyFont="1" applyFill="1" applyBorder="1"/>
    <xf numFmtId="39" fontId="37" fillId="0" borderId="0" xfId="9" applyNumberFormat="1" applyFont="1"/>
    <xf numFmtId="39" fontId="3" fillId="0" borderId="0" xfId="8" applyNumberFormat="1" applyFont="1" applyFill="1" applyBorder="1"/>
    <xf numFmtId="0" fontId="2" fillId="0" borderId="0" xfId="0" applyNumberFormat="1" applyFont="1" applyFill="1" applyBorder="1" applyAlignment="1" applyProtection="1"/>
    <xf numFmtId="0" fontId="2" fillId="0" borderId="0" xfId="0" applyNumberFormat="1" applyFont="1" applyFill="1" applyBorder="1" applyAlignment="1" applyProtection="1">
      <alignment horizontal="center"/>
    </xf>
    <xf numFmtId="43" fontId="40" fillId="0" borderId="0" xfId="11" applyFont="1" applyFill="1" applyBorder="1" applyAlignment="1" applyProtection="1">
      <alignment horizontal="right"/>
    </xf>
    <xf numFmtId="43" fontId="2" fillId="0" borderId="0" xfId="11" applyFont="1" applyFill="1" applyBorder="1" applyAlignment="1" applyProtection="1"/>
    <xf numFmtId="0" fontId="2" fillId="0" borderId="1" xfId="0" applyNumberFormat="1" applyFont="1" applyFill="1" applyBorder="1" applyAlignment="1" applyProtection="1">
      <alignment horizontal="center"/>
    </xf>
    <xf numFmtId="43" fontId="2" fillId="0" borderId="1" xfId="11" applyFont="1" applyFill="1" applyBorder="1" applyAlignment="1" applyProtection="1">
      <alignment horizontal="center"/>
    </xf>
    <xf numFmtId="0" fontId="40" fillId="0" borderId="1" xfId="0" applyNumberFormat="1" applyFont="1" applyFill="1" applyBorder="1" applyAlignment="1" applyProtection="1">
      <alignment horizontal="left"/>
    </xf>
    <xf numFmtId="14" fontId="2" fillId="0" borderId="1" xfId="0" applyNumberFormat="1" applyFont="1" applyFill="1" applyBorder="1" applyAlignment="1" applyProtection="1">
      <alignment horizontal="left"/>
    </xf>
    <xf numFmtId="0" fontId="2" fillId="0" borderId="1" xfId="0" applyNumberFormat="1" applyFont="1" applyFill="1" applyBorder="1" applyAlignment="1" applyProtection="1">
      <alignment horizontal="center" vertical="center"/>
    </xf>
    <xf numFmtId="0" fontId="41" fillId="0" borderId="1" xfId="0" applyNumberFormat="1" applyFont="1" applyFill="1" applyBorder="1" applyAlignment="1" applyProtection="1"/>
    <xf numFmtId="0" fontId="41" fillId="0" borderId="1" xfId="0" applyNumberFormat="1" applyFont="1" applyFill="1" applyBorder="1" applyAlignment="1" applyProtection="1">
      <alignment horizontal="left"/>
    </xf>
    <xf numFmtId="0" fontId="41" fillId="0" borderId="1" xfId="0" applyNumberFormat="1" applyFont="1" applyFill="1" applyBorder="1" applyAlignment="1" applyProtection="1">
      <alignment horizontal="center"/>
    </xf>
    <xf numFmtId="43" fontId="41" fillId="0" borderId="1" xfId="11" applyFont="1" applyFill="1" applyBorder="1" applyAlignment="1" applyProtection="1"/>
    <xf numFmtId="0" fontId="41" fillId="0" borderId="0" xfId="0" applyNumberFormat="1" applyFont="1" applyFill="1" applyBorder="1" applyAlignment="1" applyProtection="1"/>
    <xf numFmtId="43" fontId="2" fillId="0" borderId="1" xfId="11" applyFont="1" applyFill="1" applyBorder="1" applyAlignment="1" applyProtection="1"/>
    <xf numFmtId="0" fontId="40" fillId="0" borderId="1" xfId="0" applyNumberFormat="1" applyFont="1" applyFill="1" applyBorder="1" applyAlignment="1" applyProtection="1"/>
    <xf numFmtId="0" fontId="2" fillId="0" borderId="1" xfId="0" applyNumberFormat="1" applyFont="1" applyFill="1" applyBorder="1" applyAlignment="1" applyProtection="1"/>
    <xf numFmtId="0" fontId="2" fillId="0" borderId="1" xfId="0" applyNumberFormat="1" applyFont="1" applyFill="1" applyBorder="1" applyAlignment="1" applyProtection="1">
      <alignment horizontal="left"/>
    </xf>
    <xf numFmtId="43" fontId="2" fillId="0" borderId="1" xfId="11" applyFont="1" applyFill="1" applyBorder="1" applyAlignment="1" applyProtection="1">
      <alignment horizontal="left"/>
    </xf>
    <xf numFmtId="0" fontId="2" fillId="0" borderId="1" xfId="0" applyNumberFormat="1" applyFont="1" applyFill="1" applyBorder="1" applyAlignment="1" applyProtection="1">
      <alignment wrapText="1"/>
    </xf>
    <xf numFmtId="43" fontId="2" fillId="0" borderId="0" xfId="0" applyNumberFormat="1" applyFont="1" applyFill="1" applyBorder="1" applyAlignment="1" applyProtection="1"/>
    <xf numFmtId="0" fontId="2" fillId="0" borderId="1" xfId="0" applyNumberFormat="1" applyFont="1" applyFill="1" applyBorder="1" applyAlignment="1" applyProtection="1">
      <alignment vertical="center"/>
    </xf>
    <xf numFmtId="0" fontId="41" fillId="0" borderId="1" xfId="0" applyNumberFormat="1" applyFont="1" applyFill="1" applyBorder="1" applyAlignment="1" applyProtection="1">
      <alignment wrapText="1"/>
    </xf>
    <xf numFmtId="43" fontId="40" fillId="0" borderId="1" xfId="11" applyFont="1" applyFill="1" applyBorder="1" applyAlignment="1" applyProtection="1"/>
    <xf numFmtId="0" fontId="40" fillId="0" borderId="0" xfId="0" applyNumberFormat="1" applyFont="1" applyFill="1" applyBorder="1" applyAlignment="1" applyProtection="1"/>
    <xf numFmtId="0" fontId="2" fillId="0" borderId="0" xfId="0" applyFont="1"/>
    <xf numFmtId="0" fontId="2" fillId="0" borderId="0" xfId="0" applyFont="1" applyAlignment="1">
      <alignment wrapText="1"/>
    </xf>
    <xf numFmtId="164" fontId="2" fillId="0" borderId="0" xfId="8" applyFont="1"/>
    <xf numFmtId="0" fontId="40" fillId="0" borderId="1" xfId="0" applyFont="1" applyBorder="1" applyAlignment="1">
      <alignment horizontal="center" vertical="center" wrapText="1"/>
    </xf>
    <xf numFmtId="164" fontId="40" fillId="0" borderId="1" xfId="8" applyFont="1" applyBorder="1" applyAlignment="1">
      <alignment horizontal="center" vertical="center" wrapText="1"/>
    </xf>
    <xf numFmtId="14" fontId="40" fillId="0" borderId="1" xfId="0" applyNumberFormat="1" applyFont="1" applyBorder="1" applyAlignment="1">
      <alignment horizontal="center" vertical="center" wrapText="1"/>
    </xf>
    <xf numFmtId="0" fontId="40" fillId="0" borderId="0" xfId="0" applyFont="1" applyAlignment="1">
      <alignment horizontal="center" vertical="center" wrapText="1"/>
    </xf>
    <xf numFmtId="0" fontId="2" fillId="0" borderId="1" xfId="0" applyFont="1" applyBorder="1" applyAlignment="1">
      <alignment wrapText="1"/>
    </xf>
    <xf numFmtId="0" fontId="40" fillId="0" borderId="1" xfId="0" applyFont="1" applyBorder="1" applyAlignment="1">
      <alignment wrapText="1"/>
    </xf>
    <xf numFmtId="0" fontId="2" fillId="0" borderId="1" xfId="0" applyFont="1" applyBorder="1" applyAlignment="1">
      <alignment horizontal="center" vertical="center" wrapText="1"/>
    </xf>
    <xf numFmtId="0" fontId="29" fillId="0" borderId="0" xfId="0" applyFont="1" applyFill="1" applyBorder="1" applyAlignment="1">
      <alignment horizontal="left" vertical="center" wrapText="1"/>
    </xf>
    <xf numFmtId="0" fontId="16" fillId="0" borderId="0" xfId="0" applyFont="1" applyFill="1" applyBorder="1" applyAlignment="1">
      <alignment horizontal="left" vertical="center" wrapText="1"/>
    </xf>
    <xf numFmtId="164" fontId="16" fillId="0" borderId="0" xfId="2" applyFont="1" applyFill="1" applyAlignment="1">
      <alignment horizontal="center"/>
    </xf>
    <xf numFmtId="0" fontId="14" fillId="0" borderId="0" xfId="0" applyFont="1" applyFill="1" applyBorder="1" applyAlignment="1">
      <alignment horizontal="center"/>
    </xf>
    <xf numFmtId="0" fontId="10" fillId="0" borderId="0" xfId="0" applyFont="1" applyFill="1" applyBorder="1" applyAlignment="1">
      <alignment horizontal="left" vertical="center" wrapText="1"/>
    </xf>
    <xf numFmtId="0" fontId="7" fillId="0" borderId="0" xfId="0" applyFont="1" applyFill="1" applyBorder="1" applyAlignment="1">
      <alignment horizontal="center" vertical="center"/>
    </xf>
    <xf numFmtId="0" fontId="10" fillId="0" borderId="0" xfId="0" applyNumberFormat="1" applyFont="1" applyFill="1" applyBorder="1" applyAlignment="1" applyProtection="1">
      <alignment horizontal="left" vertical="center" wrapText="1"/>
    </xf>
    <xf numFmtId="0" fontId="16" fillId="0" borderId="0" xfId="0" applyFont="1"/>
    <xf numFmtId="0" fontId="42" fillId="0" borderId="0" xfId="0" applyFont="1"/>
    <xf numFmtId="0" fontId="43" fillId="0" borderId="1" xfId="0" applyFont="1" applyBorder="1" applyAlignment="1">
      <alignment horizontal="center"/>
    </xf>
    <xf numFmtId="0" fontId="42" fillId="0" borderId="0" xfId="0" applyFont="1" applyAlignment="1">
      <alignment horizontal="center"/>
    </xf>
    <xf numFmtId="0" fontId="42" fillId="0" borderId="1" xfId="0" applyFont="1" applyBorder="1"/>
    <xf numFmtId="0" fontId="42" fillId="0" borderId="1" xfId="0" applyFont="1" applyBorder="1" applyAlignment="1">
      <alignment horizontal="center"/>
    </xf>
    <xf numFmtId="0" fontId="42" fillId="0" borderId="0" xfId="0" applyFont="1" applyBorder="1"/>
    <xf numFmtId="0" fontId="42" fillId="0" borderId="0" xfId="0" applyFont="1" applyBorder="1" applyAlignment="1">
      <alignment horizontal="center"/>
    </xf>
    <xf numFmtId="0" fontId="14" fillId="0" borderId="42" xfId="0" applyFont="1" applyBorder="1" applyAlignment="1">
      <alignment horizontal="center" vertical="center"/>
    </xf>
    <xf numFmtId="0" fontId="14" fillId="0" borderId="18" xfId="0" applyFont="1" applyBorder="1" applyAlignment="1">
      <alignment horizontal="center" vertical="center"/>
    </xf>
    <xf numFmtId="0" fontId="16" fillId="0" borderId="34" xfId="0" applyFont="1" applyBorder="1" applyAlignment="1">
      <alignment horizontal="right" vertical="center"/>
    </xf>
    <xf numFmtId="0" fontId="16" fillId="0" borderId="19" xfId="0" applyFont="1" applyBorder="1" applyAlignment="1">
      <alignment vertical="center"/>
    </xf>
    <xf numFmtId="0" fontId="0" fillId="0" borderId="0" xfId="0"/>
    <xf numFmtId="0" fontId="2" fillId="0" borderId="0" xfId="0" applyFont="1"/>
    <xf numFmtId="0" fontId="46" fillId="4" borderId="2" xfId="0" applyFont="1" applyFill="1" applyBorder="1" applyAlignment="1">
      <alignment horizontal="left" vertical="center"/>
    </xf>
    <xf numFmtId="0" fontId="40" fillId="4" borderId="6" xfId="0" applyFont="1" applyFill="1" applyBorder="1" applyAlignment="1">
      <alignment horizontal="center" vertical="center"/>
    </xf>
    <xf numFmtId="0" fontId="44" fillId="4" borderId="6"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4" borderId="11" xfId="0" applyFont="1" applyFill="1" applyBorder="1" applyAlignment="1">
      <alignment horizontal="center" vertical="center" wrapText="1"/>
    </xf>
    <xf numFmtId="14" fontId="47" fillId="0" borderId="41" xfId="0" applyNumberFormat="1" applyFont="1" applyBorder="1" applyAlignment="1">
      <alignment horizontal="center" vertical="center"/>
    </xf>
    <xf numFmtId="0" fontId="47" fillId="0" borderId="41" xfId="0" applyFont="1" applyBorder="1" applyAlignment="1">
      <alignment horizontal="center" vertical="center"/>
    </xf>
    <xf numFmtId="0" fontId="47" fillId="0" borderId="41" xfId="0" applyFont="1" applyBorder="1" applyAlignment="1">
      <alignment horizontal="left" vertical="center"/>
    </xf>
    <xf numFmtId="0" fontId="47" fillId="0" borderId="41" xfId="0" applyFont="1" applyBorder="1" applyAlignment="1">
      <alignment horizontal="center" vertical="center" wrapText="1"/>
    </xf>
    <xf numFmtId="3" fontId="47" fillId="0" borderId="41" xfId="0" applyNumberFormat="1" applyFont="1" applyBorder="1" applyAlignment="1">
      <alignment horizontal="center" vertical="center"/>
    </xf>
    <xf numFmtId="43" fontId="47" fillId="0" borderId="41" xfId="11" applyFont="1" applyBorder="1" applyAlignment="1">
      <alignment horizontal="center" vertical="center"/>
    </xf>
    <xf numFmtId="43" fontId="47" fillId="0" borderId="41" xfId="11" applyFont="1" applyFill="1" applyBorder="1" applyAlignment="1">
      <alignment horizontal="center" vertical="center"/>
    </xf>
    <xf numFmtId="0" fontId="47" fillId="0" borderId="41" xfId="0" applyFont="1" applyBorder="1"/>
    <xf numFmtId="43" fontId="47" fillId="0" borderId="41" xfId="11" applyFont="1" applyBorder="1"/>
    <xf numFmtId="43" fontId="47" fillId="0" borderId="41" xfId="0" applyNumberFormat="1" applyFont="1" applyBorder="1"/>
    <xf numFmtId="43" fontId="47" fillId="0" borderId="41" xfId="0" applyNumberFormat="1" applyFont="1" applyBorder="1" applyAlignment="1">
      <alignment vertical="center"/>
    </xf>
    <xf numFmtId="0" fontId="47" fillId="0" borderId="41" xfId="0" applyFont="1" applyFill="1" applyBorder="1" applyAlignment="1">
      <alignment wrapText="1"/>
    </xf>
    <xf numFmtId="0" fontId="47" fillId="0" borderId="0" xfId="0" applyFont="1"/>
    <xf numFmtId="14" fontId="47" fillId="0" borderId="1" xfId="0" applyNumberFormat="1" applyFont="1" applyBorder="1" applyAlignment="1">
      <alignment horizontal="center" vertical="center"/>
    </xf>
    <xf numFmtId="0" fontId="47" fillId="0" borderId="1" xfId="0" applyFont="1" applyBorder="1" applyAlignment="1">
      <alignment horizontal="center" vertical="center"/>
    </xf>
    <xf numFmtId="0" fontId="47" fillId="0" borderId="1" xfId="0" applyFont="1" applyBorder="1" applyAlignment="1">
      <alignment horizontal="left" vertical="center"/>
    </xf>
    <xf numFmtId="0" fontId="47" fillId="0" borderId="1" xfId="0" applyFont="1" applyBorder="1" applyAlignment="1">
      <alignment horizontal="center" vertical="center" wrapText="1"/>
    </xf>
    <xf numFmtId="3" fontId="47" fillId="0" borderId="1" xfId="0" applyNumberFormat="1" applyFont="1" applyBorder="1" applyAlignment="1">
      <alignment horizontal="center" vertical="center"/>
    </xf>
    <xf numFmtId="43" fontId="47" fillId="0" borderId="1" xfId="11" applyFont="1" applyBorder="1" applyAlignment="1">
      <alignment horizontal="center" vertical="center"/>
    </xf>
    <xf numFmtId="43" fontId="47" fillId="0" borderId="1" xfId="11" applyFont="1" applyFill="1" applyBorder="1" applyAlignment="1">
      <alignment horizontal="center" vertical="center"/>
    </xf>
    <xf numFmtId="0" fontId="47" fillId="0" borderId="1" xfId="0" applyFont="1" applyBorder="1" applyAlignment="1">
      <alignment vertical="center"/>
    </xf>
    <xf numFmtId="43" fontId="47" fillId="0" borderId="1" xfId="11" applyFont="1" applyBorder="1" applyAlignment="1">
      <alignment vertical="center"/>
    </xf>
    <xf numFmtId="43" fontId="47" fillId="0" borderId="1" xfId="0" applyNumberFormat="1" applyFont="1" applyBorder="1" applyAlignment="1">
      <alignment vertical="center"/>
    </xf>
    <xf numFmtId="0" fontId="47" fillId="0" borderId="1" xfId="0" applyFont="1" applyFill="1" applyBorder="1" applyAlignment="1">
      <alignment wrapText="1"/>
    </xf>
    <xf numFmtId="0" fontId="48" fillId="0" borderId="0" xfId="0" applyFont="1"/>
    <xf numFmtId="0" fontId="47" fillId="0" borderId="1" xfId="0" applyFont="1" applyBorder="1"/>
    <xf numFmtId="0" fontId="47" fillId="0" borderId="1" xfId="0" applyFont="1" applyBorder="1" applyAlignment="1">
      <alignment wrapText="1"/>
    </xf>
    <xf numFmtId="0" fontId="47" fillId="0" borderId="1" xfId="0" applyFont="1" applyFill="1" applyBorder="1" applyAlignment="1">
      <alignment vertical="center" wrapText="1"/>
    </xf>
    <xf numFmtId="167" fontId="47" fillId="0" borderId="1" xfId="11" applyNumberFormat="1" applyFont="1" applyBorder="1" applyAlignment="1">
      <alignment vertical="center"/>
    </xf>
    <xf numFmtId="14" fontId="47" fillId="6" borderId="1" xfId="0" applyNumberFormat="1" applyFont="1" applyFill="1" applyBorder="1" applyAlignment="1">
      <alignment horizontal="center" vertical="center"/>
    </xf>
    <xf numFmtId="0" fontId="47" fillId="6" borderId="1" xfId="0" applyFont="1" applyFill="1" applyBorder="1" applyAlignment="1">
      <alignment horizontal="center" vertical="center"/>
    </xf>
    <xf numFmtId="0" fontId="47" fillId="6" borderId="1" xfId="0" applyFont="1" applyFill="1" applyBorder="1" applyAlignment="1">
      <alignment horizontal="left" vertical="center"/>
    </xf>
    <xf numFmtId="3" fontId="47" fillId="6" borderId="1" xfId="0" applyNumberFormat="1" applyFont="1" applyFill="1" applyBorder="1" applyAlignment="1">
      <alignment horizontal="center" vertical="center"/>
    </xf>
    <xf numFmtId="43" fontId="47" fillId="6" borderId="1" xfId="11" applyFont="1" applyFill="1" applyBorder="1" applyAlignment="1">
      <alignment vertical="center"/>
    </xf>
    <xf numFmtId="43" fontId="47" fillId="6" borderId="1" xfId="11" applyFont="1" applyFill="1" applyBorder="1" applyAlignment="1">
      <alignment horizontal="center" vertical="center"/>
    </xf>
    <xf numFmtId="0" fontId="47" fillId="6" borderId="1" xfId="0" applyFont="1" applyFill="1" applyBorder="1" applyAlignment="1">
      <alignment vertical="center"/>
    </xf>
    <xf numFmtId="43" fontId="47" fillId="6" borderId="1" xfId="0" applyNumberFormat="1" applyFont="1" applyFill="1" applyBorder="1" applyAlignment="1">
      <alignment vertical="center"/>
    </xf>
    <xf numFmtId="167" fontId="47" fillId="6" borderId="1" xfId="11" applyNumberFormat="1" applyFont="1" applyFill="1" applyBorder="1" applyAlignment="1">
      <alignment vertical="center"/>
    </xf>
    <xf numFmtId="0" fontId="47" fillId="6" borderId="1" xfId="0" applyFont="1" applyFill="1" applyBorder="1"/>
    <xf numFmtId="0" fontId="46" fillId="4" borderId="2" xfId="0" applyFont="1" applyFill="1" applyBorder="1"/>
    <xf numFmtId="0" fontId="47" fillId="4" borderId="6" xfId="0" applyFont="1" applyFill="1" applyBorder="1"/>
    <xf numFmtId="0" fontId="47" fillId="4" borderId="6" xfId="0" applyFont="1" applyFill="1" applyBorder="1" applyAlignment="1">
      <alignment wrapText="1"/>
    </xf>
    <xf numFmtId="0" fontId="47" fillId="4" borderId="6" xfId="0" applyFont="1" applyFill="1" applyBorder="1" applyAlignment="1">
      <alignment vertical="center"/>
    </xf>
    <xf numFmtId="43" fontId="47" fillId="4" borderId="6" xfId="11" applyFont="1" applyFill="1" applyBorder="1" applyAlignment="1">
      <alignment vertical="center"/>
    </xf>
    <xf numFmtId="167" fontId="47" fillId="4" borderId="6" xfId="11" applyNumberFormat="1" applyFont="1" applyFill="1" applyBorder="1" applyAlignment="1">
      <alignment vertical="center"/>
    </xf>
    <xf numFmtId="0" fontId="47" fillId="4" borderId="11" xfId="0" applyFont="1" applyFill="1" applyBorder="1" applyAlignment="1">
      <alignment wrapText="1"/>
    </xf>
    <xf numFmtId="0" fontId="47" fillId="0" borderId="1" xfId="0" applyFont="1" applyFill="1" applyBorder="1"/>
    <xf numFmtId="168" fontId="47" fillId="0" borderId="1" xfId="0" applyNumberFormat="1" applyFont="1" applyBorder="1" applyAlignment="1">
      <alignment vertical="center"/>
    </xf>
    <xf numFmtId="14" fontId="47" fillId="7" borderId="1" xfId="0" applyNumberFormat="1" applyFont="1" applyFill="1" applyBorder="1" applyAlignment="1">
      <alignment horizontal="center" vertical="center"/>
    </xf>
    <xf numFmtId="0" fontId="47" fillId="7" borderId="1" xfId="0" applyFont="1" applyFill="1" applyBorder="1" applyAlignment="1">
      <alignment horizontal="center" vertical="center"/>
    </xf>
    <xf numFmtId="0" fontId="47" fillId="7" borderId="1" xfId="0" applyFont="1" applyFill="1" applyBorder="1" applyAlignment="1">
      <alignment horizontal="left" vertical="center"/>
    </xf>
    <xf numFmtId="3" fontId="47" fillId="7" borderId="1" xfId="0" applyNumberFormat="1" applyFont="1" applyFill="1" applyBorder="1" applyAlignment="1">
      <alignment horizontal="center" vertical="center"/>
    </xf>
    <xf numFmtId="43" fontId="47" fillId="7" borderId="1" xfId="11" applyFont="1" applyFill="1" applyBorder="1" applyAlignment="1">
      <alignment horizontal="center" vertical="center"/>
    </xf>
    <xf numFmtId="0" fontId="47" fillId="7" borderId="1" xfId="0" applyFont="1" applyFill="1" applyBorder="1" applyAlignment="1">
      <alignment vertical="center"/>
    </xf>
    <xf numFmtId="43" fontId="47" fillId="7" borderId="1" xfId="11" applyFont="1" applyFill="1" applyBorder="1" applyAlignment="1">
      <alignment vertical="center"/>
    </xf>
    <xf numFmtId="43" fontId="47" fillId="7" borderId="1" xfId="0" applyNumberFormat="1" applyFont="1" applyFill="1" applyBorder="1" applyAlignment="1">
      <alignment vertical="center"/>
    </xf>
    <xf numFmtId="168" fontId="47" fillId="7" borderId="1" xfId="0" applyNumberFormat="1" applyFont="1" applyFill="1" applyBorder="1" applyAlignment="1">
      <alignment vertical="center"/>
    </xf>
    <xf numFmtId="0" fontId="47" fillId="7" borderId="1" xfId="0" applyFont="1" applyFill="1" applyBorder="1"/>
    <xf numFmtId="168" fontId="47" fillId="6" borderId="1" xfId="0" applyNumberFormat="1" applyFont="1" applyFill="1" applyBorder="1" applyAlignment="1">
      <alignment vertical="center"/>
    </xf>
    <xf numFmtId="0" fontId="49" fillId="0" borderId="0" xfId="0" applyFont="1"/>
    <xf numFmtId="0" fontId="50" fillId="0" borderId="0" xfId="0" applyFont="1"/>
    <xf numFmtId="43" fontId="49" fillId="0" borderId="0" xfId="11" applyFont="1"/>
    <xf numFmtId="43" fontId="51" fillId="0" borderId="0" xfId="0" applyNumberFormat="1" applyFont="1"/>
    <xf numFmtId="1" fontId="51" fillId="0" borderId="0" xfId="0" applyNumberFormat="1" applyFont="1"/>
    <xf numFmtId="0" fontId="47" fillId="0" borderId="0" xfId="0" applyFont="1" applyFill="1" applyAlignment="1">
      <alignment wrapText="1"/>
    </xf>
    <xf numFmtId="43" fontId="47" fillId="0" borderId="0" xfId="11" applyFont="1"/>
    <xf numFmtId="0" fontId="47" fillId="0" borderId="0" xfId="0" applyFont="1" applyAlignment="1">
      <alignment vertical="center"/>
    </xf>
    <xf numFmtId="0" fontId="47" fillId="0" borderId="1" xfId="0" quotePrefix="1" applyFont="1" applyFill="1" applyBorder="1" applyAlignment="1">
      <alignment vertical="center" wrapText="1"/>
    </xf>
    <xf numFmtId="14" fontId="47" fillId="8" borderId="1" xfId="0" applyNumberFormat="1" applyFont="1" applyFill="1" applyBorder="1" applyAlignment="1">
      <alignment horizontal="center" vertical="center"/>
    </xf>
    <xf numFmtId="0" fontId="47" fillId="8" borderId="1" xfId="0" applyFont="1" applyFill="1" applyBorder="1" applyAlignment="1">
      <alignment horizontal="center" vertical="center"/>
    </xf>
    <xf numFmtId="0" fontId="47" fillId="8" borderId="1" xfId="0" applyFont="1" applyFill="1" applyBorder="1" applyAlignment="1">
      <alignment horizontal="left" vertical="center"/>
    </xf>
    <xf numFmtId="0" fontId="47" fillId="8" borderId="1" xfId="0" applyFont="1" applyFill="1" applyBorder="1" applyAlignment="1">
      <alignment horizontal="center" vertical="center" wrapText="1"/>
    </xf>
    <xf numFmtId="3" fontId="47" fillId="8" borderId="1" xfId="0" applyNumberFormat="1" applyFont="1" applyFill="1" applyBorder="1" applyAlignment="1">
      <alignment horizontal="center" vertical="center"/>
    </xf>
    <xf numFmtId="43" fontId="47" fillId="8" borderId="1" xfId="11" applyFont="1" applyFill="1" applyBorder="1" applyAlignment="1">
      <alignment horizontal="center" vertical="center"/>
    </xf>
    <xf numFmtId="0" fontId="47" fillId="8" borderId="1" xfId="0" applyFont="1" applyFill="1" applyBorder="1" applyAlignment="1">
      <alignment vertical="center"/>
    </xf>
    <xf numFmtId="43" fontId="47" fillId="8" borderId="1" xfId="11" applyFont="1" applyFill="1" applyBorder="1" applyAlignment="1">
      <alignment vertical="center"/>
    </xf>
    <xf numFmtId="43" fontId="47" fillId="8" borderId="1" xfId="0" applyNumberFormat="1" applyFont="1" applyFill="1" applyBorder="1" applyAlignment="1">
      <alignment vertical="center"/>
    </xf>
    <xf numFmtId="0" fontId="40" fillId="9" borderId="2" xfId="0" applyFont="1" applyFill="1" applyBorder="1" applyAlignment="1">
      <alignment horizontal="center" vertical="center"/>
    </xf>
    <xf numFmtId="0" fontId="40" fillId="9" borderId="1" xfId="0" applyFont="1" applyFill="1" applyBorder="1" applyAlignment="1">
      <alignment horizontal="center" vertical="center"/>
    </xf>
    <xf numFmtId="0" fontId="40" fillId="9" borderId="11" xfId="0" applyFont="1" applyFill="1" applyBorder="1" applyAlignment="1">
      <alignment horizontal="center" vertical="center"/>
    </xf>
    <xf numFmtId="43" fontId="40" fillId="9" borderId="1" xfId="11" applyFont="1" applyFill="1" applyBorder="1" applyAlignment="1">
      <alignment horizontal="center" vertical="center"/>
    </xf>
    <xf numFmtId="0" fontId="40" fillId="9" borderId="7" xfId="0" applyFont="1" applyFill="1" applyBorder="1" applyAlignment="1">
      <alignment horizontal="center" vertical="center" wrapText="1"/>
    </xf>
    <xf numFmtId="0" fontId="40" fillId="9" borderId="7" xfId="0" applyFont="1" applyFill="1" applyBorder="1" applyAlignment="1">
      <alignment horizontal="center" vertical="center"/>
    </xf>
    <xf numFmtId="0" fontId="40" fillId="9" borderId="0" xfId="0" applyFont="1" applyFill="1" applyBorder="1" applyAlignment="1">
      <alignment horizontal="center" vertical="center"/>
    </xf>
    <xf numFmtId="0" fontId="40" fillId="9" borderId="40" xfId="0" applyFont="1" applyFill="1" applyBorder="1" applyAlignment="1">
      <alignment horizontal="center" vertical="center"/>
    </xf>
    <xf numFmtId="43" fontId="40" fillId="9" borderId="40" xfId="11" applyFont="1" applyFill="1" applyBorder="1" applyAlignment="1">
      <alignment horizontal="center" vertical="center"/>
    </xf>
    <xf numFmtId="43" fontId="40" fillId="4" borderId="6" xfId="11" applyFont="1" applyFill="1" applyBorder="1" applyAlignment="1">
      <alignment horizontal="center" vertical="center"/>
    </xf>
    <xf numFmtId="0" fontId="0" fillId="0" borderId="0" xfId="0"/>
    <xf numFmtId="0" fontId="0" fillId="0" borderId="1" xfId="0" applyBorder="1" applyAlignment="1">
      <alignment wrapText="1"/>
    </xf>
    <xf numFmtId="0" fontId="0" fillId="0" borderId="1" xfId="0" applyBorder="1" applyAlignment="1">
      <alignment horizontal="center"/>
    </xf>
    <xf numFmtId="0" fontId="2" fillId="0" borderId="0" xfId="0" applyFont="1"/>
    <xf numFmtId="0" fontId="40" fillId="0" borderId="0" xfId="0" applyFont="1"/>
    <xf numFmtId="0" fontId="14" fillId="0" borderId="0" xfId="0" applyFont="1" applyFill="1" applyBorder="1" applyAlignment="1">
      <alignment horizontal="center" vertical="center"/>
    </xf>
    <xf numFmtId="0" fontId="17" fillId="0" borderId="0" xfId="0" applyFont="1" applyFill="1" applyBorder="1" applyAlignment="1">
      <alignment horizontal="center"/>
    </xf>
    <xf numFmtId="0" fontId="10" fillId="0" borderId="1" xfId="0" applyFont="1" applyFill="1" applyBorder="1" applyAlignment="1">
      <alignment horizontal="center" vertical="center"/>
    </xf>
    <xf numFmtId="0" fontId="10" fillId="0" borderId="0" xfId="0" applyFont="1" applyFill="1" applyBorder="1" applyAlignment="1">
      <alignment horizontal="center"/>
    </xf>
    <xf numFmtId="0" fontId="10" fillId="0" borderId="0" xfId="1" applyFont="1" applyFill="1" applyBorder="1" applyAlignment="1">
      <alignment horizontal="left" vertical="center" wrapText="1"/>
    </xf>
    <xf numFmtId="0" fontId="10" fillId="0" borderId="9" xfId="0" applyFont="1" applyFill="1" applyBorder="1" applyAlignment="1">
      <alignment horizontal="center" vertical="center"/>
    </xf>
    <xf numFmtId="0" fontId="10" fillId="0" borderId="0" xfId="0" applyFont="1" applyFill="1" applyBorder="1" applyAlignment="1">
      <alignment horizontal="center" vertical="center"/>
    </xf>
    <xf numFmtId="0" fontId="36" fillId="0" borderId="16" xfId="9" applyFont="1" applyBorder="1" applyAlignment="1">
      <alignment horizontal="center"/>
    </xf>
    <xf numFmtId="0" fontId="36" fillId="0" borderId="0" xfId="9" applyFont="1" applyBorder="1" applyAlignment="1">
      <alignment horizontal="center"/>
    </xf>
    <xf numFmtId="0" fontId="36" fillId="0" borderId="19" xfId="9" applyFont="1" applyBorder="1" applyAlignment="1">
      <alignment horizontal="center"/>
    </xf>
    <xf numFmtId="0" fontId="14" fillId="0" borderId="0" xfId="3" applyNumberFormat="1" applyFont="1" applyFill="1" applyBorder="1" applyAlignment="1">
      <alignment vertical="center"/>
    </xf>
    <xf numFmtId="2" fontId="16" fillId="0" borderId="0" xfId="0" applyNumberFormat="1" applyFont="1" applyFill="1" applyBorder="1" applyAlignment="1">
      <alignment vertical="center" wrapText="1"/>
    </xf>
    <xf numFmtId="164" fontId="16" fillId="0" borderId="0" xfId="7" applyFont="1" applyFill="1"/>
    <xf numFmtId="4" fontId="16" fillId="0" borderId="0" xfId="7" applyNumberFormat="1" applyFont="1" applyFill="1"/>
    <xf numFmtId="165" fontId="16" fillId="0" borderId="0" xfId="7" applyNumberFormat="1" applyFont="1" applyFill="1"/>
    <xf numFmtId="169" fontId="9" fillId="0" borderId="0" xfId="5" applyNumberFormat="1" applyFont="1" applyFill="1" applyBorder="1" applyAlignment="1" applyProtection="1"/>
    <xf numFmtId="169" fontId="17" fillId="0" borderId="4" xfId="0" applyNumberFormat="1" applyFont="1" applyFill="1" applyBorder="1" applyAlignment="1" applyProtection="1">
      <alignment horizontal="center" vertical="center"/>
    </xf>
    <xf numFmtId="169" fontId="17" fillId="0" borderId="0" xfId="0" applyNumberFormat="1" applyFont="1" applyFill="1" applyBorder="1" applyAlignment="1" applyProtection="1">
      <alignment horizontal="center" vertical="center"/>
    </xf>
    <xf numFmtId="169" fontId="15" fillId="0" borderId="0" xfId="5" applyNumberFormat="1" applyFont="1" applyFill="1" applyBorder="1" applyAlignment="1" applyProtection="1"/>
    <xf numFmtId="169" fontId="15" fillId="0" borderId="0" xfId="5" applyNumberFormat="1" applyFont="1" applyFill="1" applyBorder="1" applyAlignment="1">
      <alignment horizontal="right"/>
    </xf>
    <xf numFmtId="169" fontId="16" fillId="0" borderId="0" xfId="7" applyNumberFormat="1" applyFont="1" applyFill="1"/>
    <xf numFmtId="169" fontId="16" fillId="0" borderId="0" xfId="7" applyNumberFormat="1" applyFont="1" applyFill="1" applyBorder="1" applyAlignment="1" applyProtection="1">
      <alignment horizontal="right"/>
    </xf>
    <xf numFmtId="169" fontId="16" fillId="0" borderId="0" xfId="5" applyNumberFormat="1" applyFont="1" applyFill="1" applyBorder="1" applyAlignment="1">
      <alignment horizontal="right"/>
    </xf>
    <xf numFmtId="169" fontId="16" fillId="0" borderId="0" xfId="5" applyNumberFormat="1" applyFont="1" applyFill="1" applyBorder="1" applyAlignment="1" applyProtection="1">
      <alignment horizontal="right"/>
    </xf>
    <xf numFmtId="169" fontId="14" fillId="0" borderId="6" xfId="6" applyNumberFormat="1" applyFont="1" applyFill="1" applyBorder="1" applyAlignment="1">
      <alignment horizontal="right"/>
    </xf>
    <xf numFmtId="169" fontId="14" fillId="0" borderId="0" xfId="7" applyNumberFormat="1" applyFont="1" applyFill="1" applyBorder="1" applyAlignment="1" applyProtection="1">
      <alignment horizontal="right"/>
    </xf>
    <xf numFmtId="169" fontId="14" fillId="0" borderId="0" xfId="5" applyNumberFormat="1" applyFont="1" applyFill="1" applyBorder="1" applyAlignment="1">
      <alignment horizontal="right"/>
    </xf>
    <xf numFmtId="169" fontId="14" fillId="0" borderId="6" xfId="5" applyNumberFormat="1" applyFont="1" applyFill="1" applyBorder="1" applyAlignment="1">
      <alignment horizontal="right"/>
    </xf>
    <xf numFmtId="169" fontId="14" fillId="0" borderId="0" xfId="5" applyNumberFormat="1" applyFont="1" applyFill="1" applyBorder="1" applyAlignment="1" applyProtection="1">
      <alignment horizontal="right"/>
    </xf>
    <xf numFmtId="169" fontId="31" fillId="0" borderId="0" xfId="5" applyNumberFormat="1" applyFont="1" applyFill="1" applyBorder="1" applyAlignment="1" applyProtection="1">
      <alignment horizontal="right"/>
    </xf>
    <xf numFmtId="169" fontId="14" fillId="0" borderId="6" xfId="5" applyNumberFormat="1" applyFont="1" applyFill="1" applyBorder="1" applyAlignment="1" applyProtection="1">
      <alignment horizontal="right"/>
    </xf>
    <xf numFmtId="169" fontId="14" fillId="0" borderId="4" xfId="5" applyNumberFormat="1" applyFont="1" applyFill="1" applyBorder="1" applyAlignment="1" applyProtection="1">
      <alignment horizontal="right"/>
    </xf>
    <xf numFmtId="169" fontId="8" fillId="0" borderId="0" xfId="5" applyNumberFormat="1" applyFont="1" applyFill="1" applyBorder="1"/>
    <xf numFmtId="169" fontId="14" fillId="0" borderId="5" xfId="5" applyNumberFormat="1" applyFont="1" applyFill="1" applyBorder="1" applyAlignment="1" applyProtection="1">
      <alignment horizontal="right"/>
    </xf>
    <xf numFmtId="169" fontId="16" fillId="0" borderId="0" xfId="0" applyNumberFormat="1" applyFont="1" applyFill="1" applyBorder="1" applyAlignment="1" applyProtection="1"/>
    <xf numFmtId="169" fontId="14" fillId="0" borderId="0" xfId="0" applyNumberFormat="1" applyFont="1" applyFill="1" applyBorder="1" applyAlignment="1">
      <alignment horizontal="center" vertical="center"/>
    </xf>
    <xf numFmtId="169" fontId="16" fillId="0" borderId="0" xfId="0" applyNumberFormat="1" applyFont="1" applyFill="1" applyBorder="1" applyAlignment="1">
      <alignment vertical="center"/>
    </xf>
    <xf numFmtId="169" fontId="8" fillId="0" borderId="0" xfId="0" applyNumberFormat="1" applyFont="1" applyFill="1" applyBorder="1" applyAlignment="1" applyProtection="1"/>
    <xf numFmtId="164" fontId="16" fillId="0" borderId="0" xfId="7" applyNumberFormat="1" applyFont="1" applyFill="1"/>
    <xf numFmtId="165" fontId="7" fillId="0" borderId="5" xfId="5" applyNumberFormat="1" applyFont="1" applyFill="1" applyBorder="1" applyAlignment="1">
      <alignment horizontal="right" vertical="center"/>
    </xf>
    <xf numFmtId="165" fontId="7" fillId="0" borderId="5" xfId="5" applyNumberFormat="1" applyFont="1" applyFill="1" applyBorder="1" applyAlignment="1" applyProtection="1">
      <alignment horizontal="right" vertical="center"/>
    </xf>
    <xf numFmtId="0" fontId="7" fillId="0" borderId="0" xfId="0" applyNumberFormat="1" applyFont="1" applyFill="1" applyBorder="1" applyAlignment="1" applyProtection="1">
      <alignment horizontal="right" vertical="center"/>
    </xf>
    <xf numFmtId="0" fontId="8" fillId="0" borderId="0" xfId="9" applyFont="1" applyBorder="1"/>
    <xf numFmtId="0" fontId="36" fillId="0" borderId="25" xfId="9" applyFont="1" applyBorder="1" applyAlignment="1"/>
    <xf numFmtId="0" fontId="36" fillId="0" borderId="16" xfId="9" applyFont="1" applyBorder="1" applyAlignment="1"/>
    <xf numFmtId="0" fontId="36" fillId="0" borderId="19" xfId="9" applyFont="1" applyBorder="1"/>
    <xf numFmtId="0" fontId="36" fillId="0" borderId="21" xfId="9" applyFont="1" applyBorder="1" applyAlignment="1">
      <alignment horizontal="center"/>
    </xf>
    <xf numFmtId="0" fontId="37" fillId="0" borderId="25" xfId="9" applyFont="1" applyBorder="1" applyAlignment="1">
      <alignment horizontal="justify" vertical="center" wrapText="1"/>
    </xf>
    <xf numFmtId="0" fontId="37" fillId="0" borderId="25" xfId="9" applyFont="1" applyBorder="1" applyAlignment="1">
      <alignment horizontal="left" wrapText="1"/>
    </xf>
    <xf numFmtId="0" fontId="37" fillId="0" borderId="25" xfId="9" applyFont="1" applyBorder="1" applyAlignment="1">
      <alignment horizontal="center"/>
    </xf>
    <xf numFmtId="0" fontId="37" fillId="0" borderId="26" xfId="9" applyFont="1" applyBorder="1"/>
    <xf numFmtId="164" fontId="37" fillId="0" borderId="25" xfId="8" applyFont="1" applyFill="1" applyBorder="1"/>
    <xf numFmtId="0" fontId="37" fillId="0" borderId="26" xfId="9" applyFont="1" applyFill="1" applyBorder="1"/>
    <xf numFmtId="39" fontId="7" fillId="0" borderId="0" xfId="9" applyNumberFormat="1" applyFont="1" applyBorder="1"/>
    <xf numFmtId="39" fontId="8" fillId="0" borderId="0" xfId="9" applyNumberFormat="1" applyFont="1" applyBorder="1"/>
    <xf numFmtId="164" fontId="8" fillId="0" borderId="0" xfId="9" applyNumberFormat="1" applyFont="1" applyBorder="1"/>
    <xf numFmtId="0" fontId="36" fillId="0" borderId="12" xfId="9" applyFont="1" applyBorder="1"/>
    <xf numFmtId="0" fontId="36" fillId="0" borderId="7" xfId="9" applyFont="1" applyBorder="1" applyAlignment="1">
      <alignment horizontal="center"/>
    </xf>
    <xf numFmtId="0" fontId="36" fillId="0" borderId="43" xfId="9" applyFont="1" applyBorder="1"/>
    <xf numFmtId="0" fontId="36" fillId="0" borderId="44" xfId="9" applyFont="1" applyBorder="1" applyAlignment="1">
      <alignment horizontal="center"/>
    </xf>
    <xf numFmtId="0" fontId="36" fillId="0" borderId="7" xfId="9" applyFont="1" applyBorder="1"/>
    <xf numFmtId="0" fontId="36" fillId="0" borderId="16" xfId="9" applyFont="1" applyBorder="1"/>
    <xf numFmtId="43" fontId="8" fillId="0" borderId="0" xfId="11" applyFont="1" applyFill="1" applyBorder="1"/>
    <xf numFmtId="43" fontId="8" fillId="0" borderId="0" xfId="0" applyNumberFormat="1" applyFont="1" applyFill="1" applyBorder="1"/>
    <xf numFmtId="169" fontId="37" fillId="0" borderId="0" xfId="8" applyNumberFormat="1" applyFont="1" applyFill="1" applyBorder="1"/>
    <xf numFmtId="169" fontId="37" fillId="0" borderId="0" xfId="0" applyNumberFormat="1" applyFont="1" applyFill="1" applyBorder="1"/>
    <xf numFmtId="169" fontId="37" fillId="0" borderId="12" xfId="9" applyNumberFormat="1" applyFont="1" applyFill="1" applyBorder="1"/>
    <xf numFmtId="169" fontId="37" fillId="0" borderId="7" xfId="8" applyNumberFormat="1" applyFont="1" applyFill="1" applyBorder="1"/>
    <xf numFmtId="169" fontId="37" fillId="0" borderId="0" xfId="9" applyNumberFormat="1" applyFont="1" applyFill="1" applyBorder="1"/>
    <xf numFmtId="169" fontId="37" fillId="0" borderId="16" xfId="9" applyNumberFormat="1" applyFont="1" applyFill="1" applyBorder="1"/>
    <xf numFmtId="169" fontId="37" fillId="0" borderId="16" xfId="8" applyNumberFormat="1" applyFont="1" applyFill="1" applyBorder="1"/>
    <xf numFmtId="169" fontId="37" fillId="0" borderId="4" xfId="8" applyNumberFormat="1" applyFont="1" applyFill="1" applyBorder="1"/>
    <xf numFmtId="169" fontId="37" fillId="0" borderId="6" xfId="8" applyNumberFormat="1" applyFont="1" applyFill="1" applyBorder="1"/>
    <xf numFmtId="169" fontId="37" fillId="0" borderId="11" xfId="8" applyNumberFormat="1" applyFont="1" applyFill="1" applyBorder="1"/>
    <xf numFmtId="169" fontId="37" fillId="0" borderId="14" xfId="8" applyNumberFormat="1" applyFont="1" applyFill="1" applyBorder="1"/>
    <xf numFmtId="169" fontId="37" fillId="0" borderId="7" xfId="9" applyNumberFormat="1" applyFont="1" applyFill="1" applyBorder="1"/>
    <xf numFmtId="169" fontId="37" fillId="0" borderId="9" xfId="8" applyNumberFormat="1" applyFont="1" applyFill="1" applyBorder="1"/>
    <xf numFmtId="169" fontId="37" fillId="0" borderId="10" xfId="8" applyNumberFormat="1" applyFont="1" applyFill="1" applyBorder="1"/>
    <xf numFmtId="169" fontId="37" fillId="0" borderId="29" xfId="8" applyNumberFormat="1" applyFont="1" applyFill="1" applyBorder="1"/>
    <xf numFmtId="169" fontId="37" fillId="0" borderId="0" xfId="11" applyNumberFormat="1" applyFont="1" applyFill="1" applyBorder="1"/>
    <xf numFmtId="169" fontId="37" fillId="0" borderId="16" xfId="11" applyNumberFormat="1" applyFont="1" applyFill="1" applyBorder="1"/>
    <xf numFmtId="169" fontId="37" fillId="0" borderId="7" xfId="10" applyNumberFormat="1" applyFont="1" applyFill="1" applyBorder="1"/>
    <xf numFmtId="169" fontId="37" fillId="0" borderId="12" xfId="8" applyNumberFormat="1" applyFont="1" applyFill="1" applyBorder="1"/>
    <xf numFmtId="169" fontId="36" fillId="0" borderId="5" xfId="9" applyNumberFormat="1" applyFont="1" applyFill="1" applyBorder="1"/>
    <xf numFmtId="169" fontId="36" fillId="0" borderId="45" xfId="9" applyNumberFormat="1" applyFont="1" applyFill="1" applyBorder="1"/>
    <xf numFmtId="169" fontId="37" fillId="0" borderId="5" xfId="9" applyNumberFormat="1" applyFont="1" applyFill="1" applyBorder="1"/>
    <xf numFmtId="169" fontId="36" fillId="0" borderId="32" xfId="9" applyNumberFormat="1" applyFont="1" applyFill="1" applyBorder="1"/>
    <xf numFmtId="169" fontId="37" fillId="0" borderId="0" xfId="10" applyNumberFormat="1" applyFont="1" applyFill="1" applyBorder="1"/>
    <xf numFmtId="169" fontId="37" fillId="0" borderId="8" xfId="8" applyNumberFormat="1" applyFont="1" applyFill="1" applyBorder="1"/>
    <xf numFmtId="169" fontId="36" fillId="0" borderId="33" xfId="9" applyNumberFormat="1" applyFont="1" applyFill="1" applyBorder="1"/>
    <xf numFmtId="169" fontId="36" fillId="0" borderId="21" xfId="9" applyNumberFormat="1" applyFont="1" applyFill="1" applyBorder="1"/>
    <xf numFmtId="169" fontId="36" fillId="0" borderId="38" xfId="9" applyNumberFormat="1" applyFont="1" applyFill="1" applyBorder="1"/>
    <xf numFmtId="169" fontId="36" fillId="0" borderId="43" xfId="9" applyNumberFormat="1" applyFont="1" applyFill="1" applyBorder="1"/>
    <xf numFmtId="169" fontId="37" fillId="0" borderId="19" xfId="9" applyNumberFormat="1" applyFont="1" applyFill="1" applyBorder="1"/>
    <xf numFmtId="169" fontId="36" fillId="0" borderId="35" xfId="9" applyNumberFormat="1" applyFont="1" applyFill="1" applyBorder="1"/>
    <xf numFmtId="0" fontId="40" fillId="0" borderId="0" xfId="0" applyFont="1" applyAlignment="1">
      <alignment horizontal="right"/>
    </xf>
    <xf numFmtId="0" fontId="14" fillId="0" borderId="0" xfId="0" applyFont="1" applyAlignment="1">
      <alignment horizontal="right"/>
    </xf>
    <xf numFmtId="0" fontId="14" fillId="0" borderId="0" xfId="0" applyFont="1"/>
    <xf numFmtId="0" fontId="2" fillId="0" borderId="1" xfId="0" applyFont="1" applyBorder="1" applyAlignment="1">
      <alignment horizontal="center" wrapText="1"/>
    </xf>
    <xf numFmtId="164" fontId="2" fillId="0" borderId="1" xfId="8" applyFont="1" applyBorder="1" applyAlignment="1">
      <alignment wrapText="1"/>
    </xf>
    <xf numFmtId="14" fontId="2" fillId="0" borderId="1" xfId="0" applyNumberFormat="1" applyFont="1" applyBorder="1" applyAlignment="1">
      <alignment wrapText="1"/>
    </xf>
    <xf numFmtId="164" fontId="40" fillId="0" borderId="1" xfId="8" applyFont="1" applyBorder="1" applyAlignment="1">
      <alignment wrapText="1"/>
    </xf>
    <xf numFmtId="14" fontId="40" fillId="0" borderId="1" xfId="0" applyNumberFormat="1" applyFont="1" applyBorder="1" applyAlignment="1">
      <alignment wrapText="1"/>
    </xf>
    <xf numFmtId="0" fontId="40" fillId="0" borderId="1" xfId="0" applyFont="1" applyBorder="1" applyAlignment="1">
      <alignment horizontal="center" wrapText="1"/>
    </xf>
    <xf numFmtId="0" fontId="40" fillId="0" borderId="0" xfId="0" applyFont="1" applyAlignment="1">
      <alignment wrapText="1"/>
    </xf>
    <xf numFmtId="0" fontId="3" fillId="0" borderId="0" xfId="0" applyFont="1"/>
    <xf numFmtId="0" fontId="3" fillId="0" borderId="0" xfId="0" applyFont="1" applyAlignment="1">
      <alignment wrapText="1"/>
    </xf>
    <xf numFmtId="164" fontId="3" fillId="0" borderId="0" xfId="8" applyFont="1" applyAlignment="1">
      <alignment wrapText="1"/>
    </xf>
    <xf numFmtId="43" fontId="3" fillId="0" borderId="0" xfId="11" applyFont="1"/>
    <xf numFmtId="0" fontId="46" fillId="0" borderId="0" xfId="0" applyFont="1" applyAlignment="1">
      <alignment horizontal="right"/>
    </xf>
    <xf numFmtId="164" fontId="3" fillId="0" borderId="0" xfId="8" applyFont="1"/>
    <xf numFmtId="0" fontId="46" fillId="0" borderId="1" xfId="0" applyFont="1" applyBorder="1" applyAlignment="1">
      <alignment horizontal="center" vertical="center" wrapText="1"/>
    </xf>
    <xf numFmtId="164" fontId="46" fillId="0" borderId="1" xfId="8" applyFont="1" applyBorder="1" applyAlignment="1">
      <alignment horizontal="center" vertical="center" wrapText="1"/>
    </xf>
    <xf numFmtId="14" fontId="46" fillId="0" borderId="1" xfId="0" applyNumberFormat="1" applyFont="1" applyBorder="1" applyAlignment="1">
      <alignment horizontal="center" vertical="center" wrapText="1"/>
    </xf>
    <xf numFmtId="43" fontId="46" fillId="0" borderId="1" xfId="11" applyFont="1" applyBorder="1" applyAlignment="1">
      <alignment horizontal="center" vertical="center" wrapText="1"/>
    </xf>
    <xf numFmtId="0" fontId="46" fillId="0" borderId="0" xfId="0" applyFont="1" applyAlignment="1">
      <alignment horizontal="center" vertical="center" wrapText="1"/>
    </xf>
    <xf numFmtId="0" fontId="3" fillId="0" borderId="1" xfId="0" applyFont="1" applyBorder="1" applyAlignment="1">
      <alignment horizontal="center"/>
    </xf>
    <xf numFmtId="0" fontId="3" fillId="0" borderId="1" xfId="0" applyFont="1" applyBorder="1"/>
    <xf numFmtId="0" fontId="3" fillId="0" borderId="1" xfId="0" applyFont="1" applyBorder="1" applyAlignment="1">
      <alignment wrapText="1"/>
    </xf>
    <xf numFmtId="164" fontId="3" fillId="0" borderId="1" xfId="8" applyFont="1" applyBorder="1"/>
    <xf numFmtId="14" fontId="3" fillId="0" borderId="1" xfId="0" applyNumberFormat="1" applyFont="1" applyBorder="1"/>
    <xf numFmtId="43" fontId="3" fillId="0" borderId="1" xfId="11" applyFont="1" applyBorder="1"/>
    <xf numFmtId="0" fontId="46" fillId="0" borderId="1" xfId="0" applyFont="1" applyBorder="1"/>
    <xf numFmtId="0" fontId="46" fillId="0" borderId="1" xfId="0" applyFont="1" applyBorder="1" applyAlignment="1">
      <alignment wrapText="1"/>
    </xf>
    <xf numFmtId="164" fontId="46" fillId="0" borderId="1" xfId="8" applyFont="1" applyBorder="1"/>
    <xf numFmtId="14" fontId="46" fillId="0" borderId="1" xfId="0" applyNumberFormat="1" applyFont="1" applyBorder="1"/>
    <xf numFmtId="0" fontId="46" fillId="0" borderId="1" xfId="0" applyFont="1" applyBorder="1" applyAlignment="1">
      <alignment horizontal="center"/>
    </xf>
    <xf numFmtId="43" fontId="46" fillId="0" borderId="1" xfId="11" applyFont="1" applyBorder="1"/>
    <xf numFmtId="0" fontId="46" fillId="0" borderId="0" xfId="0" applyFont="1"/>
    <xf numFmtId="0" fontId="3" fillId="0" borderId="1" xfId="0" applyFont="1" applyBorder="1" applyAlignment="1">
      <alignment horizontal="center" vertical="center" wrapText="1"/>
    </xf>
    <xf numFmtId="0" fontId="29" fillId="0" borderId="0" xfId="0" applyFont="1" applyFill="1" applyBorder="1" applyAlignment="1">
      <alignment horizontal="left" vertical="center" wrapText="1"/>
    </xf>
    <xf numFmtId="0" fontId="14" fillId="0" borderId="0" xfId="0" applyFont="1" applyFill="1" applyBorder="1" applyAlignment="1">
      <alignment horizontal="center"/>
    </xf>
    <xf numFmtId="1" fontId="14" fillId="0" borderId="4" xfId="2" applyNumberFormat="1" applyFont="1" applyFill="1" applyBorder="1" applyAlignment="1">
      <alignment horizontal="center"/>
    </xf>
    <xf numFmtId="0" fontId="14" fillId="0" borderId="4" xfId="2" applyNumberFormat="1" applyFont="1" applyFill="1" applyBorder="1" applyAlignment="1">
      <alignment horizontal="center"/>
    </xf>
    <xf numFmtId="0" fontId="16" fillId="0" borderId="0" xfId="0" applyFont="1" applyFill="1" applyBorder="1" applyAlignment="1">
      <alignment horizontal="left" vertical="center" wrapText="1"/>
    </xf>
    <xf numFmtId="164" fontId="16" fillId="0" borderId="0" xfId="2" applyFont="1" applyFill="1" applyAlignment="1">
      <alignment horizontal="center"/>
    </xf>
    <xf numFmtId="0" fontId="34" fillId="0" borderId="0" xfId="0" applyFont="1" applyFill="1" applyBorder="1" applyAlignment="1">
      <alignment horizontal="center" vertical="center"/>
    </xf>
    <xf numFmtId="0" fontId="32" fillId="0" borderId="0" xfId="0" applyFont="1" applyFill="1" applyBorder="1" applyAlignment="1">
      <alignment horizontal="center"/>
    </xf>
    <xf numFmtId="0" fontId="32"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14" fillId="0" borderId="0" xfId="0" applyFont="1" applyFill="1" applyBorder="1" applyAlignment="1">
      <alignment horizontal="center" vertical="center"/>
    </xf>
    <xf numFmtId="165" fontId="35" fillId="0" borderId="0" xfId="5" applyNumberFormat="1" applyFont="1" applyFill="1" applyBorder="1" applyAlignment="1">
      <alignment horizontal="center"/>
    </xf>
    <xf numFmtId="0" fontId="17" fillId="0" borderId="0" xfId="0" applyFont="1" applyFill="1" applyBorder="1" applyAlignment="1">
      <alignment horizontal="center"/>
    </xf>
    <xf numFmtId="0" fontId="10" fillId="0" borderId="0" xfId="0" applyFont="1" applyFill="1" applyBorder="1" applyAlignment="1">
      <alignment horizontal="left" vertical="center" wrapText="1"/>
    </xf>
    <xf numFmtId="0" fontId="7" fillId="0" borderId="0" xfId="0" applyFont="1" applyFill="1" applyBorder="1" applyAlignment="1">
      <alignment horizontal="center" vertical="center"/>
    </xf>
    <xf numFmtId="1" fontId="7" fillId="0" borderId="4" xfId="2" applyNumberFormat="1" applyFont="1" applyFill="1" applyBorder="1" applyAlignment="1">
      <alignment horizontal="center"/>
    </xf>
    <xf numFmtId="0" fontId="10" fillId="0" borderId="0" xfId="0" applyNumberFormat="1" applyFont="1" applyFill="1" applyBorder="1" applyAlignment="1" applyProtection="1">
      <alignment horizontal="left" vertical="center" wrapText="1"/>
    </xf>
    <xf numFmtId="0" fontId="10" fillId="0" borderId="1" xfId="0" applyFont="1" applyFill="1" applyBorder="1" applyAlignment="1">
      <alignment horizontal="center" vertical="center"/>
    </xf>
    <xf numFmtId="165" fontId="7" fillId="0" borderId="1" xfId="5" applyNumberFormat="1" applyFont="1" applyFill="1" applyBorder="1" applyAlignment="1">
      <alignment horizontal="center" vertical="center"/>
    </xf>
    <xf numFmtId="0" fontId="10" fillId="0" borderId="0" xfId="0" applyFont="1" applyFill="1" applyBorder="1" applyAlignment="1">
      <alignment horizontal="center"/>
    </xf>
    <xf numFmtId="0" fontId="10" fillId="0" borderId="0" xfId="1" applyFont="1" applyFill="1" applyBorder="1" applyAlignment="1">
      <alignment horizontal="left" vertical="center" wrapText="1"/>
    </xf>
    <xf numFmtId="0" fontId="10" fillId="0" borderId="8" xfId="0" applyFont="1" applyFill="1" applyBorder="1" applyAlignment="1">
      <alignment horizontal="center" vertical="center"/>
    </xf>
    <xf numFmtId="0" fontId="10" fillId="0" borderId="9" xfId="0" applyFont="1" applyFill="1" applyBorder="1" applyAlignment="1">
      <alignment horizontal="center" vertical="center"/>
    </xf>
    <xf numFmtId="0" fontId="10" fillId="0" borderId="10" xfId="0" applyFont="1" applyFill="1" applyBorder="1" applyAlignment="1">
      <alignment horizontal="center" vertical="center"/>
    </xf>
    <xf numFmtId="0" fontId="10" fillId="0" borderId="12" xfId="0" applyFont="1" applyFill="1" applyBorder="1" applyAlignment="1">
      <alignment horizontal="center" vertical="center"/>
    </xf>
    <xf numFmtId="0" fontId="10" fillId="0" borderId="0" xfId="0" applyFont="1" applyFill="1" applyBorder="1" applyAlignment="1">
      <alignment horizontal="center" vertical="center"/>
    </xf>
    <xf numFmtId="0" fontId="10" fillId="0" borderId="7" xfId="0" applyFont="1" applyFill="1" applyBorder="1" applyAlignment="1">
      <alignment horizontal="center" vertical="center"/>
    </xf>
    <xf numFmtId="165" fontId="7" fillId="0" borderId="2" xfId="5" applyNumberFormat="1" applyFont="1" applyFill="1" applyBorder="1" applyAlignment="1">
      <alignment horizontal="center" vertical="center"/>
    </xf>
    <xf numFmtId="165" fontId="7" fillId="0" borderId="6" xfId="5" applyNumberFormat="1" applyFont="1" applyFill="1" applyBorder="1" applyAlignment="1">
      <alignment horizontal="center" vertical="center"/>
    </xf>
    <xf numFmtId="165" fontId="7" fillId="0" borderId="11" xfId="5" applyNumberFormat="1" applyFont="1" applyFill="1" applyBorder="1" applyAlignment="1">
      <alignment horizontal="center" vertical="center"/>
    </xf>
    <xf numFmtId="0" fontId="37" fillId="0" borderId="0" xfId="9" applyFont="1" applyBorder="1" applyAlignment="1">
      <alignment horizontal="left" wrapText="1"/>
    </xf>
    <xf numFmtId="0" fontId="37" fillId="0" borderId="16" xfId="9" applyFont="1" applyBorder="1" applyAlignment="1">
      <alignment horizontal="left" wrapText="1"/>
    </xf>
    <xf numFmtId="0" fontId="36" fillId="0" borderId="43" xfId="9" applyFont="1" applyBorder="1" applyAlignment="1">
      <alignment horizontal="center"/>
    </xf>
    <xf numFmtId="0" fontId="36" fillId="0" borderId="44" xfId="9" applyFont="1" applyBorder="1" applyAlignment="1">
      <alignment horizontal="center"/>
    </xf>
    <xf numFmtId="0" fontId="36" fillId="0" borderId="26" xfId="9" applyFont="1" applyBorder="1" applyAlignment="1">
      <alignment horizontal="center"/>
    </xf>
    <xf numFmtId="0" fontId="36" fillId="0" borderId="19" xfId="9" applyFont="1" applyBorder="1" applyAlignment="1">
      <alignment horizontal="center"/>
    </xf>
    <xf numFmtId="0" fontId="36" fillId="3" borderId="13" xfId="9" applyFont="1" applyFill="1" applyBorder="1" applyAlignment="1">
      <alignment horizontal="center"/>
    </xf>
    <xf numFmtId="0" fontId="36" fillId="3" borderId="18" xfId="9" applyFont="1" applyFill="1" applyBorder="1" applyAlignment="1">
      <alignment horizontal="center"/>
    </xf>
    <xf numFmtId="0" fontId="36" fillId="0" borderId="0" xfId="9" applyFont="1" applyBorder="1" applyAlignment="1">
      <alignment horizontal="center"/>
    </xf>
    <xf numFmtId="0" fontId="36" fillId="0" borderId="12" xfId="9" applyFont="1" applyBorder="1" applyAlignment="1">
      <alignment horizontal="center"/>
    </xf>
    <xf numFmtId="0" fontId="36" fillId="0" borderId="21" xfId="9" applyFont="1" applyBorder="1" applyAlignment="1">
      <alignment horizontal="center"/>
    </xf>
    <xf numFmtId="0" fontId="36" fillId="3" borderId="22" xfId="9" applyFont="1" applyFill="1" applyBorder="1" applyAlignment="1">
      <alignment horizontal="center"/>
    </xf>
    <xf numFmtId="0" fontId="36" fillId="0" borderId="25" xfId="9" applyFont="1" applyBorder="1" applyAlignment="1">
      <alignment horizontal="center"/>
    </xf>
    <xf numFmtId="0" fontId="36" fillId="0" borderId="16" xfId="9" applyFont="1" applyBorder="1" applyAlignment="1">
      <alignment horizontal="center"/>
    </xf>
    <xf numFmtId="0" fontId="37" fillId="0" borderId="0" xfId="9" applyFont="1" applyAlignment="1">
      <alignment horizontal="center"/>
    </xf>
    <xf numFmtId="0" fontId="36" fillId="0" borderId="23" xfId="9" applyFont="1" applyBorder="1" applyAlignment="1">
      <alignment horizontal="center" vertical="center" wrapText="1"/>
    </xf>
    <xf numFmtId="0" fontId="36" fillId="0" borderId="24" xfId="9" applyFont="1" applyBorder="1" applyAlignment="1">
      <alignment horizontal="center" vertical="center" wrapText="1"/>
    </xf>
    <xf numFmtId="0" fontId="36" fillId="0" borderId="20" xfId="9" applyFont="1" applyBorder="1" applyAlignment="1">
      <alignment horizontal="center" vertical="center" wrapText="1"/>
    </xf>
    <xf numFmtId="0" fontId="36" fillId="0" borderId="25" xfId="9" applyFont="1" applyBorder="1" applyAlignment="1">
      <alignment horizontal="center" vertical="center" wrapText="1"/>
    </xf>
    <xf numFmtId="0" fontId="36" fillId="0" borderId="0" xfId="9" applyFont="1" applyBorder="1" applyAlignment="1">
      <alignment horizontal="center" vertical="center" wrapText="1"/>
    </xf>
    <xf numFmtId="0" fontId="36" fillId="0" borderId="16" xfId="9" applyFont="1" applyBorder="1" applyAlignment="1">
      <alignment horizontal="center" vertical="center" wrapText="1"/>
    </xf>
    <xf numFmtId="0" fontId="36" fillId="0" borderId="26" xfId="9" applyFont="1" applyBorder="1" applyAlignment="1">
      <alignment horizontal="center" vertical="center" wrapText="1"/>
    </xf>
    <xf numFmtId="0" fontId="36" fillId="0" borderId="21" xfId="9" applyFont="1" applyBorder="1" applyAlignment="1">
      <alignment horizontal="center" vertical="center" wrapText="1"/>
    </xf>
    <xf numFmtId="0" fontId="36" fillId="0" borderId="19" xfId="9" applyFont="1" applyBorder="1" applyAlignment="1">
      <alignment horizontal="center" vertical="center" wrapText="1"/>
    </xf>
    <xf numFmtId="0" fontId="36" fillId="0" borderId="7" xfId="9" applyFont="1" applyBorder="1" applyAlignment="1">
      <alignment horizontal="center"/>
    </xf>
    <xf numFmtId="0" fontId="36" fillId="0" borderId="23" xfId="9" applyFont="1" applyBorder="1" applyAlignment="1">
      <alignment horizontal="center"/>
    </xf>
    <xf numFmtId="0" fontId="36" fillId="0" borderId="24" xfId="9" applyFont="1" applyBorder="1" applyAlignment="1">
      <alignment horizontal="center"/>
    </xf>
    <xf numFmtId="0" fontId="36" fillId="0" borderId="20" xfId="9" applyFont="1" applyBorder="1" applyAlignment="1">
      <alignment horizontal="center"/>
    </xf>
    <xf numFmtId="0" fontId="37" fillId="0" borderId="0" xfId="0" applyFont="1" applyFill="1" applyBorder="1" applyAlignment="1">
      <alignment horizontal="center" vertical="center"/>
    </xf>
    <xf numFmtId="0" fontId="38" fillId="0" borderId="0" xfId="0" applyFont="1" applyFill="1" applyBorder="1" applyAlignment="1">
      <alignment horizontal="center" vertical="center"/>
    </xf>
    <xf numFmtId="0" fontId="2" fillId="0" borderId="1" xfId="0" applyNumberFormat="1" applyFont="1" applyFill="1" applyBorder="1" applyAlignment="1" applyProtection="1">
      <alignment horizontal="center" vertical="center"/>
    </xf>
    <xf numFmtId="0" fontId="2" fillId="0" borderId="39" xfId="0" applyNumberFormat="1" applyFont="1" applyFill="1" applyBorder="1" applyAlignment="1" applyProtection="1">
      <alignment horizontal="center" vertical="center"/>
    </xf>
    <xf numFmtId="0" fontId="2" fillId="0" borderId="40" xfId="0" applyNumberFormat="1" applyFont="1" applyFill="1" applyBorder="1" applyAlignment="1" applyProtection="1">
      <alignment horizontal="center" vertical="center"/>
    </xf>
    <xf numFmtId="0" fontId="2" fillId="0" borderId="41" xfId="0" applyNumberFormat="1" applyFont="1" applyFill="1" applyBorder="1" applyAlignment="1" applyProtection="1">
      <alignment horizontal="center" vertical="center"/>
    </xf>
    <xf numFmtId="0" fontId="2" fillId="0" borderId="1" xfId="0" applyNumberFormat="1" applyFont="1" applyFill="1" applyBorder="1" applyAlignment="1" applyProtection="1">
      <alignment horizontal="center"/>
    </xf>
    <xf numFmtId="0" fontId="2" fillId="0" borderId="1" xfId="0" applyNumberFormat="1" applyFont="1" applyFill="1" applyBorder="1" applyAlignment="1" applyProtection="1">
      <alignment horizontal="left" vertical="center"/>
    </xf>
    <xf numFmtId="0" fontId="40" fillId="9" borderId="39" xfId="0" applyFont="1" applyFill="1" applyBorder="1" applyAlignment="1">
      <alignment horizontal="center" vertical="center"/>
    </xf>
    <xf numFmtId="0" fontId="40" fillId="9" borderId="40" xfId="0" applyFont="1" applyFill="1" applyBorder="1" applyAlignment="1">
      <alignment horizontal="center" vertical="center"/>
    </xf>
    <xf numFmtId="0" fontId="44" fillId="9" borderId="39" xfId="0" applyFont="1" applyFill="1" applyBorder="1" applyAlignment="1">
      <alignment horizontal="center" vertical="center" wrapText="1"/>
    </xf>
    <xf numFmtId="0" fontId="44" fillId="9" borderId="40" xfId="0" applyFont="1" applyFill="1" applyBorder="1" applyAlignment="1">
      <alignment horizontal="center" vertical="center" wrapText="1"/>
    </xf>
    <xf numFmtId="0" fontId="2" fillId="9" borderId="39" xfId="0" applyFont="1" applyFill="1" applyBorder="1" applyAlignment="1">
      <alignment horizontal="center" vertical="center" wrapText="1"/>
    </xf>
    <xf numFmtId="0" fontId="2" fillId="9" borderId="40" xfId="0" applyFont="1" applyFill="1" applyBorder="1" applyAlignment="1">
      <alignment horizontal="center" vertical="center" wrapText="1"/>
    </xf>
    <xf numFmtId="0" fontId="40" fillId="10" borderId="1" xfId="0" applyFont="1" applyFill="1" applyBorder="1" applyAlignment="1">
      <alignment horizontal="center"/>
    </xf>
    <xf numFmtId="0" fontId="40" fillId="10" borderId="8" xfId="0" applyFont="1" applyFill="1" applyBorder="1" applyAlignment="1">
      <alignment horizontal="center"/>
    </xf>
    <xf numFmtId="0" fontId="40" fillId="10" borderId="9" xfId="0" applyFont="1" applyFill="1" applyBorder="1" applyAlignment="1">
      <alignment horizontal="center"/>
    </xf>
    <xf numFmtId="0" fontId="40" fillId="10" borderId="10" xfId="0" applyFont="1" applyFill="1" applyBorder="1" applyAlignment="1">
      <alignment horizontal="center"/>
    </xf>
    <xf numFmtId="0" fontId="40" fillId="9" borderId="39" xfId="0" applyFont="1" applyFill="1" applyBorder="1" applyAlignment="1">
      <alignment horizontal="center" vertical="center" wrapText="1"/>
    </xf>
    <xf numFmtId="0" fontId="40" fillId="9" borderId="40" xfId="0" applyFont="1" applyFill="1" applyBorder="1" applyAlignment="1">
      <alignment horizontal="center" vertical="center" wrapText="1"/>
    </xf>
    <xf numFmtId="0" fontId="40" fillId="9" borderId="2" xfId="0" applyFont="1" applyFill="1" applyBorder="1" applyAlignment="1">
      <alignment horizontal="center"/>
    </xf>
    <xf numFmtId="0" fontId="40" fillId="9" borderId="6" xfId="0" applyFont="1" applyFill="1" applyBorder="1" applyAlignment="1">
      <alignment horizontal="center"/>
    </xf>
    <xf numFmtId="0" fontId="40" fillId="9" borderId="11" xfId="0" applyFont="1" applyFill="1" applyBorder="1" applyAlignment="1">
      <alignment horizontal="center"/>
    </xf>
    <xf numFmtId="0" fontId="40" fillId="9" borderId="1" xfId="0" applyFont="1" applyFill="1" applyBorder="1" applyAlignment="1">
      <alignment horizontal="center"/>
    </xf>
    <xf numFmtId="0" fontId="43" fillId="0" borderId="1" xfId="0" applyFont="1" applyBorder="1" applyAlignment="1">
      <alignment horizontal="center"/>
    </xf>
    <xf numFmtId="0" fontId="37" fillId="0" borderId="46" xfId="9" applyFont="1" applyFill="1" applyBorder="1"/>
    <xf numFmtId="169" fontId="37" fillId="0" borderId="47" xfId="9" applyNumberFormat="1" applyFont="1" applyFill="1" applyBorder="1"/>
    <xf numFmtId="169" fontId="37" fillId="0" borderId="28" xfId="8" applyNumberFormat="1" applyFont="1" applyFill="1" applyBorder="1"/>
    <xf numFmtId="169" fontId="37" fillId="0" borderId="4" xfId="9" applyNumberFormat="1" applyFont="1" applyFill="1" applyBorder="1"/>
    <xf numFmtId="169" fontId="37" fillId="0" borderId="48" xfId="9" applyNumberFormat="1" applyFont="1" applyFill="1" applyBorder="1"/>
    <xf numFmtId="169" fontId="37" fillId="0" borderId="48" xfId="8" applyNumberFormat="1" applyFont="1" applyFill="1" applyBorder="1"/>
    <xf numFmtId="0" fontId="37" fillId="0" borderId="46" xfId="9" applyFont="1" applyBorder="1"/>
    <xf numFmtId="0" fontId="37" fillId="0" borderId="4" xfId="9" applyFont="1" applyBorder="1"/>
    <xf numFmtId="0" fontId="37" fillId="0" borderId="48" xfId="9" applyFont="1" applyBorder="1"/>
  </cellXfs>
  <cellStyles count="12">
    <cellStyle name="Comma" xfId="11" builtinId="3"/>
    <cellStyle name="Comma 10 2" xfId="5" xr:uid="{00000000-0005-0000-0000-000001000000}"/>
    <cellStyle name="Comma 2 3" xfId="8" xr:uid="{00000000-0005-0000-0000-000002000000}"/>
    <cellStyle name="Comma 3" xfId="10" xr:uid="{00000000-0005-0000-0000-000003000000}"/>
    <cellStyle name="Comma 6" xfId="2" xr:uid="{00000000-0005-0000-0000-000004000000}"/>
    <cellStyle name="Comma 6 2" xfId="4" xr:uid="{00000000-0005-0000-0000-000005000000}"/>
    <cellStyle name="Comma 6 3 2" xfId="3" xr:uid="{00000000-0005-0000-0000-000006000000}"/>
    <cellStyle name="Comma 7 3" xfId="7" xr:uid="{00000000-0005-0000-0000-000007000000}"/>
    <cellStyle name="Comma 7 4" xfId="6" xr:uid="{00000000-0005-0000-0000-000008000000}"/>
    <cellStyle name="Normal" xfId="0" builtinId="0"/>
    <cellStyle name="Normal 2" xfId="1" xr:uid="{00000000-0005-0000-0000-00000A000000}"/>
    <cellStyle name="Normal 3" xfId="9" xr:uid="{00000000-0005-0000-0000-00000B000000}"/>
  </cellStyles>
  <dxfs count="3">
    <dxf>
      <fill>
        <patternFill>
          <bgColor theme="4"/>
        </patternFill>
      </fill>
    </dxf>
    <dxf>
      <fill>
        <patternFill>
          <bgColor theme="4"/>
        </patternFill>
      </fill>
    </dxf>
    <dxf>
      <fill>
        <patternFill>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29</xdr:row>
      <xdr:rowOff>163543</xdr:rowOff>
    </xdr:from>
    <xdr:to>
      <xdr:col>8</xdr:col>
      <xdr:colOff>480943</xdr:colOff>
      <xdr:row>35</xdr:row>
      <xdr:rowOff>93862</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rotWithShape="1">
        <a:blip xmlns:r="http://schemas.openxmlformats.org/officeDocument/2006/relationships" r:embed="rId1"/>
        <a:srcRect l="-1" r="552"/>
        <a:stretch/>
      </xdr:blipFill>
      <xdr:spPr>
        <a:xfrm>
          <a:off x="628650" y="5497543"/>
          <a:ext cx="4138543" cy="1073319"/>
        </a:xfrm>
        <a:prstGeom prst="rect">
          <a:avLst/>
        </a:prstGeom>
      </xdr:spPr>
    </xdr:pic>
    <xdr:clientData/>
  </xdr:twoCellAnchor>
  <xdr:twoCellAnchor editAs="oneCell">
    <xdr:from>
      <xdr:col>1</xdr:col>
      <xdr:colOff>853</xdr:colOff>
      <xdr:row>4</xdr:row>
      <xdr:rowOff>16792</xdr:rowOff>
    </xdr:from>
    <xdr:to>
      <xdr:col>8</xdr:col>
      <xdr:colOff>136800</xdr:colOff>
      <xdr:row>10</xdr:row>
      <xdr:rowOff>72633</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rotWithShape="1">
        <a:blip xmlns:r="http://schemas.openxmlformats.org/officeDocument/2006/relationships" r:embed="rId2"/>
        <a:srcRect r="3607"/>
        <a:stretch/>
      </xdr:blipFill>
      <xdr:spPr>
        <a:xfrm>
          <a:off x="628650" y="778792"/>
          <a:ext cx="4403147" cy="1198841"/>
        </a:xfrm>
        <a:prstGeom prst="rect">
          <a:avLst/>
        </a:prstGeom>
      </xdr:spPr>
    </xdr:pic>
    <xdr:clientData/>
  </xdr:twoCellAnchor>
  <xdr:twoCellAnchor editAs="oneCell">
    <xdr:from>
      <xdr:col>2</xdr:col>
      <xdr:colOff>25977</xdr:colOff>
      <xdr:row>13</xdr:row>
      <xdr:rowOff>51564</xdr:rowOff>
    </xdr:from>
    <xdr:to>
      <xdr:col>9</xdr:col>
      <xdr:colOff>190800</xdr:colOff>
      <xdr:row>18</xdr:row>
      <xdr:rowOff>175289</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a:stretch>
          <a:fillRect/>
        </a:stretch>
      </xdr:blipFill>
      <xdr:spPr>
        <a:xfrm>
          <a:off x="654627" y="2337564"/>
          <a:ext cx="4432023" cy="1076225"/>
        </a:xfrm>
        <a:prstGeom prst="rect">
          <a:avLst/>
        </a:prstGeom>
      </xdr:spPr>
    </xdr:pic>
    <xdr:clientData/>
  </xdr:twoCellAnchor>
  <xdr:twoCellAnchor editAs="oneCell">
    <xdr:from>
      <xdr:col>2</xdr:col>
      <xdr:colOff>0</xdr:colOff>
      <xdr:row>21</xdr:row>
      <xdr:rowOff>720</xdr:rowOff>
    </xdr:from>
    <xdr:to>
      <xdr:col>9</xdr:col>
      <xdr:colOff>17192</xdr:colOff>
      <xdr:row>27</xdr:row>
      <xdr:rowOff>17317</xdr:rowOff>
    </xdr:to>
    <xdr:pic>
      <xdr:nvPicPr>
        <xdr:cNvPr id="5" name="Picture 4">
          <a:extLst>
            <a:ext uri="{FF2B5EF4-FFF2-40B4-BE49-F238E27FC236}">
              <a16:creationId xmlns:a16="http://schemas.microsoft.com/office/drawing/2014/main" id="{00000000-0008-0000-0C00-000005000000}"/>
            </a:ext>
          </a:extLst>
        </xdr:cNvPr>
        <xdr:cNvPicPr>
          <a:picLocks noChangeAspect="1"/>
        </xdr:cNvPicPr>
      </xdr:nvPicPr>
      <xdr:blipFill rotWithShape="1">
        <a:blip xmlns:r="http://schemas.openxmlformats.org/officeDocument/2006/relationships" r:embed="rId4"/>
        <a:srcRect b="17947"/>
        <a:stretch/>
      </xdr:blipFill>
      <xdr:spPr>
        <a:xfrm>
          <a:off x="628650" y="3810720"/>
          <a:ext cx="4284392" cy="1159597"/>
        </a:xfrm>
        <a:prstGeom prst="rect">
          <a:avLst/>
        </a:prstGeom>
      </xdr:spPr>
    </xdr:pic>
    <xdr:clientData/>
  </xdr:twoCellAnchor>
  <xdr:twoCellAnchor editAs="oneCell">
    <xdr:from>
      <xdr:col>0</xdr:col>
      <xdr:colOff>601447</xdr:colOff>
      <xdr:row>38</xdr:row>
      <xdr:rowOff>23592</xdr:rowOff>
    </xdr:from>
    <xdr:to>
      <xdr:col>7</xdr:col>
      <xdr:colOff>453852</xdr:colOff>
      <xdr:row>44</xdr:row>
      <xdr:rowOff>133531</xdr:rowOff>
    </xdr:to>
    <xdr:pic>
      <xdr:nvPicPr>
        <xdr:cNvPr id="6" name="Picture 5">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5"/>
        <a:stretch>
          <a:fillRect/>
        </a:stretch>
      </xdr:blipFill>
      <xdr:spPr>
        <a:xfrm>
          <a:off x="601447" y="7155912"/>
          <a:ext cx="3601445" cy="12072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OAXI\Desktop\COA\1.%20City\CY%202021\AAR\review\Final\rereviewedfinancialstatements1streview\Reviewed_2021%20Consolidated%20Financial%20%20Statements%20_02212022_File%20Printed_Balances%20post%20COA%20Audi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18\AAR%202017\FinalDraft_eAAR\FinalDraft_eAAR_CITYOFPANABO_2017\18-PanaboCity2017_Part4-Annexes_A-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2018\Reports\Admin%20Reports\AFR\AFR2017-Annex%20A-B_FS%20INDIVIDUAL%20LGU%202017_PanaboCity.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2020\REPORTS\FROM%20MANAGEMENT\FS%202019-Partial\2019%20Financial%20Statement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COAROXI\Downloads\FS2018-LGU-PanaboCity.reviewedv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TB"/>
      <sheetName val="POST TB"/>
      <sheetName val="Fincl Performance"/>
      <sheetName val="Fincl Performance (2)"/>
      <sheetName val="Fincl Position"/>
      <sheetName val="Fincl Position_post COA Audit"/>
      <sheetName val="GE"/>
      <sheetName val="Cash Flow"/>
      <sheetName val="TB_123119 (2)"/>
    </sheetNames>
    <sheetDataSet>
      <sheetData sheetId="0" refreshError="1"/>
      <sheetData sheetId="1" refreshError="1"/>
      <sheetData sheetId="2" refreshError="1"/>
      <sheetData sheetId="3">
        <row r="81">
          <cell r="V81">
            <v>1272726475.05</v>
          </cell>
        </row>
      </sheetData>
      <sheetData sheetId="4" refreshError="1"/>
      <sheetData sheetId="5">
        <row r="81">
          <cell r="V81">
            <v>29626667.399999999</v>
          </cell>
          <cell r="X81">
            <v>0</v>
          </cell>
        </row>
        <row r="82">
          <cell r="V82">
            <v>-7219808.1000000006</v>
          </cell>
          <cell r="X82">
            <v>0</v>
          </cell>
        </row>
      </sheetData>
      <sheetData sheetId="6"/>
      <sheetData sheetId="7"/>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nex A"/>
      <sheetName val="Annex B"/>
      <sheetName val="Annex C"/>
      <sheetName val="Annex D"/>
      <sheetName val="Annex E"/>
      <sheetName val="SCF"/>
      <sheetName val="SCBAA"/>
      <sheetName val="Recon-format"/>
    </sheetNames>
    <sheetDataSet>
      <sheetData sheetId="0"/>
      <sheetData sheetId="1"/>
      <sheetData sheetId="2">
        <row r="18">
          <cell r="F18">
            <v>343316136.61000001</v>
          </cell>
          <cell r="G18">
            <v>36715615.590000004</v>
          </cell>
          <cell r="H18">
            <v>3327953.9799999967</v>
          </cell>
        </row>
      </sheetData>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POS-"/>
      <sheetName val="FPER"/>
      <sheetName val="SCNAE"/>
      <sheetName val="SCF"/>
      <sheetName val="SCBAA"/>
      <sheetName val="Recon-format"/>
    </sheetNames>
    <sheetDataSet>
      <sheetData sheetId="0" refreshError="1">
        <row r="23">
          <cell r="G23">
            <v>489770241.50999999</v>
          </cell>
          <cell r="H23">
            <v>53854359.900000006</v>
          </cell>
          <cell r="I23">
            <v>74453897.870000005</v>
          </cell>
          <cell r="L23">
            <v>382104897.95999998</v>
          </cell>
          <cell r="M23">
            <v>59007196.870000005</v>
          </cell>
          <cell r="N23">
            <v>90065802.290000007</v>
          </cell>
        </row>
      </sheetData>
      <sheetData sheetId="1" refreshError="1"/>
      <sheetData sheetId="2" refreshError="1">
        <row r="17">
          <cell r="K17">
            <v>285299009.96999997</v>
          </cell>
          <cell r="L17">
            <v>31974286.109999999</v>
          </cell>
          <cell r="M17">
            <v>3391458.81</v>
          </cell>
        </row>
      </sheetData>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_123119"/>
      <sheetName val="SFP_All Funds_123119"/>
      <sheetName val="SFPo_All Funds_1231219"/>
      <sheetName val="SCNA_All Funds_1219"/>
    </sheetNames>
    <sheetDataSet>
      <sheetData sheetId="0"/>
      <sheetData sheetId="1">
        <row r="183">
          <cell r="O183">
            <v>389509768.04999995</v>
          </cell>
        </row>
      </sheetData>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FP_All Funds"/>
      <sheetName val="SFPo_All Funds"/>
      <sheetName val="SCNA_All Funds"/>
      <sheetName val="GF-Proper_123118"/>
      <sheetName val="GF-Proper_123118 (2)"/>
      <sheetName val="Market_123118"/>
      <sheetName val="Slaughter1218"/>
      <sheetName val="Terminal_1218"/>
      <sheetName val="Cemetery_123118"/>
      <sheetName val="20%df_123118"/>
      <sheetName val="Loans_123118"/>
      <sheetName val="SEF_123118"/>
      <sheetName val="TF-Proper_123118"/>
      <sheetName val="MRDP_123118"/>
    </sheetNames>
    <sheetDataSet>
      <sheetData sheetId="0">
        <row r="16">
          <cell r="K16">
            <v>4445084.2299999995</v>
          </cell>
        </row>
        <row r="170">
          <cell r="K170">
            <v>354175456.13</v>
          </cell>
          <cell r="L170">
            <v>35717371.350000009</v>
          </cell>
          <cell r="M170">
            <v>-508288.9299999997</v>
          </cell>
        </row>
      </sheetData>
      <sheetData sheetId="1">
        <row r="12">
          <cell r="D12" t="str">
            <v>Cash Local Treasury</v>
          </cell>
        </row>
      </sheetData>
      <sheetData sheetId="2">
        <row r="18">
          <cell r="L18">
            <v>2109949036.2900004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561"/>
  <sheetViews>
    <sheetView showGridLines="0" tabSelected="1" zoomScaleNormal="100" zoomScaleSheetLayoutView="80" workbookViewId="0">
      <selection sqref="A1:S1"/>
    </sheetView>
  </sheetViews>
  <sheetFormatPr defaultColWidth="9.140625" defaultRowHeight="15.75" x14ac:dyDescent="0.25"/>
  <cols>
    <col min="1" max="1" width="2.28515625" style="68" customWidth="1"/>
    <col min="2" max="4" width="2.28515625" style="62" customWidth="1"/>
    <col min="5" max="5" width="51.85546875" style="69" customWidth="1"/>
    <col min="6" max="6" width="18" style="69" customWidth="1"/>
    <col min="7" max="7" width="19.140625" style="69" customWidth="1"/>
    <col min="8" max="8" width="17.7109375" style="69" customWidth="1"/>
    <col min="9" max="9" width="16.42578125" style="69" customWidth="1"/>
    <col min="10" max="10" width="2.28515625" style="69" customWidth="1"/>
    <col min="11" max="12" width="20.140625" style="58" bestFit="1" customWidth="1"/>
    <col min="13" max="14" width="18.140625" style="58" bestFit="1" customWidth="1"/>
    <col min="15" max="15" width="1.85546875" style="59" customWidth="1"/>
    <col min="16" max="17" width="20.140625" style="60" hidden="1" customWidth="1"/>
    <col min="18" max="19" width="18.140625" style="60" hidden="1" customWidth="1"/>
    <col min="20" max="20" width="9.140625" style="59"/>
    <col min="21" max="21" width="16.85546875" style="59" hidden="1" customWidth="1"/>
    <col min="22" max="16236" width="9.140625" style="59"/>
    <col min="16237" max="16384" width="8.7109375" style="59" customWidth="1"/>
  </cols>
  <sheetData>
    <row r="1" spans="1:19" ht="18" customHeight="1" x14ac:dyDescent="0.3">
      <c r="A1" s="614" t="s">
        <v>891</v>
      </c>
      <c r="B1" s="614"/>
      <c r="C1" s="614"/>
      <c r="D1" s="614"/>
      <c r="E1" s="614"/>
      <c r="F1" s="614"/>
      <c r="G1" s="614"/>
      <c r="H1" s="614"/>
      <c r="I1" s="614"/>
      <c r="J1" s="614"/>
      <c r="K1" s="614"/>
      <c r="L1" s="614"/>
      <c r="M1" s="614"/>
      <c r="N1" s="614"/>
      <c r="O1" s="614"/>
      <c r="P1" s="614"/>
      <c r="Q1" s="614"/>
      <c r="R1" s="614"/>
      <c r="S1" s="614"/>
    </row>
    <row r="2" spans="1:19" ht="18" customHeight="1" x14ac:dyDescent="0.25">
      <c r="A2" s="615" t="s">
        <v>892</v>
      </c>
      <c r="B2" s="615"/>
      <c r="C2" s="615"/>
      <c r="D2" s="615"/>
      <c r="E2" s="615"/>
      <c r="F2" s="615"/>
      <c r="G2" s="615"/>
      <c r="H2" s="615"/>
      <c r="I2" s="615"/>
      <c r="J2" s="615"/>
      <c r="K2" s="615"/>
      <c r="L2" s="615"/>
      <c r="M2" s="615"/>
      <c r="N2" s="615"/>
      <c r="O2" s="615"/>
      <c r="P2" s="615"/>
      <c r="Q2" s="615"/>
      <c r="R2" s="615"/>
      <c r="S2" s="615"/>
    </row>
    <row r="3" spans="1:19" ht="18" customHeight="1" x14ac:dyDescent="0.25">
      <c r="A3" s="615" t="s">
        <v>1368</v>
      </c>
      <c r="B3" s="615"/>
      <c r="C3" s="615"/>
      <c r="D3" s="615"/>
      <c r="E3" s="615"/>
      <c r="F3" s="615"/>
      <c r="G3" s="615"/>
      <c r="H3" s="615"/>
      <c r="I3" s="615"/>
      <c r="J3" s="615"/>
      <c r="K3" s="615"/>
      <c r="L3" s="615"/>
      <c r="M3" s="615"/>
      <c r="N3" s="615"/>
      <c r="O3" s="615"/>
      <c r="P3" s="615"/>
      <c r="Q3" s="615"/>
      <c r="R3" s="615"/>
      <c r="S3" s="615"/>
    </row>
    <row r="4" spans="1:19" ht="18" customHeight="1" x14ac:dyDescent="0.25">
      <c r="A4" s="616" t="s">
        <v>1367</v>
      </c>
      <c r="B4" s="616"/>
      <c r="C4" s="616"/>
      <c r="D4" s="616"/>
      <c r="E4" s="616"/>
      <c r="F4" s="616"/>
      <c r="G4" s="616"/>
      <c r="H4" s="616"/>
      <c r="I4" s="616"/>
      <c r="J4" s="616"/>
      <c r="K4" s="616"/>
      <c r="L4" s="616"/>
      <c r="M4" s="616"/>
      <c r="N4" s="616"/>
      <c r="O4" s="616"/>
      <c r="P4" s="616"/>
      <c r="Q4" s="616"/>
      <c r="R4" s="616"/>
      <c r="S4" s="616"/>
    </row>
    <row r="5" spans="1:19" ht="18" customHeight="1" x14ac:dyDescent="0.25">
      <c r="A5" s="613" t="s">
        <v>890</v>
      </c>
      <c r="B5" s="613"/>
      <c r="C5" s="613"/>
      <c r="D5" s="613"/>
      <c r="E5" s="613"/>
      <c r="F5" s="613"/>
      <c r="G5" s="613"/>
      <c r="H5" s="613"/>
      <c r="I5" s="613"/>
      <c r="J5" s="613"/>
      <c r="K5" s="613"/>
      <c r="L5" s="613"/>
      <c r="M5" s="613"/>
      <c r="N5" s="613"/>
      <c r="O5" s="613"/>
      <c r="P5" s="613"/>
      <c r="Q5" s="613"/>
      <c r="R5" s="613"/>
      <c r="S5" s="613"/>
    </row>
    <row r="6" spans="1:19" ht="12.75" customHeight="1" x14ac:dyDescent="0.25">
      <c r="A6" s="62"/>
      <c r="E6" s="62"/>
      <c r="F6" s="62"/>
      <c r="G6" s="62"/>
      <c r="H6" s="62"/>
      <c r="I6" s="62"/>
      <c r="J6" s="62"/>
      <c r="K6" s="62"/>
      <c r="L6" s="62"/>
      <c r="M6" s="62"/>
      <c r="N6" s="62"/>
      <c r="O6" s="62"/>
      <c r="P6" s="62"/>
      <c r="Q6" s="62"/>
      <c r="R6" s="62"/>
      <c r="S6" s="62"/>
    </row>
    <row r="7" spans="1:19" ht="12.75" customHeight="1" x14ac:dyDescent="0.25">
      <c r="A7" s="608" t="s">
        <v>6</v>
      </c>
      <c r="B7" s="608"/>
      <c r="C7" s="608"/>
      <c r="D7" s="608"/>
      <c r="E7" s="608"/>
      <c r="F7" s="609">
        <v>2021</v>
      </c>
      <c r="G7" s="609"/>
      <c r="H7" s="609"/>
      <c r="I7" s="609"/>
      <c r="J7" s="362"/>
      <c r="K7" s="609">
        <v>2020</v>
      </c>
      <c r="L7" s="609"/>
      <c r="M7" s="609"/>
      <c r="N7" s="609"/>
      <c r="P7" s="610">
        <v>2019</v>
      </c>
      <c r="Q7" s="610"/>
      <c r="R7" s="610"/>
      <c r="S7" s="610"/>
    </row>
    <row r="8" spans="1:19" ht="12.75" customHeight="1" x14ac:dyDescent="0.25">
      <c r="A8" s="608"/>
      <c r="B8" s="608"/>
      <c r="C8" s="608"/>
      <c r="D8" s="608"/>
      <c r="E8" s="608"/>
      <c r="F8" s="64" t="s">
        <v>1</v>
      </c>
      <c r="G8" s="65" t="s">
        <v>7</v>
      </c>
      <c r="H8" s="66" t="s">
        <v>8</v>
      </c>
      <c r="I8" s="65" t="s">
        <v>9</v>
      </c>
      <c r="J8" s="362"/>
      <c r="K8" s="64" t="s">
        <v>1</v>
      </c>
      <c r="L8" s="65" t="s">
        <v>7</v>
      </c>
      <c r="M8" s="66" t="s">
        <v>8</v>
      </c>
      <c r="N8" s="65" t="s">
        <v>9</v>
      </c>
      <c r="P8" s="64" t="s">
        <v>1</v>
      </c>
      <c r="Q8" s="65" t="s">
        <v>7</v>
      </c>
      <c r="R8" s="66" t="s">
        <v>8</v>
      </c>
      <c r="S8" s="65" t="s">
        <v>9</v>
      </c>
    </row>
    <row r="9" spans="1:19" ht="12.75" customHeight="1" x14ac:dyDescent="0.25">
      <c r="A9" s="67" t="s">
        <v>10</v>
      </c>
      <c r="B9" s="67"/>
      <c r="C9" s="68"/>
      <c r="D9" s="68"/>
      <c r="K9" s="70"/>
      <c r="L9" s="70"/>
      <c r="M9" s="70"/>
      <c r="N9" s="70"/>
      <c r="P9" s="70"/>
      <c r="Q9" s="70"/>
      <c r="R9" s="70"/>
      <c r="S9" s="70"/>
    </row>
    <row r="10" spans="1:19" ht="12.75" customHeight="1" x14ac:dyDescent="0.25">
      <c r="A10" s="67" t="s">
        <v>11</v>
      </c>
      <c r="B10" s="67"/>
      <c r="C10" s="68"/>
      <c r="D10" s="68"/>
      <c r="K10" s="70"/>
      <c r="L10" s="70"/>
      <c r="M10" s="70"/>
      <c r="N10" s="70"/>
      <c r="P10" s="70"/>
      <c r="Q10" s="70"/>
      <c r="R10" s="70"/>
      <c r="S10" s="70"/>
    </row>
    <row r="11" spans="1:19" ht="12.75" customHeight="1" x14ac:dyDescent="0.25">
      <c r="A11" s="67"/>
      <c r="B11" s="67" t="s">
        <v>12</v>
      </c>
      <c r="C11" s="68"/>
      <c r="D11" s="68"/>
      <c r="K11" s="83"/>
      <c r="L11" s="83"/>
      <c r="M11" s="83"/>
      <c r="N11" s="83"/>
      <c r="O11" s="84"/>
      <c r="P11" s="83"/>
      <c r="Q11" s="83"/>
      <c r="R11" s="83"/>
      <c r="S11" s="83"/>
    </row>
    <row r="12" spans="1:19" ht="12.75" customHeight="1" x14ac:dyDescent="0.25">
      <c r="B12" s="68"/>
      <c r="C12" s="67" t="s">
        <v>13</v>
      </c>
      <c r="D12" s="68"/>
      <c r="K12" s="83" t="s">
        <v>4</v>
      </c>
      <c r="L12" s="83"/>
      <c r="M12" s="83"/>
      <c r="N12" s="83"/>
      <c r="O12" s="84"/>
      <c r="P12" s="83" t="s">
        <v>4</v>
      </c>
      <c r="Q12" s="83"/>
      <c r="R12" s="83"/>
      <c r="S12" s="83"/>
    </row>
    <row r="13" spans="1:19" ht="12.75" customHeight="1" x14ac:dyDescent="0.25">
      <c r="B13" s="68"/>
      <c r="C13" s="68"/>
      <c r="D13" s="68" t="s">
        <v>14</v>
      </c>
      <c r="F13" s="83">
        <f>G13+H13+I13</f>
        <v>2681394.510000003</v>
      </c>
      <c r="G13" s="223">
        <v>1489852.2799999989</v>
      </c>
      <c r="H13" s="82">
        <v>1191542.2300000042</v>
      </c>
      <c r="I13" s="82">
        <v>0</v>
      </c>
      <c r="K13" s="83">
        <f t="shared" ref="K13:K14" si="0">L13+M13+N13</f>
        <v>4330941.009999997</v>
      </c>
      <c r="L13" s="223">
        <v>2950687.129999999</v>
      </c>
      <c r="M13" s="223">
        <v>1376653.879999998</v>
      </c>
      <c r="N13" s="82">
        <v>3600</v>
      </c>
      <c r="O13" s="84"/>
      <c r="P13" s="83">
        <f>Q13+R13+S13</f>
        <v>18646662.539999999</v>
      </c>
      <c r="Q13" s="223">
        <v>11921215.08</v>
      </c>
      <c r="R13" s="223">
        <v>5695870.459999999</v>
      </c>
      <c r="S13" s="82">
        <v>1029577.0000000002</v>
      </c>
    </row>
    <row r="14" spans="1:19" hidden="1" x14ac:dyDescent="0.25">
      <c r="B14" s="68"/>
      <c r="C14" s="68"/>
      <c r="D14" s="68" t="s">
        <v>15</v>
      </c>
      <c r="F14" s="83">
        <f>G14+H14+I14</f>
        <v>0</v>
      </c>
      <c r="G14" s="85"/>
      <c r="H14" s="82"/>
      <c r="I14" s="82"/>
      <c r="K14" s="83">
        <f t="shared" si="0"/>
        <v>0</v>
      </c>
      <c r="L14" s="85"/>
      <c r="M14" s="82"/>
      <c r="N14" s="82"/>
      <c r="O14" s="84"/>
      <c r="P14" s="83">
        <f t="shared" ref="P14" si="1">Q14+R14+S14</f>
        <v>0</v>
      </c>
      <c r="Q14" s="85"/>
      <c r="R14" s="82"/>
      <c r="S14" s="82"/>
    </row>
    <row r="15" spans="1:19" ht="12.75" customHeight="1" x14ac:dyDescent="0.25">
      <c r="B15" s="68"/>
      <c r="C15" s="67" t="s">
        <v>16</v>
      </c>
      <c r="D15" s="68"/>
      <c r="F15" s="83"/>
      <c r="G15" s="83"/>
      <c r="H15" s="83"/>
      <c r="I15" s="83"/>
      <c r="K15" s="83"/>
      <c r="L15" s="83"/>
      <c r="M15" s="83"/>
      <c r="N15" s="83"/>
      <c r="O15" s="84"/>
      <c r="P15" s="83"/>
      <c r="Q15" s="83"/>
      <c r="R15" s="83"/>
      <c r="S15" s="83"/>
    </row>
    <row r="16" spans="1:19" ht="12.75" customHeight="1" x14ac:dyDescent="0.25">
      <c r="B16" s="68"/>
      <c r="C16" s="68"/>
      <c r="D16" s="68" t="s">
        <v>17</v>
      </c>
      <c r="F16" s="83">
        <f>G16+H16+I16</f>
        <v>1352399863.5799999</v>
      </c>
      <c r="G16" s="82">
        <v>776971962.03999972</v>
      </c>
      <c r="H16" s="82">
        <v>80064145.73999998</v>
      </c>
      <c r="I16" s="82">
        <v>495363755.80000013</v>
      </c>
      <c r="K16" s="83">
        <f t="shared" ref="K16:K24" si="2">L16+M16+N16</f>
        <v>1149858201.9099998</v>
      </c>
      <c r="L16" s="82">
        <v>909002266.41999972</v>
      </c>
      <c r="M16" s="82">
        <v>77943921.99000001</v>
      </c>
      <c r="N16" s="82">
        <v>162912013.5</v>
      </c>
      <c r="O16" s="84"/>
      <c r="P16" s="83">
        <f t="shared" ref="P16:P17" si="3">Q16+R16+S16</f>
        <v>843005019.42999971</v>
      </c>
      <c r="Q16" s="82">
        <v>713070689.75999975</v>
      </c>
      <c r="R16" s="82">
        <v>50529242.739999987</v>
      </c>
      <c r="S16" s="82">
        <v>79405086.929999933</v>
      </c>
    </row>
    <row r="17" spans="1:21" ht="12.75" hidden="1" customHeight="1" x14ac:dyDescent="0.25">
      <c r="B17" s="68"/>
      <c r="C17" s="68"/>
      <c r="D17" s="68" t="s">
        <v>18</v>
      </c>
      <c r="F17" s="83">
        <f>G17+H17+I17</f>
        <v>0</v>
      </c>
      <c r="G17" s="82"/>
      <c r="H17" s="82"/>
      <c r="I17" s="82"/>
      <c r="K17" s="83">
        <f t="shared" si="2"/>
        <v>0</v>
      </c>
      <c r="L17" s="82"/>
      <c r="M17" s="82"/>
      <c r="N17" s="82"/>
      <c r="O17" s="84"/>
      <c r="P17" s="83">
        <f t="shared" si="3"/>
        <v>0</v>
      </c>
      <c r="Q17" s="82"/>
      <c r="R17" s="82"/>
      <c r="S17" s="82"/>
    </row>
    <row r="18" spans="1:21" ht="12.75" hidden="1" customHeight="1" x14ac:dyDescent="0.25">
      <c r="B18" s="68"/>
      <c r="C18" s="67" t="s">
        <v>19</v>
      </c>
      <c r="D18" s="68"/>
      <c r="F18" s="83"/>
      <c r="G18" s="83"/>
      <c r="H18" s="83"/>
      <c r="I18" s="83"/>
      <c r="K18" s="83"/>
      <c r="L18" s="83"/>
      <c r="M18" s="83"/>
      <c r="N18" s="83"/>
      <c r="O18" s="84"/>
      <c r="P18" s="83"/>
      <c r="Q18" s="83"/>
      <c r="R18" s="83"/>
      <c r="S18" s="83"/>
    </row>
    <row r="19" spans="1:21" hidden="1" x14ac:dyDescent="0.25">
      <c r="B19" s="68"/>
      <c r="C19" s="68"/>
      <c r="D19" s="68" t="s">
        <v>20</v>
      </c>
      <c r="F19" s="83">
        <f>G19+H19+I19</f>
        <v>0</v>
      </c>
      <c r="G19" s="82"/>
      <c r="H19" s="82"/>
      <c r="I19" s="82"/>
      <c r="K19" s="83">
        <f t="shared" si="2"/>
        <v>0</v>
      </c>
      <c r="L19" s="82"/>
      <c r="M19" s="82"/>
      <c r="N19" s="82"/>
      <c r="O19" s="84"/>
      <c r="P19" s="83">
        <f t="shared" ref="P19:P20" si="4">Q19+R19+S19</f>
        <v>0</v>
      </c>
      <c r="Q19" s="82"/>
      <c r="R19" s="82"/>
      <c r="S19" s="82"/>
    </row>
    <row r="20" spans="1:21" hidden="1" x14ac:dyDescent="0.25">
      <c r="B20" s="68"/>
      <c r="C20" s="68"/>
      <c r="D20" s="68" t="s">
        <v>21</v>
      </c>
      <c r="F20" s="83">
        <f>G20+H20+I20</f>
        <v>0</v>
      </c>
      <c r="G20" s="82"/>
      <c r="H20" s="82"/>
      <c r="I20" s="82"/>
      <c r="K20" s="83">
        <f t="shared" si="2"/>
        <v>0</v>
      </c>
      <c r="L20" s="82"/>
      <c r="M20" s="82"/>
      <c r="N20" s="82"/>
      <c r="O20" s="84"/>
      <c r="P20" s="83">
        <f t="shared" si="4"/>
        <v>0</v>
      </c>
      <c r="Q20" s="82"/>
      <c r="R20" s="82"/>
      <c r="S20" s="82"/>
    </row>
    <row r="21" spans="1:21" ht="12.75" customHeight="1" x14ac:dyDescent="0.25">
      <c r="B21" s="67"/>
      <c r="C21" s="67" t="s">
        <v>893</v>
      </c>
      <c r="D21" s="68"/>
      <c r="F21" s="83"/>
      <c r="G21" s="83"/>
      <c r="H21" s="83"/>
      <c r="I21" s="83"/>
      <c r="K21" s="83"/>
      <c r="L21" s="83"/>
      <c r="M21" s="83"/>
      <c r="N21" s="83"/>
      <c r="O21" s="84"/>
      <c r="P21" s="83"/>
      <c r="Q21" s="83"/>
      <c r="R21" s="83"/>
      <c r="S21" s="83"/>
    </row>
    <row r="22" spans="1:21" ht="12.75" customHeight="1" x14ac:dyDescent="0.25">
      <c r="B22" s="68"/>
      <c r="C22" s="68"/>
      <c r="D22" s="68" t="s">
        <v>22</v>
      </c>
      <c r="F22" s="86">
        <f>G22+H22+I22</f>
        <v>0</v>
      </c>
      <c r="G22" s="87">
        <v>0</v>
      </c>
      <c r="H22" s="87">
        <v>0</v>
      </c>
      <c r="I22" s="87">
        <v>0</v>
      </c>
      <c r="K22" s="86">
        <f t="shared" si="2"/>
        <v>0</v>
      </c>
      <c r="L22" s="87">
        <v>0</v>
      </c>
      <c r="M22" s="87">
        <v>0</v>
      </c>
      <c r="N22" s="87">
        <v>0</v>
      </c>
      <c r="O22" s="84"/>
      <c r="P22" s="86">
        <f t="shared" ref="P22:P24" si="5">Q22+R22+S22</f>
        <v>57813240.960000001</v>
      </c>
      <c r="Q22" s="87">
        <v>57813240.960000001</v>
      </c>
      <c r="R22" s="87">
        <v>0</v>
      </c>
      <c r="S22" s="87">
        <v>0</v>
      </c>
    </row>
    <row r="23" spans="1:21" ht="12.75" hidden="1" customHeight="1" x14ac:dyDescent="0.25">
      <c r="B23" s="68"/>
      <c r="C23" s="68"/>
      <c r="D23" s="68" t="s">
        <v>23</v>
      </c>
      <c r="F23" s="83">
        <f>G23+H23+I23</f>
        <v>0</v>
      </c>
      <c r="G23" s="82"/>
      <c r="H23" s="82"/>
      <c r="I23" s="82"/>
      <c r="K23" s="83">
        <f t="shared" si="2"/>
        <v>0</v>
      </c>
      <c r="L23" s="82"/>
      <c r="M23" s="82"/>
      <c r="N23" s="82"/>
      <c r="O23" s="84"/>
      <c r="P23" s="83">
        <f t="shared" si="5"/>
        <v>0</v>
      </c>
      <c r="Q23" s="82"/>
      <c r="R23" s="82"/>
      <c r="S23" s="82"/>
    </row>
    <row r="24" spans="1:21" ht="12.75" hidden="1" customHeight="1" x14ac:dyDescent="0.25">
      <c r="B24" s="68"/>
      <c r="C24" s="68"/>
      <c r="D24" s="68" t="s">
        <v>24</v>
      </c>
      <c r="F24" s="83">
        <f>G24+H24+I24</f>
        <v>0</v>
      </c>
      <c r="G24" s="82"/>
      <c r="H24" s="82"/>
      <c r="I24" s="82"/>
      <c r="K24" s="83">
        <f t="shared" si="2"/>
        <v>0</v>
      </c>
      <c r="L24" s="82"/>
      <c r="M24" s="82"/>
      <c r="N24" s="82"/>
      <c r="O24" s="84"/>
      <c r="P24" s="83">
        <f t="shared" si="5"/>
        <v>0</v>
      </c>
      <c r="Q24" s="82"/>
      <c r="R24" s="82"/>
      <c r="S24" s="82"/>
    </row>
    <row r="25" spans="1:21" s="73" customFormat="1" ht="12.75" customHeight="1" x14ac:dyDescent="0.25">
      <c r="A25" s="68"/>
      <c r="B25" s="68"/>
      <c r="C25" s="67" t="s">
        <v>25</v>
      </c>
      <c r="D25" s="68"/>
      <c r="E25" s="69"/>
      <c r="F25" s="86">
        <f t="shared" ref="F25:G25" si="6">SUM(F13:F24)</f>
        <v>1355081258.0899999</v>
      </c>
      <c r="G25" s="86">
        <f t="shared" si="6"/>
        <v>778461814.31999969</v>
      </c>
      <c r="H25" s="86">
        <f>SUM(H13:H24)</f>
        <v>81255687.969999984</v>
      </c>
      <c r="I25" s="86">
        <f>SUM(I13:I24)</f>
        <v>495363755.80000013</v>
      </c>
      <c r="J25" s="69"/>
      <c r="K25" s="86">
        <f t="shared" ref="K25:N25" si="7">SUM(K13:K24)</f>
        <v>1154189142.9199998</v>
      </c>
      <c r="L25" s="86">
        <f t="shared" si="7"/>
        <v>911952953.54999971</v>
      </c>
      <c r="M25" s="86">
        <f t="shared" si="7"/>
        <v>79320575.870000005</v>
      </c>
      <c r="N25" s="86">
        <f t="shared" si="7"/>
        <v>162915613.5</v>
      </c>
      <c r="O25" s="88"/>
      <c r="P25" s="86">
        <f t="shared" ref="P25:S25" si="8">SUM(P13:P24)</f>
        <v>919464922.92999971</v>
      </c>
      <c r="Q25" s="86">
        <f t="shared" si="8"/>
        <v>782805145.79999983</v>
      </c>
      <c r="R25" s="86">
        <f t="shared" si="8"/>
        <v>56225113.199999988</v>
      </c>
      <c r="S25" s="86">
        <f t="shared" si="8"/>
        <v>80434663.929999933</v>
      </c>
      <c r="U25" s="73">
        <f>+K25-P25</f>
        <v>234724219.99000013</v>
      </c>
    </row>
    <row r="26" spans="1:21" ht="12.75" customHeight="1" x14ac:dyDescent="0.25">
      <c r="B26" s="67" t="s">
        <v>26</v>
      </c>
      <c r="C26" s="67"/>
      <c r="D26" s="68"/>
      <c r="F26" s="83"/>
      <c r="G26" s="83"/>
      <c r="H26" s="83"/>
      <c r="I26" s="83"/>
      <c r="K26" s="83"/>
      <c r="L26" s="83"/>
      <c r="M26" s="83"/>
      <c r="N26" s="83"/>
      <c r="O26" s="84"/>
      <c r="P26" s="83"/>
      <c r="Q26" s="83"/>
      <c r="R26" s="83"/>
      <c r="S26" s="83"/>
    </row>
    <row r="27" spans="1:21" ht="12.75" hidden="1" customHeight="1" x14ac:dyDescent="0.25">
      <c r="B27" s="67"/>
      <c r="C27" s="67" t="s">
        <v>889</v>
      </c>
      <c r="D27" s="68"/>
      <c r="F27" s="83"/>
      <c r="G27" s="83"/>
      <c r="H27" s="83"/>
      <c r="I27" s="83"/>
      <c r="K27" s="83"/>
      <c r="L27" s="83"/>
      <c r="M27" s="83"/>
      <c r="N27" s="83"/>
      <c r="O27" s="84"/>
      <c r="P27" s="83"/>
      <c r="Q27" s="83"/>
      <c r="R27" s="83"/>
      <c r="S27" s="83"/>
    </row>
    <row r="28" spans="1:21" ht="12.75" hidden="1" customHeight="1" x14ac:dyDescent="0.25">
      <c r="B28" s="68"/>
      <c r="C28" s="68"/>
      <c r="D28" s="68" t="s">
        <v>22</v>
      </c>
      <c r="F28" s="83">
        <f>G28+H28+I28</f>
        <v>0</v>
      </c>
      <c r="G28" s="89"/>
      <c r="H28" s="89"/>
      <c r="I28" s="89"/>
      <c r="K28" s="83">
        <f t="shared" ref="K28:K30" si="9">L28+M28+N28</f>
        <v>0</v>
      </c>
      <c r="L28" s="89"/>
      <c r="M28" s="89"/>
      <c r="N28" s="89"/>
      <c r="O28" s="84"/>
      <c r="P28" s="83">
        <f t="shared" ref="P28:P30" si="10">Q28+R28+S28</f>
        <v>0</v>
      </c>
      <c r="Q28" s="89"/>
      <c r="R28" s="89"/>
      <c r="S28" s="89"/>
    </row>
    <row r="29" spans="1:21" ht="12.75" hidden="1" customHeight="1" x14ac:dyDescent="0.25">
      <c r="B29" s="68"/>
      <c r="C29" s="68"/>
      <c r="D29" s="68" t="s">
        <v>23</v>
      </c>
      <c r="F29" s="83">
        <f>G29+H29+I29</f>
        <v>0</v>
      </c>
      <c r="G29" s="82"/>
      <c r="H29" s="82"/>
      <c r="I29" s="82"/>
      <c r="K29" s="83">
        <f t="shared" si="9"/>
        <v>0</v>
      </c>
      <c r="L29" s="82"/>
      <c r="M29" s="82"/>
      <c r="N29" s="82"/>
      <c r="O29" s="84"/>
      <c r="P29" s="83">
        <f t="shared" si="10"/>
        <v>0</v>
      </c>
      <c r="Q29" s="82"/>
      <c r="R29" s="82"/>
      <c r="S29" s="82"/>
    </row>
    <row r="30" spans="1:21" ht="12.75" hidden="1" customHeight="1" x14ac:dyDescent="0.25">
      <c r="B30" s="68"/>
      <c r="C30" s="68"/>
      <c r="D30" s="68" t="s">
        <v>24</v>
      </c>
      <c r="F30" s="83">
        <f>G30+H30+I30</f>
        <v>0</v>
      </c>
      <c r="G30" s="82"/>
      <c r="H30" s="82"/>
      <c r="I30" s="82"/>
      <c r="K30" s="83">
        <f t="shared" si="9"/>
        <v>0</v>
      </c>
      <c r="L30" s="82"/>
      <c r="M30" s="82"/>
      <c r="N30" s="82"/>
      <c r="O30" s="84"/>
      <c r="P30" s="83">
        <f t="shared" si="10"/>
        <v>0</v>
      </c>
      <c r="Q30" s="82"/>
      <c r="R30" s="82"/>
      <c r="S30" s="82"/>
    </row>
    <row r="31" spans="1:21" ht="12.75" hidden="1" customHeight="1" x14ac:dyDescent="0.25">
      <c r="B31" s="68"/>
      <c r="C31" s="67" t="s">
        <v>27</v>
      </c>
      <c r="D31" s="68"/>
      <c r="F31" s="83"/>
      <c r="G31" s="83"/>
      <c r="H31" s="83"/>
      <c r="I31" s="83"/>
      <c r="K31" s="83"/>
      <c r="L31" s="83"/>
      <c r="M31" s="83"/>
      <c r="N31" s="83"/>
      <c r="O31" s="84"/>
      <c r="P31" s="83"/>
      <c r="Q31" s="83"/>
      <c r="R31" s="83"/>
      <c r="S31" s="83"/>
    </row>
    <row r="32" spans="1:21" ht="12.75" hidden="1" customHeight="1" x14ac:dyDescent="0.25">
      <c r="B32" s="68"/>
      <c r="C32" s="68"/>
      <c r="D32" s="68" t="s">
        <v>28</v>
      </c>
      <c r="F32" s="83">
        <f>G32+H32+I32</f>
        <v>0</v>
      </c>
      <c r="G32" s="82"/>
      <c r="H32" s="82"/>
      <c r="I32" s="82"/>
      <c r="K32" s="83">
        <f>L32+M32+N32</f>
        <v>0</v>
      </c>
      <c r="L32" s="82"/>
      <c r="M32" s="82"/>
      <c r="N32" s="82"/>
      <c r="O32" s="84"/>
      <c r="P32" s="83">
        <f>Q32+R32+S32</f>
        <v>0</v>
      </c>
      <c r="Q32" s="82"/>
      <c r="R32" s="82"/>
      <c r="S32" s="82"/>
    </row>
    <row r="33" spans="2:19" ht="12.75" hidden="1" customHeight="1" x14ac:dyDescent="0.25">
      <c r="B33" s="68"/>
      <c r="C33" s="68"/>
      <c r="D33" s="68" t="s">
        <v>29</v>
      </c>
      <c r="F33" s="83">
        <f>G33+H33+I33</f>
        <v>0</v>
      </c>
      <c r="G33" s="82"/>
      <c r="H33" s="82"/>
      <c r="I33" s="82"/>
      <c r="K33" s="83">
        <f>L33+M33+N33</f>
        <v>0</v>
      </c>
      <c r="L33" s="82"/>
      <c r="M33" s="82"/>
      <c r="N33" s="82"/>
      <c r="O33" s="84"/>
      <c r="P33" s="83">
        <f>Q33+R33+S33</f>
        <v>0</v>
      </c>
      <c r="Q33" s="82"/>
      <c r="R33" s="82"/>
      <c r="S33" s="82"/>
    </row>
    <row r="34" spans="2:19" ht="12.75" hidden="1" customHeight="1" x14ac:dyDescent="0.25">
      <c r="B34" s="68"/>
      <c r="C34" s="67" t="s">
        <v>30</v>
      </c>
      <c r="D34" s="68"/>
      <c r="F34" s="83"/>
      <c r="G34" s="83"/>
      <c r="H34" s="83"/>
      <c r="I34" s="83"/>
      <c r="K34" s="83"/>
      <c r="L34" s="83"/>
      <c r="M34" s="83"/>
      <c r="N34" s="83"/>
      <c r="O34" s="84"/>
      <c r="P34" s="83"/>
      <c r="Q34" s="83"/>
      <c r="R34" s="83"/>
      <c r="S34" s="83"/>
    </row>
    <row r="35" spans="2:19" ht="12.75" hidden="1" customHeight="1" x14ac:dyDescent="0.25">
      <c r="B35" s="68"/>
      <c r="C35" s="68"/>
      <c r="D35" s="68" t="s">
        <v>31</v>
      </c>
      <c r="F35" s="83">
        <f>G35+H35+I35</f>
        <v>0</v>
      </c>
      <c r="G35" s="82"/>
      <c r="H35" s="82"/>
      <c r="I35" s="82"/>
      <c r="K35" s="83">
        <f t="shared" ref="K35:K38" si="11">L35+M35+N35</f>
        <v>0</v>
      </c>
      <c r="L35" s="82"/>
      <c r="M35" s="82"/>
      <c r="N35" s="82"/>
      <c r="O35" s="84"/>
      <c r="P35" s="83">
        <f t="shared" ref="P35:P38" si="12">Q35+R35+S35</f>
        <v>0</v>
      </c>
      <c r="Q35" s="82"/>
      <c r="R35" s="82"/>
      <c r="S35" s="82"/>
    </row>
    <row r="36" spans="2:19" hidden="1" x14ac:dyDescent="0.25">
      <c r="B36" s="68"/>
      <c r="C36" s="68"/>
      <c r="D36" s="72" t="s">
        <v>32</v>
      </c>
      <c r="F36" s="83">
        <f>G36+H36+I36</f>
        <v>0</v>
      </c>
      <c r="G36" s="82"/>
      <c r="H36" s="82"/>
      <c r="I36" s="82"/>
      <c r="K36" s="83">
        <f t="shared" si="11"/>
        <v>0</v>
      </c>
      <c r="L36" s="82"/>
      <c r="M36" s="82"/>
      <c r="N36" s="82"/>
      <c r="O36" s="84"/>
      <c r="P36" s="83">
        <f t="shared" si="12"/>
        <v>0</v>
      </c>
      <c r="Q36" s="82"/>
      <c r="R36" s="82"/>
      <c r="S36" s="82"/>
    </row>
    <row r="37" spans="2:19" ht="12.75" hidden="1" customHeight="1" x14ac:dyDescent="0.25">
      <c r="B37" s="68"/>
      <c r="C37" s="68"/>
      <c r="D37" s="68" t="s">
        <v>33</v>
      </c>
      <c r="F37" s="83">
        <f>G37+H37+I37</f>
        <v>0</v>
      </c>
      <c r="G37" s="82"/>
      <c r="H37" s="82"/>
      <c r="I37" s="82"/>
      <c r="K37" s="83">
        <f t="shared" si="11"/>
        <v>0</v>
      </c>
      <c r="L37" s="82"/>
      <c r="M37" s="82"/>
      <c r="N37" s="82"/>
      <c r="O37" s="84"/>
      <c r="P37" s="83">
        <f t="shared" si="12"/>
        <v>0</v>
      </c>
      <c r="Q37" s="82"/>
      <c r="R37" s="82"/>
      <c r="S37" s="82"/>
    </row>
    <row r="38" spans="2:19" ht="12.75" hidden="1" customHeight="1" x14ac:dyDescent="0.25">
      <c r="B38" s="68"/>
      <c r="C38" s="68"/>
      <c r="D38" s="72" t="s">
        <v>34</v>
      </c>
      <c r="F38" s="83">
        <f>G38+H38+I38</f>
        <v>0</v>
      </c>
      <c r="G38" s="82"/>
      <c r="H38" s="82"/>
      <c r="I38" s="82"/>
      <c r="K38" s="83">
        <f t="shared" si="11"/>
        <v>0</v>
      </c>
      <c r="L38" s="82"/>
      <c r="M38" s="82"/>
      <c r="N38" s="82"/>
      <c r="O38" s="84"/>
      <c r="P38" s="83">
        <f t="shared" si="12"/>
        <v>0</v>
      </c>
      <c r="Q38" s="82"/>
      <c r="R38" s="82"/>
      <c r="S38" s="82"/>
    </row>
    <row r="39" spans="2:19" ht="12.75" hidden="1" customHeight="1" x14ac:dyDescent="0.25">
      <c r="B39" s="68"/>
      <c r="C39" s="67" t="s">
        <v>35</v>
      </c>
      <c r="D39" s="68"/>
      <c r="F39" s="83"/>
      <c r="G39" s="83"/>
      <c r="H39" s="83"/>
      <c r="I39" s="83"/>
      <c r="K39" s="83"/>
      <c r="L39" s="83"/>
      <c r="M39" s="83"/>
      <c r="N39" s="83"/>
      <c r="O39" s="84"/>
      <c r="P39" s="83"/>
      <c r="Q39" s="83"/>
      <c r="R39" s="83"/>
      <c r="S39" s="83"/>
    </row>
    <row r="40" spans="2:19" ht="12.75" hidden="1" customHeight="1" x14ac:dyDescent="0.25">
      <c r="B40" s="68"/>
      <c r="C40" s="68"/>
      <c r="D40" s="68" t="s">
        <v>36</v>
      </c>
      <c r="F40" s="83">
        <f>G40+H40+I40</f>
        <v>0</v>
      </c>
      <c r="G40" s="82"/>
      <c r="H40" s="82"/>
      <c r="I40" s="82"/>
      <c r="K40" s="83">
        <f t="shared" ref="K40:K41" si="13">L40+M40+N40</f>
        <v>0</v>
      </c>
      <c r="L40" s="82"/>
      <c r="M40" s="82"/>
      <c r="N40" s="82"/>
      <c r="O40" s="84"/>
      <c r="P40" s="83">
        <f t="shared" ref="P40:P41" si="14">Q40+R40+S40</f>
        <v>0</v>
      </c>
      <c r="Q40" s="82"/>
      <c r="R40" s="82"/>
      <c r="S40" s="82"/>
    </row>
    <row r="41" spans="2:19" ht="12.75" hidden="1" customHeight="1" x14ac:dyDescent="0.25">
      <c r="B41" s="68"/>
      <c r="C41" s="68"/>
      <c r="D41" s="68" t="s">
        <v>37</v>
      </c>
      <c r="F41" s="83">
        <f>G41+H41+I41</f>
        <v>0</v>
      </c>
      <c r="G41" s="82"/>
      <c r="H41" s="82"/>
      <c r="I41" s="82"/>
      <c r="K41" s="83">
        <f t="shared" si="13"/>
        <v>0</v>
      </c>
      <c r="L41" s="82"/>
      <c r="M41" s="82"/>
      <c r="N41" s="82"/>
      <c r="O41" s="84"/>
      <c r="P41" s="83">
        <f t="shared" si="14"/>
        <v>0</v>
      </c>
      <c r="Q41" s="82"/>
      <c r="R41" s="82"/>
      <c r="S41" s="82"/>
    </row>
    <row r="42" spans="2:19" ht="12.75" customHeight="1" x14ac:dyDescent="0.25">
      <c r="B42" s="68"/>
      <c r="C42" s="67" t="s">
        <v>38</v>
      </c>
      <c r="D42" s="68"/>
      <c r="F42" s="83"/>
      <c r="G42" s="83"/>
      <c r="H42" s="83"/>
      <c r="I42" s="83"/>
      <c r="K42" s="83"/>
      <c r="L42" s="83"/>
      <c r="M42" s="83"/>
      <c r="N42" s="83"/>
      <c r="O42" s="84"/>
      <c r="P42" s="83"/>
      <c r="Q42" s="83"/>
      <c r="R42" s="83"/>
      <c r="S42" s="83"/>
    </row>
    <row r="43" spans="2:19" ht="12.75" customHeight="1" x14ac:dyDescent="0.25">
      <c r="B43" s="68"/>
      <c r="C43" s="68"/>
      <c r="D43" s="68" t="s">
        <v>39</v>
      </c>
      <c r="F43" s="83">
        <f t="shared" ref="F43:F48" si="15">G43+H43+I43</f>
        <v>0</v>
      </c>
      <c r="G43" s="82">
        <v>0</v>
      </c>
      <c r="H43" s="82">
        <v>0</v>
      </c>
      <c r="I43" s="82">
        <v>0</v>
      </c>
      <c r="K43" s="83">
        <f t="shared" ref="K43:K48" si="16">L43+M43+N43</f>
        <v>0</v>
      </c>
      <c r="L43" s="82">
        <v>0</v>
      </c>
      <c r="M43" s="82">
        <v>0</v>
      </c>
      <c r="N43" s="82">
        <v>0</v>
      </c>
      <c r="O43" s="84"/>
      <c r="P43" s="83">
        <f t="shared" ref="P43:P48" si="17">Q43+R43+S43</f>
        <v>63890000</v>
      </c>
      <c r="Q43" s="82">
        <v>63890000</v>
      </c>
      <c r="R43" s="82">
        <v>0</v>
      </c>
      <c r="S43" s="82">
        <v>0</v>
      </c>
    </row>
    <row r="44" spans="2:19" ht="12.75" hidden="1" customHeight="1" x14ac:dyDescent="0.25">
      <c r="B44" s="68"/>
      <c r="C44" s="68"/>
      <c r="D44" s="72" t="s">
        <v>40</v>
      </c>
      <c r="F44" s="83">
        <f t="shared" si="15"/>
        <v>0</v>
      </c>
      <c r="G44" s="82"/>
      <c r="H44" s="82"/>
      <c r="I44" s="82"/>
      <c r="K44" s="83">
        <f t="shared" si="16"/>
        <v>0</v>
      </c>
      <c r="L44" s="82"/>
      <c r="M44" s="82"/>
      <c r="N44" s="82"/>
      <c r="O44" s="84"/>
      <c r="P44" s="83">
        <f t="shared" si="17"/>
        <v>0</v>
      </c>
      <c r="Q44" s="82"/>
      <c r="R44" s="82"/>
      <c r="S44" s="82"/>
    </row>
    <row r="45" spans="2:19" ht="12.75" customHeight="1" x14ac:dyDescent="0.25">
      <c r="B45" s="68"/>
      <c r="C45" s="68"/>
      <c r="D45" s="68" t="s">
        <v>41</v>
      </c>
      <c r="F45" s="86">
        <f t="shared" si="15"/>
        <v>27751603.100000001</v>
      </c>
      <c r="G45" s="87">
        <v>27454222.23</v>
      </c>
      <c r="H45" s="87">
        <v>175954.67</v>
      </c>
      <c r="I45" s="87">
        <v>121426.2</v>
      </c>
      <c r="K45" s="86">
        <f t="shared" si="16"/>
        <v>29688483.079999998</v>
      </c>
      <c r="L45" s="87">
        <v>29391102.209999997</v>
      </c>
      <c r="M45" s="87">
        <v>175954.67</v>
      </c>
      <c r="N45" s="87">
        <v>121426.2</v>
      </c>
      <c r="O45" s="84"/>
      <c r="P45" s="83">
        <f t="shared" si="17"/>
        <v>24102691.800000001</v>
      </c>
      <c r="Q45" s="87">
        <v>23805310.93</v>
      </c>
      <c r="R45" s="87">
        <v>175954.67</v>
      </c>
      <c r="S45" s="87">
        <v>121426.2</v>
      </c>
    </row>
    <row r="46" spans="2:19" ht="12.75" hidden="1" customHeight="1" x14ac:dyDescent="0.25">
      <c r="B46" s="68"/>
      <c r="C46" s="68"/>
      <c r="D46" s="72" t="s">
        <v>42</v>
      </c>
      <c r="F46" s="83">
        <f t="shared" si="15"/>
        <v>0</v>
      </c>
      <c r="G46" s="82"/>
      <c r="H46" s="82"/>
      <c r="I46" s="82"/>
      <c r="K46" s="83">
        <f t="shared" si="16"/>
        <v>0</v>
      </c>
      <c r="L46" s="82"/>
      <c r="M46" s="82"/>
      <c r="N46" s="82"/>
      <c r="O46" s="84"/>
      <c r="P46" s="83">
        <f t="shared" si="17"/>
        <v>0</v>
      </c>
      <c r="Q46" s="82"/>
      <c r="R46" s="82"/>
      <c r="S46" s="82"/>
    </row>
    <row r="47" spans="2:19" ht="12.75" hidden="1" customHeight="1" x14ac:dyDescent="0.25">
      <c r="B47" s="68"/>
      <c r="C47" s="68"/>
      <c r="D47" s="68" t="s">
        <v>43</v>
      </c>
      <c r="F47" s="83">
        <f t="shared" si="15"/>
        <v>0</v>
      </c>
      <c r="G47" s="82"/>
      <c r="H47" s="82"/>
      <c r="I47" s="82"/>
      <c r="K47" s="83">
        <f t="shared" si="16"/>
        <v>0</v>
      </c>
      <c r="L47" s="82"/>
      <c r="M47" s="82"/>
      <c r="N47" s="82"/>
      <c r="O47" s="84"/>
      <c r="P47" s="83">
        <f t="shared" si="17"/>
        <v>0</v>
      </c>
      <c r="Q47" s="82"/>
      <c r="R47" s="82"/>
      <c r="S47" s="82"/>
    </row>
    <row r="48" spans="2:19" ht="12.75" hidden="1" customHeight="1" x14ac:dyDescent="0.25">
      <c r="B48" s="68"/>
      <c r="C48" s="68"/>
      <c r="D48" s="72" t="s">
        <v>44</v>
      </c>
      <c r="F48" s="83">
        <f t="shared" si="15"/>
        <v>0</v>
      </c>
      <c r="G48" s="82"/>
      <c r="H48" s="82"/>
      <c r="I48" s="82"/>
      <c r="K48" s="83">
        <f t="shared" si="16"/>
        <v>0</v>
      </c>
      <c r="L48" s="82"/>
      <c r="M48" s="82"/>
      <c r="N48" s="82"/>
      <c r="O48" s="84"/>
      <c r="P48" s="83">
        <f t="shared" si="17"/>
        <v>0</v>
      </c>
      <c r="Q48" s="82"/>
      <c r="R48" s="82"/>
      <c r="S48" s="82"/>
    </row>
    <row r="49" spans="1:21" ht="12.75" hidden="1" customHeight="1" x14ac:dyDescent="0.25">
      <c r="B49" s="68"/>
      <c r="C49" s="67" t="s">
        <v>45</v>
      </c>
      <c r="D49" s="68"/>
      <c r="F49" s="83"/>
      <c r="G49" s="83"/>
      <c r="H49" s="83"/>
      <c r="I49" s="83"/>
      <c r="K49" s="83"/>
      <c r="L49" s="83"/>
      <c r="M49" s="83"/>
      <c r="N49" s="83"/>
      <c r="O49" s="84"/>
      <c r="P49" s="83"/>
      <c r="Q49" s="83"/>
      <c r="R49" s="83"/>
      <c r="S49" s="83"/>
    </row>
    <row r="50" spans="1:21" ht="12.75" hidden="1" customHeight="1" x14ac:dyDescent="0.25">
      <c r="B50" s="68"/>
      <c r="C50" s="68"/>
      <c r="D50" s="68" t="s">
        <v>45</v>
      </c>
      <c r="F50" s="83">
        <f>G50+H50+I50</f>
        <v>0</v>
      </c>
      <c r="G50" s="82"/>
      <c r="H50" s="82"/>
      <c r="I50" s="82"/>
      <c r="K50" s="83">
        <f t="shared" ref="K50:K51" si="18">L50+M50+N50</f>
        <v>0</v>
      </c>
      <c r="L50" s="82"/>
      <c r="M50" s="82"/>
      <c r="N50" s="82"/>
      <c r="O50" s="84"/>
      <c r="P50" s="83">
        <f t="shared" ref="P50:P51" si="19">Q50+R50+S50</f>
        <v>0</v>
      </c>
      <c r="Q50" s="82"/>
      <c r="R50" s="82"/>
      <c r="S50" s="82"/>
    </row>
    <row r="51" spans="1:21" ht="12.75" hidden="1" customHeight="1" x14ac:dyDescent="0.25">
      <c r="B51" s="68"/>
      <c r="C51" s="68"/>
      <c r="D51" s="72" t="s">
        <v>46</v>
      </c>
      <c r="F51" s="83">
        <f>G51+H51+I51</f>
        <v>0</v>
      </c>
      <c r="G51" s="82"/>
      <c r="H51" s="82"/>
      <c r="I51" s="82"/>
      <c r="K51" s="83">
        <f t="shared" si="18"/>
        <v>0</v>
      </c>
      <c r="L51" s="82"/>
      <c r="M51" s="82"/>
      <c r="N51" s="82"/>
      <c r="O51" s="84"/>
      <c r="P51" s="83">
        <f t="shared" si="19"/>
        <v>0</v>
      </c>
      <c r="Q51" s="82"/>
      <c r="R51" s="82"/>
      <c r="S51" s="82"/>
    </row>
    <row r="52" spans="1:21" ht="12.75" hidden="1" customHeight="1" x14ac:dyDescent="0.25">
      <c r="B52" s="68"/>
      <c r="C52" s="67" t="s">
        <v>47</v>
      </c>
      <c r="D52" s="68"/>
      <c r="F52" s="83"/>
      <c r="G52" s="83"/>
      <c r="H52" s="83"/>
      <c r="I52" s="83"/>
      <c r="K52" s="83"/>
      <c r="L52" s="83"/>
      <c r="M52" s="83"/>
      <c r="N52" s="83"/>
      <c r="O52" s="84"/>
      <c r="P52" s="83"/>
      <c r="Q52" s="83"/>
      <c r="R52" s="83"/>
      <c r="S52" s="83"/>
    </row>
    <row r="53" spans="1:21" ht="12.75" hidden="1" customHeight="1" x14ac:dyDescent="0.25">
      <c r="B53" s="68"/>
      <c r="C53" s="68"/>
      <c r="D53" s="68" t="s">
        <v>47</v>
      </c>
      <c r="F53" s="83">
        <f>G53+H53+I53</f>
        <v>0</v>
      </c>
      <c r="G53" s="82"/>
      <c r="H53" s="82"/>
      <c r="I53" s="82"/>
      <c r="K53" s="83">
        <f>L53+M53+N53</f>
        <v>0</v>
      </c>
      <c r="L53" s="82"/>
      <c r="M53" s="82"/>
      <c r="N53" s="82"/>
      <c r="O53" s="84"/>
      <c r="P53" s="83">
        <f>Q53+R53+S53</f>
        <v>0</v>
      </c>
      <c r="Q53" s="82"/>
      <c r="R53" s="82"/>
      <c r="S53" s="82"/>
    </row>
    <row r="54" spans="1:21" ht="12.75" customHeight="1" x14ac:dyDescent="0.25">
      <c r="B54" s="68"/>
      <c r="C54" s="67" t="s">
        <v>48</v>
      </c>
      <c r="D54" s="68"/>
      <c r="F54" s="86">
        <f>SUM(F27:F53)</f>
        <v>27751603.100000001</v>
      </c>
      <c r="G54" s="86">
        <f t="shared" ref="G54:I54" si="20">SUM(G27:G53)</f>
        <v>27454222.23</v>
      </c>
      <c r="H54" s="86">
        <f t="shared" si="20"/>
        <v>175954.67</v>
      </c>
      <c r="I54" s="86">
        <f t="shared" si="20"/>
        <v>121426.2</v>
      </c>
      <c r="K54" s="86">
        <f>SUM(K27:K53)</f>
        <v>29688483.079999998</v>
      </c>
      <c r="L54" s="86">
        <f t="shared" ref="L54:N54" si="21">SUM(L27:L53)</f>
        <v>29391102.209999997</v>
      </c>
      <c r="M54" s="86">
        <f t="shared" si="21"/>
        <v>175954.67</v>
      </c>
      <c r="N54" s="86">
        <f t="shared" si="21"/>
        <v>121426.2</v>
      </c>
      <c r="O54" s="84"/>
      <c r="P54" s="90">
        <f>SUM(P27:P53)</f>
        <v>87992691.799999997</v>
      </c>
      <c r="Q54" s="86">
        <f t="shared" ref="Q54:S54" si="22">SUM(Q27:Q53)</f>
        <v>87695310.930000007</v>
      </c>
      <c r="R54" s="86">
        <f t="shared" si="22"/>
        <v>175954.67</v>
      </c>
      <c r="S54" s="86">
        <f t="shared" si="22"/>
        <v>121426.2</v>
      </c>
      <c r="U54" s="59">
        <f>+K54-P54</f>
        <v>-58304208.719999999</v>
      </c>
    </row>
    <row r="55" spans="1:21" ht="12.75" customHeight="1" x14ac:dyDescent="0.25">
      <c r="B55" s="67" t="s">
        <v>49</v>
      </c>
      <c r="C55" s="68"/>
      <c r="D55" s="68"/>
      <c r="F55" s="83"/>
      <c r="G55" s="83"/>
      <c r="H55" s="83"/>
      <c r="I55" s="83"/>
      <c r="K55" s="83"/>
      <c r="L55" s="83"/>
      <c r="M55" s="83"/>
      <c r="N55" s="83"/>
      <c r="O55" s="84"/>
      <c r="P55" s="83"/>
      <c r="Q55" s="83"/>
      <c r="R55" s="83"/>
      <c r="S55" s="83"/>
    </row>
    <row r="56" spans="1:21" ht="12.75" customHeight="1" x14ac:dyDescent="0.25">
      <c r="B56" s="68"/>
      <c r="C56" s="67" t="s">
        <v>50</v>
      </c>
      <c r="D56" s="68"/>
      <c r="F56" s="83"/>
      <c r="G56" s="83"/>
      <c r="H56" s="83"/>
      <c r="I56" s="83"/>
      <c r="K56" s="83"/>
      <c r="L56" s="83"/>
      <c r="M56" s="83"/>
      <c r="N56" s="83"/>
      <c r="O56" s="84"/>
      <c r="P56" s="83"/>
      <c r="Q56" s="83"/>
      <c r="R56" s="83"/>
      <c r="S56" s="83"/>
    </row>
    <row r="57" spans="1:21" ht="12.75" customHeight="1" x14ac:dyDescent="0.25">
      <c r="B57" s="68"/>
      <c r="C57" s="68"/>
      <c r="D57" s="68" t="s">
        <v>51</v>
      </c>
      <c r="F57" s="83">
        <f>G57+H57+I57</f>
        <v>2171875.0499999993</v>
      </c>
      <c r="G57" s="82">
        <v>2171875.0499999993</v>
      </c>
      <c r="H57" s="82">
        <v>0</v>
      </c>
      <c r="I57" s="82">
        <v>0</v>
      </c>
      <c r="K57" s="83">
        <f t="shared" ref="K57:K74" si="23">L57+M57+N57</f>
        <v>2624712.0499999993</v>
      </c>
      <c r="L57" s="82">
        <v>2624712.0499999993</v>
      </c>
      <c r="M57" s="82">
        <v>0</v>
      </c>
      <c r="N57" s="82">
        <v>0</v>
      </c>
      <c r="O57" s="84"/>
      <c r="P57" s="83">
        <f t="shared" ref="P57:P74" si="24">Q57+R57+S57</f>
        <v>2303831.0599999991</v>
      </c>
      <c r="Q57" s="82">
        <v>2303831.0599999991</v>
      </c>
      <c r="R57" s="82">
        <v>0</v>
      </c>
      <c r="S57" s="82">
        <v>0</v>
      </c>
    </row>
    <row r="58" spans="1:21" hidden="1" x14ac:dyDescent="0.25">
      <c r="B58" s="68"/>
      <c r="C58" s="68"/>
      <c r="D58" s="72" t="s">
        <v>52</v>
      </c>
      <c r="F58" s="83"/>
      <c r="G58" s="82"/>
      <c r="H58" s="82"/>
      <c r="I58" s="82"/>
      <c r="K58" s="83">
        <f t="shared" si="23"/>
        <v>0</v>
      </c>
      <c r="L58" s="82"/>
      <c r="M58" s="82"/>
      <c r="N58" s="82"/>
      <c r="O58" s="84"/>
      <c r="P58" s="83">
        <f t="shared" si="24"/>
        <v>0</v>
      </c>
      <c r="Q58" s="82"/>
      <c r="R58" s="82"/>
      <c r="S58" s="82"/>
    </row>
    <row r="59" spans="1:21" ht="12.75" customHeight="1" x14ac:dyDescent="0.25">
      <c r="B59" s="68"/>
      <c r="C59" s="68"/>
      <c r="D59" s="68" t="s">
        <v>53</v>
      </c>
      <c r="F59" s="83">
        <f t="shared" ref="F59:F74" si="25">G59+H59+I59</f>
        <v>1485422.7900000038</v>
      </c>
      <c r="G59" s="82">
        <v>1485422.7900000038</v>
      </c>
      <c r="H59" s="82">
        <v>0</v>
      </c>
      <c r="I59" s="82">
        <v>0</v>
      </c>
      <c r="K59" s="83">
        <f t="shared" si="23"/>
        <v>10354874.110000011</v>
      </c>
      <c r="L59" s="82">
        <v>10354874.110000011</v>
      </c>
      <c r="M59" s="82">
        <v>0</v>
      </c>
      <c r="N59" s="82">
        <v>0</v>
      </c>
      <c r="O59" s="84"/>
      <c r="P59" s="83">
        <f t="shared" si="24"/>
        <v>10383406.390000015</v>
      </c>
      <c r="Q59" s="82">
        <v>10383406.390000015</v>
      </c>
      <c r="R59" s="82"/>
      <c r="S59" s="82">
        <v>0</v>
      </c>
    </row>
    <row r="60" spans="1:21" ht="12.75" hidden="1" customHeight="1" x14ac:dyDescent="0.25">
      <c r="B60" s="68"/>
      <c r="C60" s="68"/>
      <c r="D60" s="72" t="s">
        <v>54</v>
      </c>
      <c r="F60" s="83">
        <f t="shared" si="25"/>
        <v>0</v>
      </c>
      <c r="G60" s="82"/>
      <c r="H60" s="82"/>
      <c r="I60" s="82"/>
      <c r="K60" s="83">
        <f t="shared" si="23"/>
        <v>0</v>
      </c>
      <c r="L60" s="82"/>
      <c r="M60" s="82"/>
      <c r="N60" s="82"/>
      <c r="O60" s="84"/>
      <c r="P60" s="83">
        <f t="shared" si="24"/>
        <v>0</v>
      </c>
      <c r="Q60" s="82"/>
      <c r="R60" s="82"/>
      <c r="S60" s="82"/>
    </row>
    <row r="61" spans="1:21" ht="12.75" hidden="1" customHeight="1" x14ac:dyDescent="0.25">
      <c r="A61" s="58"/>
      <c r="B61" s="68"/>
      <c r="C61" s="68"/>
      <c r="D61" s="68" t="s">
        <v>55</v>
      </c>
      <c r="F61" s="83">
        <f t="shared" si="25"/>
        <v>0</v>
      </c>
      <c r="G61" s="82"/>
      <c r="H61" s="82"/>
      <c r="I61" s="82"/>
      <c r="K61" s="83">
        <f t="shared" si="23"/>
        <v>0</v>
      </c>
      <c r="L61" s="82">
        <v>0</v>
      </c>
      <c r="M61" s="82">
        <v>0</v>
      </c>
      <c r="N61" s="82">
        <v>0</v>
      </c>
      <c r="O61" s="84"/>
      <c r="P61" s="83">
        <f t="shared" si="24"/>
        <v>0</v>
      </c>
      <c r="Q61" s="82">
        <v>0</v>
      </c>
      <c r="R61" s="82">
        <v>0</v>
      </c>
      <c r="S61" s="82">
        <v>0</v>
      </c>
    </row>
    <row r="62" spans="1:21" ht="12.75" hidden="1" customHeight="1" x14ac:dyDescent="0.25">
      <c r="B62" s="68"/>
      <c r="C62" s="68"/>
      <c r="D62" s="72" t="s">
        <v>56</v>
      </c>
      <c r="F62" s="83">
        <f t="shared" si="25"/>
        <v>0</v>
      </c>
      <c r="G62" s="82"/>
      <c r="H62" s="82"/>
      <c r="I62" s="82"/>
      <c r="K62" s="83">
        <f t="shared" si="23"/>
        <v>0</v>
      </c>
      <c r="L62" s="82"/>
      <c r="M62" s="82"/>
      <c r="N62" s="82"/>
      <c r="O62" s="84"/>
      <c r="P62" s="83">
        <f t="shared" si="24"/>
        <v>0</v>
      </c>
      <c r="Q62" s="82"/>
      <c r="R62" s="82"/>
      <c r="S62" s="82"/>
    </row>
    <row r="63" spans="1:21" ht="12.75" hidden="1" customHeight="1" x14ac:dyDescent="0.25">
      <c r="B63" s="68"/>
      <c r="C63" s="68"/>
      <c r="D63" s="68" t="s">
        <v>57</v>
      </c>
      <c r="F63" s="83">
        <f t="shared" si="25"/>
        <v>0</v>
      </c>
      <c r="G63" s="82"/>
      <c r="H63" s="82"/>
      <c r="I63" s="82"/>
      <c r="K63" s="83">
        <f t="shared" si="23"/>
        <v>0</v>
      </c>
      <c r="L63" s="82"/>
      <c r="M63" s="82"/>
      <c r="N63" s="82"/>
      <c r="O63" s="84"/>
      <c r="P63" s="83">
        <f t="shared" si="24"/>
        <v>0</v>
      </c>
      <c r="Q63" s="82"/>
      <c r="R63" s="82"/>
      <c r="S63" s="82"/>
    </row>
    <row r="64" spans="1:21" ht="12.75" hidden="1" customHeight="1" x14ac:dyDescent="0.25">
      <c r="B64" s="68"/>
      <c r="C64" s="68"/>
      <c r="D64" s="72" t="s">
        <v>58</v>
      </c>
      <c r="F64" s="83">
        <f t="shared" si="25"/>
        <v>0</v>
      </c>
      <c r="G64" s="82"/>
      <c r="H64" s="82"/>
      <c r="I64" s="82"/>
      <c r="K64" s="83">
        <f t="shared" si="23"/>
        <v>0</v>
      </c>
      <c r="L64" s="82"/>
      <c r="M64" s="82"/>
      <c r="N64" s="82"/>
      <c r="O64" s="84"/>
      <c r="P64" s="83">
        <f t="shared" si="24"/>
        <v>0</v>
      </c>
      <c r="Q64" s="82"/>
      <c r="R64" s="82"/>
      <c r="S64" s="82"/>
    </row>
    <row r="65" spans="1:19" ht="12.75" hidden="1" customHeight="1" x14ac:dyDescent="0.25">
      <c r="B65" s="68"/>
      <c r="C65" s="68"/>
      <c r="D65" s="68" t="s">
        <v>59</v>
      </c>
      <c r="F65" s="83">
        <f t="shared" si="25"/>
        <v>0</v>
      </c>
      <c r="G65" s="82"/>
      <c r="H65" s="82"/>
      <c r="I65" s="82"/>
      <c r="K65" s="83">
        <f t="shared" si="23"/>
        <v>0</v>
      </c>
      <c r="L65" s="82"/>
      <c r="M65" s="82"/>
      <c r="N65" s="82"/>
      <c r="O65" s="84"/>
      <c r="P65" s="83">
        <f t="shared" si="24"/>
        <v>0</v>
      </c>
      <c r="Q65" s="82"/>
      <c r="R65" s="82"/>
      <c r="S65" s="82"/>
    </row>
    <row r="66" spans="1:19" ht="12.75" hidden="1" customHeight="1" x14ac:dyDescent="0.25">
      <c r="B66" s="68"/>
      <c r="C66" s="68"/>
      <c r="D66" s="72" t="s">
        <v>60</v>
      </c>
      <c r="F66" s="83">
        <f t="shared" si="25"/>
        <v>0</v>
      </c>
      <c r="G66" s="82"/>
      <c r="H66" s="82"/>
      <c r="I66" s="82"/>
      <c r="K66" s="83">
        <f t="shared" si="23"/>
        <v>0</v>
      </c>
      <c r="L66" s="82"/>
      <c r="M66" s="82"/>
      <c r="N66" s="82"/>
      <c r="O66" s="84"/>
      <c r="P66" s="83">
        <f t="shared" si="24"/>
        <v>0</v>
      </c>
      <c r="Q66" s="82"/>
      <c r="R66" s="82"/>
      <c r="S66" s="82"/>
    </row>
    <row r="67" spans="1:19" ht="12.75" hidden="1" customHeight="1" x14ac:dyDescent="0.25">
      <c r="B67" s="68"/>
      <c r="C67" s="68"/>
      <c r="D67" s="68" t="s">
        <v>61</v>
      </c>
      <c r="F67" s="83">
        <f t="shared" si="25"/>
        <v>0</v>
      </c>
      <c r="G67" s="82"/>
      <c r="H67" s="82"/>
      <c r="I67" s="82"/>
      <c r="K67" s="83">
        <f t="shared" si="23"/>
        <v>0</v>
      </c>
      <c r="L67" s="82"/>
      <c r="M67" s="82"/>
      <c r="N67" s="82"/>
      <c r="O67" s="84"/>
      <c r="P67" s="83">
        <f t="shared" si="24"/>
        <v>0</v>
      </c>
      <c r="Q67" s="82"/>
      <c r="R67" s="82"/>
      <c r="S67" s="82"/>
    </row>
    <row r="68" spans="1:19" ht="12.75" hidden="1" customHeight="1" x14ac:dyDescent="0.25">
      <c r="B68" s="68"/>
      <c r="C68" s="68"/>
      <c r="D68" s="72" t="s">
        <v>62</v>
      </c>
      <c r="F68" s="83">
        <f t="shared" si="25"/>
        <v>0</v>
      </c>
      <c r="G68" s="82"/>
      <c r="H68" s="82"/>
      <c r="I68" s="82"/>
      <c r="K68" s="83">
        <f t="shared" si="23"/>
        <v>0</v>
      </c>
      <c r="L68" s="82"/>
      <c r="M68" s="82"/>
      <c r="N68" s="82"/>
      <c r="O68" s="84"/>
      <c r="P68" s="83">
        <f t="shared" si="24"/>
        <v>0</v>
      </c>
      <c r="Q68" s="82"/>
      <c r="R68" s="82"/>
      <c r="S68" s="82"/>
    </row>
    <row r="69" spans="1:19" ht="12.75" hidden="1" customHeight="1" x14ac:dyDescent="0.25">
      <c r="A69" s="58"/>
      <c r="B69" s="68"/>
      <c r="C69" s="68"/>
      <c r="D69" s="68" t="s">
        <v>63</v>
      </c>
      <c r="F69" s="83">
        <f t="shared" si="25"/>
        <v>0</v>
      </c>
      <c r="G69" s="82"/>
      <c r="H69" s="82"/>
      <c r="I69" s="82"/>
      <c r="K69" s="83">
        <f t="shared" si="23"/>
        <v>0</v>
      </c>
      <c r="L69" s="82"/>
      <c r="M69" s="82"/>
      <c r="N69" s="82"/>
      <c r="O69" s="84"/>
      <c r="P69" s="83">
        <f t="shared" si="24"/>
        <v>0</v>
      </c>
      <c r="Q69" s="82"/>
      <c r="R69" s="82"/>
      <c r="S69" s="82"/>
    </row>
    <row r="70" spans="1:19" ht="12.75" hidden="1" customHeight="1" x14ac:dyDescent="0.25">
      <c r="B70" s="68"/>
      <c r="C70" s="68"/>
      <c r="D70" s="72" t="s">
        <v>64</v>
      </c>
      <c r="F70" s="83">
        <f t="shared" si="25"/>
        <v>0</v>
      </c>
      <c r="G70" s="82"/>
      <c r="H70" s="82"/>
      <c r="I70" s="82"/>
      <c r="K70" s="83">
        <f t="shared" si="23"/>
        <v>0</v>
      </c>
      <c r="L70" s="82"/>
      <c r="M70" s="82"/>
      <c r="N70" s="82"/>
      <c r="O70" s="84"/>
      <c r="P70" s="83">
        <f t="shared" si="24"/>
        <v>0</v>
      </c>
      <c r="Q70" s="82"/>
      <c r="R70" s="82"/>
      <c r="S70" s="82"/>
    </row>
    <row r="71" spans="1:19" ht="12.75" hidden="1" customHeight="1" x14ac:dyDescent="0.25">
      <c r="B71" s="68"/>
      <c r="C71" s="68"/>
      <c r="D71" s="68" t="s">
        <v>65</v>
      </c>
      <c r="F71" s="83">
        <f t="shared" si="25"/>
        <v>0</v>
      </c>
      <c r="G71" s="82"/>
      <c r="H71" s="82"/>
      <c r="I71" s="82"/>
      <c r="K71" s="83">
        <f t="shared" si="23"/>
        <v>0</v>
      </c>
      <c r="L71" s="82"/>
      <c r="M71" s="82"/>
      <c r="N71" s="82"/>
      <c r="O71" s="84"/>
      <c r="P71" s="83">
        <f t="shared" si="24"/>
        <v>0</v>
      </c>
      <c r="Q71" s="82"/>
      <c r="R71" s="82"/>
      <c r="S71" s="82"/>
    </row>
    <row r="72" spans="1:19" ht="12.75" hidden="1" customHeight="1" x14ac:dyDescent="0.25">
      <c r="B72" s="68"/>
      <c r="C72" s="68"/>
      <c r="D72" s="72" t="s">
        <v>66</v>
      </c>
      <c r="F72" s="83">
        <f t="shared" si="25"/>
        <v>0</v>
      </c>
      <c r="G72" s="82"/>
      <c r="H72" s="82"/>
      <c r="I72" s="82"/>
      <c r="K72" s="83">
        <f t="shared" si="23"/>
        <v>0</v>
      </c>
      <c r="L72" s="82"/>
      <c r="M72" s="82"/>
      <c r="N72" s="82"/>
      <c r="O72" s="84"/>
      <c r="P72" s="83">
        <f t="shared" si="24"/>
        <v>0</v>
      </c>
      <c r="Q72" s="82"/>
      <c r="R72" s="82"/>
      <c r="S72" s="82"/>
    </row>
    <row r="73" spans="1:19" ht="12.75" customHeight="1" x14ac:dyDescent="0.25">
      <c r="B73" s="68"/>
      <c r="C73" s="68"/>
      <c r="D73" s="68" t="s">
        <v>67</v>
      </c>
      <c r="F73" s="83">
        <f t="shared" si="25"/>
        <v>18040343.68</v>
      </c>
      <c r="G73" s="82">
        <v>16623832.68</v>
      </c>
      <c r="H73" s="82">
        <v>0</v>
      </c>
      <c r="I73" s="82">
        <v>1416511</v>
      </c>
      <c r="K73" s="83">
        <f t="shared" si="23"/>
        <v>17070618.68</v>
      </c>
      <c r="L73" s="82">
        <v>15693567.68</v>
      </c>
      <c r="M73" s="82"/>
      <c r="N73" s="82">
        <v>1377051</v>
      </c>
      <c r="O73" s="84"/>
      <c r="P73" s="83">
        <f t="shared" si="24"/>
        <v>15890718.68</v>
      </c>
      <c r="Q73" s="82">
        <v>14734467.68</v>
      </c>
      <c r="R73" s="82"/>
      <c r="S73" s="82">
        <v>1156251</v>
      </c>
    </row>
    <row r="74" spans="1:19" ht="12.75" hidden="1" customHeight="1" x14ac:dyDescent="0.25">
      <c r="B74" s="68"/>
      <c r="C74" s="68"/>
      <c r="D74" s="72" t="s">
        <v>68</v>
      </c>
      <c r="F74" s="83">
        <f t="shared" si="25"/>
        <v>0</v>
      </c>
      <c r="G74" s="89"/>
      <c r="H74" s="82"/>
      <c r="I74" s="89"/>
      <c r="K74" s="83">
        <f t="shared" si="23"/>
        <v>0</v>
      </c>
      <c r="L74" s="89"/>
      <c r="M74" s="89"/>
      <c r="N74" s="89"/>
      <c r="O74" s="84"/>
      <c r="P74" s="83">
        <f t="shared" si="24"/>
        <v>0</v>
      </c>
      <c r="Q74" s="89"/>
      <c r="R74" s="89"/>
      <c r="S74" s="89"/>
    </row>
    <row r="75" spans="1:19" ht="12.75" customHeight="1" x14ac:dyDescent="0.25">
      <c r="B75" s="68"/>
      <c r="C75" s="67" t="s">
        <v>69</v>
      </c>
      <c r="D75" s="68"/>
      <c r="F75" s="83"/>
      <c r="G75" s="83"/>
      <c r="H75" s="82"/>
      <c r="I75" s="83"/>
      <c r="K75" s="83"/>
      <c r="L75" s="83"/>
      <c r="M75" s="83"/>
      <c r="N75" s="83"/>
      <c r="O75" s="84"/>
      <c r="P75" s="83"/>
      <c r="Q75" s="83"/>
      <c r="R75" s="83"/>
      <c r="S75" s="83"/>
    </row>
    <row r="76" spans="1:19" ht="12.75" customHeight="1" x14ac:dyDescent="0.25">
      <c r="B76" s="68"/>
      <c r="C76" s="68"/>
      <c r="D76" s="68" t="s">
        <v>70</v>
      </c>
      <c r="F76" s="83">
        <f>G76+H76+I76</f>
        <v>1947493.13</v>
      </c>
      <c r="G76" s="89">
        <v>1947493.13</v>
      </c>
      <c r="H76" s="82">
        <v>0</v>
      </c>
      <c r="I76" s="82">
        <v>0</v>
      </c>
      <c r="K76" s="83">
        <f t="shared" ref="K76:K88" si="26">L76+M76+N76</f>
        <v>2025653.28</v>
      </c>
      <c r="L76" s="89">
        <v>2025653.28</v>
      </c>
      <c r="M76" s="89"/>
      <c r="N76" s="89"/>
      <c r="O76" s="84"/>
      <c r="P76" s="83">
        <f t="shared" ref="P76:P79" si="27">Q76+R76+S76</f>
        <v>0</v>
      </c>
      <c r="Q76" s="89"/>
      <c r="R76" s="89"/>
      <c r="S76" s="89"/>
    </row>
    <row r="77" spans="1:19" ht="12.75" hidden="1" customHeight="1" x14ac:dyDescent="0.25">
      <c r="B77" s="68"/>
      <c r="C77" s="68"/>
      <c r="D77" s="72" t="s">
        <v>71</v>
      </c>
      <c r="F77" s="83">
        <f>G77+H77+I77</f>
        <v>0</v>
      </c>
      <c r="G77" s="89"/>
      <c r="H77" s="82"/>
      <c r="I77" s="89"/>
      <c r="K77" s="83">
        <f t="shared" si="26"/>
        <v>0</v>
      </c>
      <c r="L77" s="89"/>
      <c r="M77" s="89"/>
      <c r="N77" s="89"/>
      <c r="O77" s="84"/>
      <c r="P77" s="83">
        <f t="shared" si="27"/>
        <v>0</v>
      </c>
      <c r="Q77" s="89"/>
      <c r="R77" s="89"/>
      <c r="S77" s="89"/>
    </row>
    <row r="78" spans="1:19" ht="12.75" hidden="1" customHeight="1" x14ac:dyDescent="0.25">
      <c r="B78" s="68"/>
      <c r="C78" s="68"/>
      <c r="D78" s="68" t="s">
        <v>72</v>
      </c>
      <c r="F78" s="83">
        <f>G78+H78+I78</f>
        <v>0</v>
      </c>
      <c r="G78" s="89"/>
      <c r="H78" s="82"/>
      <c r="I78" s="89"/>
      <c r="K78" s="83">
        <f t="shared" si="26"/>
        <v>0</v>
      </c>
      <c r="L78" s="89"/>
      <c r="M78" s="89"/>
      <c r="N78" s="89"/>
      <c r="O78" s="84"/>
      <c r="P78" s="83">
        <f t="shared" si="27"/>
        <v>0</v>
      </c>
      <c r="Q78" s="89"/>
      <c r="R78" s="89"/>
      <c r="S78" s="89"/>
    </row>
    <row r="79" spans="1:19" ht="12.75" hidden="1" customHeight="1" x14ac:dyDescent="0.25">
      <c r="B79" s="68"/>
      <c r="C79" s="68"/>
      <c r="D79" s="72" t="s">
        <v>73</v>
      </c>
      <c r="F79" s="83">
        <f>G79+H79+I79</f>
        <v>0</v>
      </c>
      <c r="G79" s="89"/>
      <c r="H79" s="82"/>
      <c r="I79" s="89"/>
      <c r="K79" s="83">
        <f t="shared" si="26"/>
        <v>0</v>
      </c>
      <c r="L79" s="89"/>
      <c r="M79" s="89"/>
      <c r="N79" s="89"/>
      <c r="O79" s="84"/>
      <c r="P79" s="83">
        <f t="shared" si="27"/>
        <v>0</v>
      </c>
      <c r="Q79" s="89"/>
      <c r="R79" s="89"/>
      <c r="S79" s="89"/>
    </row>
    <row r="80" spans="1:19" ht="12.75" customHeight="1" x14ac:dyDescent="0.25">
      <c r="A80" s="58"/>
      <c r="B80" s="68"/>
      <c r="C80" s="67" t="s">
        <v>74</v>
      </c>
      <c r="D80" s="68"/>
      <c r="F80" s="83"/>
      <c r="G80" s="83"/>
      <c r="H80" s="82"/>
      <c r="I80" s="83"/>
      <c r="K80" s="83"/>
      <c r="L80" s="83"/>
      <c r="M80" s="83"/>
      <c r="N80" s="83"/>
      <c r="O80" s="84"/>
      <c r="P80" s="83"/>
      <c r="Q80" s="83"/>
      <c r="R80" s="83"/>
      <c r="S80" s="83"/>
    </row>
    <row r="81" spans="1:19" ht="12.75" customHeight="1" x14ac:dyDescent="0.25">
      <c r="A81" s="58"/>
      <c r="B81" s="68"/>
      <c r="C81" s="68"/>
      <c r="D81" s="68" t="s">
        <v>75</v>
      </c>
      <c r="F81" s="83">
        <f t="shared" ref="F81:F88" si="28">G81+H81+I81</f>
        <v>5758287.0500000007</v>
      </c>
      <c r="G81" s="89">
        <v>5230781.1900000004</v>
      </c>
      <c r="H81" s="89">
        <v>500000</v>
      </c>
      <c r="I81" s="82">
        <v>27505.86</v>
      </c>
      <c r="K81" s="83">
        <f t="shared" si="26"/>
        <v>5732932.1900000004</v>
      </c>
      <c r="L81" s="89">
        <v>5230781.1900000004</v>
      </c>
      <c r="M81" s="82">
        <v>500000</v>
      </c>
      <c r="N81" s="82">
        <v>2151</v>
      </c>
      <c r="O81" s="84"/>
      <c r="P81" s="83">
        <f t="shared" ref="P81:P88" si="29">Q81+R81+S81</f>
        <v>5930432.1900000004</v>
      </c>
      <c r="Q81" s="89">
        <v>5428281.1900000004</v>
      </c>
      <c r="R81" s="82">
        <v>500000</v>
      </c>
      <c r="S81" s="82">
        <v>2151</v>
      </c>
    </row>
    <row r="82" spans="1:19" ht="12.75" hidden="1" customHeight="1" x14ac:dyDescent="0.25">
      <c r="B82" s="68"/>
      <c r="C82" s="68"/>
      <c r="D82" s="72" t="s">
        <v>76</v>
      </c>
      <c r="F82" s="83">
        <f t="shared" si="28"/>
        <v>0</v>
      </c>
      <c r="G82" s="89"/>
      <c r="H82" s="89"/>
      <c r="I82" s="89"/>
      <c r="K82" s="83">
        <f t="shared" si="26"/>
        <v>0</v>
      </c>
      <c r="L82" s="89"/>
      <c r="M82" s="89"/>
      <c r="N82" s="89"/>
      <c r="O82" s="84"/>
      <c r="P82" s="83">
        <f t="shared" si="29"/>
        <v>0</v>
      </c>
      <c r="Q82" s="89"/>
      <c r="R82" s="89"/>
      <c r="S82" s="89"/>
    </row>
    <row r="83" spans="1:19" s="73" customFormat="1" ht="12.75" customHeight="1" x14ac:dyDescent="0.25">
      <c r="A83" s="58"/>
      <c r="B83" s="68"/>
      <c r="C83" s="68"/>
      <c r="D83" s="68" t="s">
        <v>77</v>
      </c>
      <c r="E83" s="69"/>
      <c r="F83" s="83">
        <f t="shared" si="28"/>
        <v>400</v>
      </c>
      <c r="G83" s="89">
        <v>400</v>
      </c>
      <c r="H83" s="89">
        <v>0</v>
      </c>
      <c r="I83" s="82"/>
      <c r="J83" s="69"/>
      <c r="K83" s="83">
        <f t="shared" si="26"/>
        <v>400</v>
      </c>
      <c r="L83" s="89">
        <v>400</v>
      </c>
      <c r="M83" s="82">
        <v>0</v>
      </c>
      <c r="N83" s="82">
        <v>0</v>
      </c>
      <c r="O83" s="88"/>
      <c r="P83" s="83">
        <f t="shared" si="29"/>
        <v>400</v>
      </c>
      <c r="Q83" s="89">
        <v>400</v>
      </c>
      <c r="R83" s="82">
        <v>0</v>
      </c>
      <c r="S83" s="82">
        <v>0</v>
      </c>
    </row>
    <row r="84" spans="1:19" ht="12.75" hidden="1" customHeight="1" x14ac:dyDescent="0.25">
      <c r="B84" s="68"/>
      <c r="C84" s="68"/>
      <c r="D84" s="72" t="s">
        <v>78</v>
      </c>
      <c r="F84" s="83">
        <f t="shared" si="28"/>
        <v>0</v>
      </c>
      <c r="G84" s="89"/>
      <c r="H84" s="89"/>
      <c r="I84" s="89"/>
      <c r="K84" s="83">
        <f t="shared" si="26"/>
        <v>0</v>
      </c>
      <c r="L84" s="89"/>
      <c r="M84" s="89"/>
      <c r="N84" s="89"/>
      <c r="O84" s="84"/>
      <c r="P84" s="83">
        <f t="shared" si="29"/>
        <v>0</v>
      </c>
      <c r="Q84" s="89"/>
      <c r="R84" s="89"/>
      <c r="S84" s="89"/>
    </row>
    <row r="85" spans="1:19" ht="12.75" customHeight="1" x14ac:dyDescent="0.25">
      <c r="A85" s="58"/>
      <c r="B85" s="68"/>
      <c r="C85" s="68"/>
      <c r="D85" s="68" t="s">
        <v>79</v>
      </c>
      <c r="F85" s="83">
        <f t="shared" si="28"/>
        <v>9542870.370000001</v>
      </c>
      <c r="G85" s="89">
        <v>9210005.8000000007</v>
      </c>
      <c r="H85" s="89">
        <v>0</v>
      </c>
      <c r="I85" s="82">
        <v>332864.57</v>
      </c>
      <c r="K85" s="83">
        <f t="shared" si="26"/>
        <v>9940238.0300000012</v>
      </c>
      <c r="L85" s="89">
        <v>9607373.4600000009</v>
      </c>
      <c r="M85" s="82"/>
      <c r="N85" s="82">
        <v>332864.57</v>
      </c>
      <c r="O85" s="84"/>
      <c r="P85" s="83">
        <f t="shared" si="29"/>
        <v>9560839.9699999988</v>
      </c>
      <c r="Q85" s="89">
        <v>9356038.6699999999</v>
      </c>
      <c r="R85" s="82"/>
      <c r="S85" s="82">
        <v>204801.2999999997</v>
      </c>
    </row>
    <row r="86" spans="1:19" ht="12.75" hidden="1" customHeight="1" x14ac:dyDescent="0.25">
      <c r="B86" s="68"/>
      <c r="C86" s="68"/>
      <c r="D86" s="72" t="s">
        <v>80</v>
      </c>
      <c r="F86" s="83">
        <f t="shared" si="28"/>
        <v>0</v>
      </c>
      <c r="G86" s="82"/>
      <c r="H86" s="82"/>
      <c r="I86" s="82"/>
      <c r="K86" s="83">
        <f t="shared" si="26"/>
        <v>0</v>
      </c>
      <c r="L86" s="82"/>
      <c r="M86" s="82"/>
      <c r="N86" s="82"/>
      <c r="O86" s="84"/>
      <c r="P86" s="83">
        <f t="shared" si="29"/>
        <v>0</v>
      </c>
      <c r="Q86" s="82"/>
      <c r="R86" s="82"/>
      <c r="S86" s="82"/>
    </row>
    <row r="87" spans="1:19" s="73" customFormat="1" ht="12.75" hidden="1" customHeight="1" x14ac:dyDescent="0.25">
      <c r="A87" s="58"/>
      <c r="B87" s="68"/>
      <c r="C87" s="68"/>
      <c r="D87" s="68" t="s">
        <v>81</v>
      </c>
      <c r="E87" s="69"/>
      <c r="F87" s="83">
        <f t="shared" si="28"/>
        <v>0</v>
      </c>
      <c r="G87" s="82"/>
      <c r="H87" s="82"/>
      <c r="I87" s="82"/>
      <c r="J87" s="69"/>
      <c r="K87" s="83">
        <f t="shared" si="26"/>
        <v>0</v>
      </c>
      <c r="L87" s="82"/>
      <c r="M87" s="82"/>
      <c r="N87" s="82"/>
      <c r="O87" s="88"/>
      <c r="P87" s="83">
        <f t="shared" si="29"/>
        <v>0</v>
      </c>
      <c r="Q87" s="82"/>
      <c r="R87" s="82"/>
      <c r="S87" s="82"/>
    </row>
    <row r="88" spans="1:19" ht="12.75" hidden="1" customHeight="1" x14ac:dyDescent="0.25">
      <c r="B88" s="68"/>
      <c r="C88" s="68"/>
      <c r="D88" s="72" t="s">
        <v>82</v>
      </c>
      <c r="F88" s="83">
        <f t="shared" si="28"/>
        <v>0</v>
      </c>
      <c r="G88" s="82"/>
      <c r="H88" s="82"/>
      <c r="I88" s="82"/>
      <c r="K88" s="83">
        <f t="shared" si="26"/>
        <v>0</v>
      </c>
      <c r="L88" s="82"/>
      <c r="M88" s="82"/>
      <c r="N88" s="82"/>
      <c r="O88" s="84"/>
      <c r="P88" s="83">
        <f t="shared" si="29"/>
        <v>0</v>
      </c>
      <c r="Q88" s="82"/>
      <c r="R88" s="82"/>
      <c r="S88" s="82"/>
    </row>
    <row r="89" spans="1:19" ht="12.75" customHeight="1" x14ac:dyDescent="0.25">
      <c r="A89" s="58"/>
      <c r="B89" s="68"/>
      <c r="C89" s="67" t="s">
        <v>83</v>
      </c>
      <c r="D89" s="68"/>
      <c r="F89" s="83"/>
      <c r="G89" s="83"/>
      <c r="H89" s="82"/>
      <c r="I89" s="83"/>
      <c r="K89" s="83"/>
      <c r="L89" s="83"/>
      <c r="M89" s="83"/>
      <c r="N89" s="83"/>
      <c r="O89" s="84"/>
      <c r="P89" s="83"/>
      <c r="Q89" s="83"/>
      <c r="R89" s="83"/>
      <c r="S89" s="83"/>
    </row>
    <row r="90" spans="1:19" ht="12.75" customHeight="1" x14ac:dyDescent="0.25">
      <c r="A90" s="58"/>
      <c r="B90" s="68"/>
      <c r="C90" s="68"/>
      <c r="D90" s="68" t="s">
        <v>84</v>
      </c>
      <c r="F90" s="83">
        <f>G90+H90+I90</f>
        <v>67477852.269999996</v>
      </c>
      <c r="G90" s="82">
        <v>29602513.550000004</v>
      </c>
      <c r="H90" s="82">
        <v>194476.61000000744</v>
      </c>
      <c r="I90" s="82">
        <v>37680862.109999985</v>
      </c>
      <c r="K90" s="83">
        <f t="shared" ref="K90:K92" si="30">L90+M90+N90</f>
        <v>61746587.400000021</v>
      </c>
      <c r="L90" s="82">
        <v>33160886.44000002</v>
      </c>
      <c r="M90" s="82">
        <v>319938.20000000036</v>
      </c>
      <c r="N90" s="82">
        <v>28265762.759999998</v>
      </c>
      <c r="O90" s="84"/>
      <c r="P90" s="83">
        <f t="shared" ref="P90:P92" si="31">Q90+R90+S90</f>
        <v>42922987.110000007</v>
      </c>
      <c r="Q90" s="82">
        <v>35191492.850000009</v>
      </c>
      <c r="R90" s="82">
        <v>503194.86000000034</v>
      </c>
      <c r="S90" s="82">
        <v>7228299.3999999985</v>
      </c>
    </row>
    <row r="91" spans="1:19" ht="12.75" customHeight="1" x14ac:dyDescent="0.25">
      <c r="A91" s="58"/>
      <c r="B91" s="68"/>
      <c r="C91" s="68"/>
      <c r="D91" s="68" t="s">
        <v>85</v>
      </c>
      <c r="F91" s="83">
        <f>G91+H91+I91</f>
        <v>17751950.890000001</v>
      </c>
      <c r="G91" s="82">
        <v>17751950.890000001</v>
      </c>
      <c r="H91" s="82">
        <v>0</v>
      </c>
      <c r="I91" s="82">
        <v>0</v>
      </c>
      <c r="K91" s="83">
        <f t="shared" si="30"/>
        <v>27246467.189999998</v>
      </c>
      <c r="L91" s="82">
        <v>27246467.189999998</v>
      </c>
      <c r="M91" s="82">
        <v>0</v>
      </c>
      <c r="N91" s="82">
        <v>0</v>
      </c>
      <c r="O91" s="84"/>
      <c r="P91" s="83">
        <f t="shared" si="31"/>
        <v>26031223.660000004</v>
      </c>
      <c r="Q91" s="82">
        <v>26031223.660000004</v>
      </c>
      <c r="R91" s="82">
        <v>0</v>
      </c>
      <c r="S91" s="82">
        <v>0</v>
      </c>
    </row>
    <row r="92" spans="1:19" ht="12.75" customHeight="1" x14ac:dyDescent="0.25">
      <c r="A92" s="58"/>
      <c r="B92" s="68"/>
      <c r="C92" s="68"/>
      <c r="D92" s="68" t="s">
        <v>86</v>
      </c>
      <c r="F92" s="83">
        <f>G92+H92+I92</f>
        <v>3431982.9099999974</v>
      </c>
      <c r="G92" s="82">
        <v>3431982.9099999974</v>
      </c>
      <c r="H92" s="82">
        <v>0</v>
      </c>
      <c r="I92" s="82">
        <v>0</v>
      </c>
      <c r="K92" s="83">
        <f t="shared" si="30"/>
        <v>9494315.1899999976</v>
      </c>
      <c r="L92" s="82">
        <v>9494315.1899999976</v>
      </c>
      <c r="M92" s="82">
        <v>0</v>
      </c>
      <c r="N92" s="82">
        <v>0</v>
      </c>
      <c r="O92" s="84"/>
      <c r="P92" s="83">
        <f t="shared" si="31"/>
        <v>21042801.789999999</v>
      </c>
      <c r="Q92" s="82">
        <v>21042801.789999999</v>
      </c>
      <c r="R92" s="82">
        <v>0</v>
      </c>
      <c r="S92" s="82">
        <v>0</v>
      </c>
    </row>
    <row r="93" spans="1:19" ht="12.75" customHeight="1" x14ac:dyDescent="0.25">
      <c r="A93" s="58"/>
      <c r="B93" s="68"/>
      <c r="C93" s="67" t="s">
        <v>87</v>
      </c>
      <c r="D93" s="68"/>
      <c r="F93" s="83"/>
      <c r="G93" s="83"/>
      <c r="H93" s="82"/>
      <c r="I93" s="83"/>
      <c r="K93" s="83"/>
      <c r="L93" s="83"/>
      <c r="M93" s="83"/>
      <c r="N93" s="83"/>
      <c r="O93" s="84"/>
      <c r="P93" s="83"/>
      <c r="Q93" s="83"/>
      <c r="R93" s="83"/>
      <c r="S93" s="83"/>
    </row>
    <row r="94" spans="1:19" ht="12.75" customHeight="1" x14ac:dyDescent="0.25">
      <c r="A94" s="58"/>
      <c r="B94" s="68"/>
      <c r="C94" s="68"/>
      <c r="D94" s="68" t="s">
        <v>88</v>
      </c>
      <c r="F94" s="83">
        <f>G94+H94+I94</f>
        <v>7113194.7000000002</v>
      </c>
      <c r="G94" s="82">
        <v>7113194.7000000002</v>
      </c>
      <c r="H94" s="82">
        <v>0</v>
      </c>
      <c r="I94" s="82">
        <v>0</v>
      </c>
      <c r="K94" s="83">
        <f t="shared" ref="K94:K106" si="32">L94+M94+N94</f>
        <v>8270000</v>
      </c>
      <c r="L94" s="82">
        <v>8270000</v>
      </c>
      <c r="M94" s="82">
        <v>0</v>
      </c>
      <c r="N94" s="82">
        <v>0</v>
      </c>
      <c r="O94" s="84"/>
      <c r="P94" s="83">
        <f t="shared" ref="P94:P97" si="33">Q94+R94+S94</f>
        <v>6075000</v>
      </c>
      <c r="Q94" s="82">
        <v>6075000</v>
      </c>
      <c r="R94" s="82">
        <v>0</v>
      </c>
      <c r="S94" s="82">
        <v>0</v>
      </c>
    </row>
    <row r="95" spans="1:19" ht="12.75" customHeight="1" x14ac:dyDescent="0.25">
      <c r="A95" s="58"/>
      <c r="B95" s="68"/>
      <c r="C95" s="68"/>
      <c r="D95" s="68" t="s">
        <v>89</v>
      </c>
      <c r="F95" s="83">
        <f>G95+H95+I95</f>
        <v>3900425.9500000044</v>
      </c>
      <c r="G95" s="82">
        <v>3900605.9500000044</v>
      </c>
      <c r="H95" s="82">
        <v>-180</v>
      </c>
      <c r="I95" s="82">
        <v>0</v>
      </c>
      <c r="K95" s="83">
        <f t="shared" si="32"/>
        <v>660644.88999999233</v>
      </c>
      <c r="L95" s="82">
        <v>620045.14999999234</v>
      </c>
      <c r="M95" s="82">
        <v>37899.74</v>
      </c>
      <c r="N95" s="82">
        <v>2700</v>
      </c>
      <c r="O95" s="84"/>
      <c r="P95" s="83">
        <f t="shared" si="33"/>
        <v>658366.46000000951</v>
      </c>
      <c r="Q95" s="82">
        <v>539974.67000001029</v>
      </c>
      <c r="R95" s="82">
        <v>118391.78999999919</v>
      </c>
      <c r="S95" s="82">
        <v>0</v>
      </c>
    </row>
    <row r="96" spans="1:19" ht="12.75" hidden="1" customHeight="1" x14ac:dyDescent="0.25">
      <c r="A96" s="58"/>
      <c r="B96" s="68"/>
      <c r="C96" s="68"/>
      <c r="D96" s="68" t="s">
        <v>90</v>
      </c>
      <c r="F96" s="83">
        <f>G96+H96+I96</f>
        <v>0</v>
      </c>
      <c r="G96" s="82"/>
      <c r="H96" s="82"/>
      <c r="I96" s="89"/>
      <c r="K96" s="83">
        <f t="shared" si="32"/>
        <v>0</v>
      </c>
      <c r="L96" s="82"/>
      <c r="M96" s="89"/>
      <c r="N96" s="89"/>
      <c r="O96" s="84"/>
      <c r="P96" s="83">
        <f t="shared" si="33"/>
        <v>0</v>
      </c>
      <c r="Q96" s="82"/>
      <c r="R96" s="89"/>
      <c r="S96" s="89"/>
    </row>
    <row r="97" spans="1:21" ht="12.75" customHeight="1" x14ac:dyDescent="0.25">
      <c r="A97" s="58"/>
      <c r="B97" s="68"/>
      <c r="C97" s="68"/>
      <c r="D97" s="68" t="s">
        <v>91</v>
      </c>
      <c r="F97" s="83">
        <f>G97+H97+I97</f>
        <v>24484.039999999979</v>
      </c>
      <c r="G97" s="82">
        <v>24484.039999999979</v>
      </c>
      <c r="H97" s="82">
        <v>0</v>
      </c>
      <c r="I97" s="82">
        <v>0</v>
      </c>
      <c r="K97" s="83">
        <f t="shared" si="32"/>
        <v>62515.320000000007</v>
      </c>
      <c r="L97" s="82">
        <v>62515.320000000007</v>
      </c>
      <c r="M97" s="82">
        <v>0</v>
      </c>
      <c r="N97" s="82">
        <v>0</v>
      </c>
      <c r="O97" s="84"/>
      <c r="P97" s="83">
        <f t="shared" si="33"/>
        <v>32096.919999999925</v>
      </c>
      <c r="Q97" s="82">
        <v>32096.919999999925</v>
      </c>
      <c r="R97" s="82">
        <v>0</v>
      </c>
      <c r="S97" s="82">
        <v>0</v>
      </c>
    </row>
    <row r="98" spans="1:21" ht="12.75" customHeight="1" x14ac:dyDescent="0.25">
      <c r="A98" s="58"/>
      <c r="B98" s="68"/>
      <c r="C98" s="67" t="s">
        <v>92</v>
      </c>
      <c r="D98" s="68"/>
      <c r="F98" s="83"/>
      <c r="G98" s="82"/>
      <c r="H98" s="82"/>
      <c r="I98" s="83"/>
      <c r="K98" s="83"/>
      <c r="L98" s="82"/>
      <c r="M98" s="83"/>
      <c r="N98" s="83"/>
      <c r="O98" s="84"/>
      <c r="P98" s="83"/>
      <c r="Q98" s="82"/>
      <c r="R98" s="83"/>
      <c r="S98" s="83"/>
    </row>
    <row r="99" spans="1:21" ht="12.75" customHeight="1" x14ac:dyDescent="0.25">
      <c r="A99" s="58"/>
      <c r="B99" s="68"/>
      <c r="C99" s="68"/>
      <c r="D99" s="68" t="s">
        <v>93</v>
      </c>
      <c r="F99" s="83">
        <f t="shared" ref="F99:F106" si="34">G99+H99+I99</f>
        <v>862806.31</v>
      </c>
      <c r="G99" s="82">
        <v>857166.31</v>
      </c>
      <c r="H99" s="82">
        <v>5640</v>
      </c>
      <c r="I99" s="82"/>
      <c r="K99" s="83">
        <f t="shared" si="32"/>
        <v>242633.42000000004</v>
      </c>
      <c r="L99" s="82">
        <v>236993.42000000004</v>
      </c>
      <c r="M99" s="82">
        <v>5640</v>
      </c>
      <c r="N99" s="82"/>
      <c r="O99" s="84"/>
      <c r="P99" s="83">
        <f t="shared" ref="P99:P106" si="35">Q99+R99+S99</f>
        <v>290323.42000000004</v>
      </c>
      <c r="Q99" s="82">
        <v>283993.42000000004</v>
      </c>
      <c r="R99" s="82">
        <v>6330</v>
      </c>
      <c r="S99" s="82"/>
    </row>
    <row r="100" spans="1:21" ht="12.75" hidden="1" customHeight="1" x14ac:dyDescent="0.25">
      <c r="B100" s="68"/>
      <c r="C100" s="68"/>
      <c r="D100" s="72" t="s">
        <v>94</v>
      </c>
      <c r="F100" s="83">
        <f t="shared" si="34"/>
        <v>0</v>
      </c>
      <c r="G100" s="89"/>
      <c r="H100" s="82"/>
      <c r="I100" s="89"/>
      <c r="K100" s="83">
        <f t="shared" si="32"/>
        <v>0</v>
      </c>
      <c r="L100" s="89"/>
      <c r="M100" s="89"/>
      <c r="N100" s="89"/>
      <c r="O100" s="84"/>
      <c r="P100" s="83">
        <f t="shared" si="35"/>
        <v>0</v>
      </c>
      <c r="Q100" s="89"/>
      <c r="R100" s="89"/>
      <c r="S100" s="89"/>
    </row>
    <row r="101" spans="1:21" ht="12.75" customHeight="1" x14ac:dyDescent="0.25">
      <c r="A101" s="58"/>
      <c r="B101" s="68"/>
      <c r="C101" s="68"/>
      <c r="D101" s="68" t="s">
        <v>95</v>
      </c>
      <c r="F101" s="83">
        <f t="shared" si="34"/>
        <v>482358.80000000016</v>
      </c>
      <c r="G101" s="82">
        <v>437295.34000000014</v>
      </c>
      <c r="H101" s="82">
        <v>45052.009999999995</v>
      </c>
      <c r="I101" s="82">
        <v>11.449999999999989</v>
      </c>
      <c r="K101" s="83">
        <f t="shared" si="32"/>
        <v>487222.89000000013</v>
      </c>
      <c r="L101" s="82">
        <v>442199.33000000013</v>
      </c>
      <c r="M101" s="82">
        <v>45012.109999999993</v>
      </c>
      <c r="N101" s="82">
        <v>11.449999999999989</v>
      </c>
      <c r="O101" s="84"/>
      <c r="P101" s="83">
        <f t="shared" si="35"/>
        <v>535071.27000000014</v>
      </c>
      <c r="Q101" s="82">
        <v>489802.72000000015</v>
      </c>
      <c r="R101" s="82">
        <v>44998.099999999991</v>
      </c>
      <c r="S101" s="82">
        <v>270.44999999999982</v>
      </c>
    </row>
    <row r="102" spans="1:21" ht="12.75" hidden="1" customHeight="1" x14ac:dyDescent="0.25">
      <c r="B102" s="68"/>
      <c r="C102" s="68"/>
      <c r="D102" s="72" t="s">
        <v>96</v>
      </c>
      <c r="F102" s="83">
        <f t="shared" si="34"/>
        <v>0</v>
      </c>
      <c r="G102" s="82"/>
      <c r="H102" s="82"/>
      <c r="I102" s="89"/>
      <c r="K102" s="83">
        <f t="shared" si="32"/>
        <v>0</v>
      </c>
      <c r="L102" s="82"/>
      <c r="M102" s="82"/>
      <c r="N102" s="89"/>
      <c r="O102" s="84"/>
      <c r="P102" s="83">
        <f t="shared" si="35"/>
        <v>0</v>
      </c>
      <c r="Q102" s="82"/>
      <c r="R102" s="82"/>
      <c r="S102" s="89"/>
    </row>
    <row r="103" spans="1:21" ht="12.75" customHeight="1" x14ac:dyDescent="0.25">
      <c r="A103" s="58"/>
      <c r="B103" s="68"/>
      <c r="C103" s="68"/>
      <c r="D103" s="68" t="s">
        <v>97</v>
      </c>
      <c r="F103" s="83">
        <f t="shared" si="34"/>
        <v>1728023.75</v>
      </c>
      <c r="G103" s="82">
        <v>1728023.75</v>
      </c>
      <c r="H103" s="82">
        <v>0</v>
      </c>
      <c r="I103" s="82"/>
      <c r="K103" s="83">
        <f t="shared" si="32"/>
        <v>1728023.75</v>
      </c>
      <c r="L103" s="82">
        <v>1728023.75</v>
      </c>
      <c r="M103" s="82"/>
      <c r="N103" s="82"/>
      <c r="O103" s="84"/>
      <c r="P103" s="83">
        <f t="shared" si="35"/>
        <v>1528023.75</v>
      </c>
      <c r="Q103" s="82">
        <v>1528023.75</v>
      </c>
      <c r="R103" s="82"/>
      <c r="S103" s="82"/>
    </row>
    <row r="104" spans="1:21" ht="12.75" customHeight="1" x14ac:dyDescent="0.25">
      <c r="B104" s="68"/>
      <c r="C104" s="68"/>
      <c r="D104" s="72" t="s">
        <v>98</v>
      </c>
      <c r="F104" s="83">
        <f t="shared" si="34"/>
        <v>0</v>
      </c>
      <c r="G104" s="82"/>
      <c r="H104" s="82"/>
      <c r="I104" s="82"/>
      <c r="K104" s="83">
        <f t="shared" si="32"/>
        <v>0</v>
      </c>
      <c r="L104" s="82"/>
      <c r="M104" s="82"/>
      <c r="N104" s="82"/>
      <c r="O104" s="84"/>
      <c r="P104" s="83">
        <f t="shared" si="35"/>
        <v>0</v>
      </c>
      <c r="Q104" s="82"/>
      <c r="R104" s="82"/>
      <c r="S104" s="82"/>
    </row>
    <row r="105" spans="1:21" ht="12.75" customHeight="1" x14ac:dyDescent="0.25">
      <c r="A105" s="58"/>
      <c r="B105" s="68"/>
      <c r="C105" s="68"/>
      <c r="D105" s="68" t="s">
        <v>92</v>
      </c>
      <c r="F105" s="83">
        <f t="shared" si="34"/>
        <v>41217891.640000023</v>
      </c>
      <c r="G105" s="82">
        <v>40810751.180000022</v>
      </c>
      <c r="H105" s="82">
        <v>389618.95000000007</v>
      </c>
      <c r="I105" s="82">
        <v>17521.509999999998</v>
      </c>
      <c r="K105" s="83">
        <f t="shared" si="32"/>
        <v>41266892.660000026</v>
      </c>
      <c r="L105" s="82">
        <v>40859720.810000025</v>
      </c>
      <c r="M105" s="82">
        <v>389650.34000000008</v>
      </c>
      <c r="N105" s="82">
        <v>17521.509999999998</v>
      </c>
      <c r="O105" s="84"/>
      <c r="P105" s="83">
        <f t="shared" si="35"/>
        <v>41253707.930000015</v>
      </c>
      <c r="Q105" s="82">
        <v>40834186.12000002</v>
      </c>
      <c r="R105" s="82">
        <v>402000.3000000001</v>
      </c>
      <c r="S105" s="82">
        <v>17521.509999999998</v>
      </c>
    </row>
    <row r="106" spans="1:21" hidden="1" x14ac:dyDescent="0.25">
      <c r="B106" s="68"/>
      <c r="C106" s="68"/>
      <c r="D106" s="72" t="s">
        <v>99</v>
      </c>
      <c r="F106" s="83">
        <f t="shared" si="34"/>
        <v>0</v>
      </c>
      <c r="G106" s="82"/>
      <c r="H106" s="82"/>
      <c r="I106" s="82"/>
      <c r="K106" s="83">
        <f t="shared" si="32"/>
        <v>0</v>
      </c>
      <c r="L106" s="82"/>
      <c r="M106" s="82"/>
      <c r="N106" s="82"/>
      <c r="O106" s="84"/>
      <c r="P106" s="83">
        <f t="shared" si="35"/>
        <v>0</v>
      </c>
      <c r="Q106" s="82"/>
      <c r="R106" s="82"/>
      <c r="S106" s="82"/>
    </row>
    <row r="107" spans="1:21" ht="12.75" customHeight="1" x14ac:dyDescent="0.25">
      <c r="A107" s="58"/>
      <c r="B107" s="68"/>
      <c r="C107" s="67" t="s">
        <v>100</v>
      </c>
      <c r="D107" s="68"/>
      <c r="F107" s="90">
        <f t="shared" ref="F107:I107" si="36">SUM(F57:F106)</f>
        <v>182937663.33000004</v>
      </c>
      <c r="G107" s="90">
        <f t="shared" si="36"/>
        <v>142327779.26000005</v>
      </c>
      <c r="H107" s="90">
        <f>SUM(H57:H106)</f>
        <v>1134607.5700000075</v>
      </c>
      <c r="I107" s="90">
        <f t="shared" si="36"/>
        <v>39475276.499999985</v>
      </c>
      <c r="K107" s="90">
        <f t="shared" ref="K107:N107" si="37">SUM(K57:K106)</f>
        <v>198954731.05000001</v>
      </c>
      <c r="L107" s="90">
        <f t="shared" si="37"/>
        <v>167658528.37000003</v>
      </c>
      <c r="M107" s="90">
        <f t="shared" si="37"/>
        <v>1298140.3900000006</v>
      </c>
      <c r="N107" s="90">
        <f t="shared" si="37"/>
        <v>29998062.289999999</v>
      </c>
      <c r="O107" s="84"/>
      <c r="P107" s="90">
        <f t="shared" ref="P107:S107" si="38">SUM(P57:P106)</f>
        <v>184439230.60000002</v>
      </c>
      <c r="Q107" s="90">
        <f t="shared" si="38"/>
        <v>174255020.89000005</v>
      </c>
      <c r="R107" s="90">
        <f t="shared" si="38"/>
        <v>1574915.0499999996</v>
      </c>
      <c r="S107" s="90">
        <f t="shared" si="38"/>
        <v>8609294.6599999983</v>
      </c>
      <c r="U107" s="59">
        <f>+K107-P107</f>
        <v>14515500.449999988</v>
      </c>
    </row>
    <row r="108" spans="1:21" ht="12.75" customHeight="1" x14ac:dyDescent="0.25">
      <c r="A108" s="58"/>
      <c r="B108" s="67" t="s">
        <v>101</v>
      </c>
      <c r="C108" s="68"/>
      <c r="D108" s="68"/>
      <c r="F108" s="83"/>
      <c r="G108" s="83"/>
      <c r="H108" s="83"/>
      <c r="I108" s="83"/>
      <c r="K108" s="83"/>
      <c r="L108" s="83"/>
      <c r="M108" s="83"/>
      <c r="N108" s="83"/>
      <c r="O108" s="84"/>
      <c r="P108" s="83"/>
      <c r="Q108" s="83"/>
      <c r="R108" s="83"/>
      <c r="S108" s="83"/>
    </row>
    <row r="109" spans="1:21" ht="12.75" customHeight="1" x14ac:dyDescent="0.25">
      <c r="A109" s="58"/>
      <c r="B109" s="68"/>
      <c r="C109" s="67" t="s">
        <v>102</v>
      </c>
      <c r="D109" s="68"/>
      <c r="F109" s="83"/>
      <c r="G109" s="83"/>
      <c r="H109" s="83"/>
      <c r="I109" s="83"/>
      <c r="K109" s="83"/>
      <c r="L109" s="83"/>
      <c r="M109" s="83"/>
      <c r="N109" s="83"/>
      <c r="O109" s="84"/>
      <c r="P109" s="83"/>
      <c r="Q109" s="83"/>
      <c r="R109" s="83"/>
      <c r="S109" s="83"/>
    </row>
    <row r="110" spans="1:21" ht="12.75" customHeight="1" x14ac:dyDescent="0.25">
      <c r="A110" s="58"/>
      <c r="B110" s="68"/>
      <c r="C110" s="68"/>
      <c r="D110" s="68" t="s">
        <v>103</v>
      </c>
      <c r="F110" s="83">
        <f>G110+H110+I110</f>
        <v>34512724.989999995</v>
      </c>
      <c r="G110" s="89">
        <v>34512724.989999995</v>
      </c>
      <c r="H110" s="82">
        <v>0</v>
      </c>
      <c r="I110" s="82">
        <v>0</v>
      </c>
      <c r="K110" s="83">
        <f>L110+M110+N110</f>
        <v>36670356.579999998</v>
      </c>
      <c r="L110" s="89">
        <v>36670356.579999998</v>
      </c>
      <c r="M110" s="82">
        <v>0</v>
      </c>
      <c r="N110" s="91">
        <v>0</v>
      </c>
      <c r="O110" s="84"/>
      <c r="P110" s="83">
        <f>Q110+R110+S110</f>
        <v>38593447.129999995</v>
      </c>
      <c r="Q110" s="89">
        <v>38593447.129999995</v>
      </c>
      <c r="R110" s="82">
        <v>0</v>
      </c>
      <c r="S110" s="91">
        <v>0</v>
      </c>
    </row>
    <row r="111" spans="1:21" x14ac:dyDescent="0.25">
      <c r="A111" s="58"/>
      <c r="B111" s="68"/>
      <c r="C111" s="67" t="s">
        <v>104</v>
      </c>
      <c r="D111" s="68"/>
      <c r="F111" s="83"/>
      <c r="G111" s="83"/>
      <c r="H111" s="83"/>
      <c r="I111" s="83"/>
      <c r="K111" s="83"/>
      <c r="L111" s="83"/>
      <c r="M111" s="83"/>
      <c r="N111" s="83"/>
      <c r="O111" s="84"/>
      <c r="P111" s="83"/>
      <c r="Q111" s="83"/>
      <c r="R111" s="83"/>
      <c r="S111" s="83"/>
    </row>
    <row r="112" spans="1:21" x14ac:dyDescent="0.25">
      <c r="A112" s="58"/>
      <c r="B112" s="68"/>
      <c r="C112" s="68"/>
      <c r="D112" s="68" t="s">
        <v>105</v>
      </c>
      <c r="F112" s="83">
        <f t="shared" ref="F112:F121" si="39">G112+H112+I112</f>
        <v>2460873</v>
      </c>
      <c r="G112" s="82">
        <v>2460873</v>
      </c>
      <c r="H112" s="82">
        <v>0</v>
      </c>
      <c r="I112" s="82">
        <v>0</v>
      </c>
      <c r="K112" s="83">
        <f t="shared" ref="K112:K121" si="40">L112+M112+N112</f>
        <v>3413389</v>
      </c>
      <c r="L112" s="82">
        <v>3413389</v>
      </c>
      <c r="M112" s="82">
        <v>0</v>
      </c>
      <c r="N112" s="82">
        <v>0</v>
      </c>
      <c r="O112" s="84"/>
      <c r="P112" s="83">
        <f t="shared" ref="P112:P121" si="41">Q112+R112+S112</f>
        <v>1104919</v>
      </c>
      <c r="Q112" s="82">
        <v>943330.00000000012</v>
      </c>
      <c r="R112" s="82">
        <v>0</v>
      </c>
      <c r="S112" s="82">
        <v>161589</v>
      </c>
    </row>
    <row r="113" spans="1:19" hidden="1" x14ac:dyDescent="0.25">
      <c r="A113" s="58"/>
      <c r="B113" s="68"/>
      <c r="C113" s="68"/>
      <c r="D113" s="68" t="s">
        <v>106</v>
      </c>
      <c r="F113" s="83">
        <f t="shared" si="39"/>
        <v>0</v>
      </c>
      <c r="G113" s="82"/>
      <c r="H113" s="82">
        <v>0</v>
      </c>
      <c r="I113" s="82"/>
      <c r="K113" s="83">
        <f t="shared" si="40"/>
        <v>0</v>
      </c>
      <c r="L113" s="82">
        <v>0</v>
      </c>
      <c r="M113" s="82">
        <v>0</v>
      </c>
      <c r="N113" s="82">
        <v>0</v>
      </c>
      <c r="O113" s="84"/>
      <c r="P113" s="83">
        <f t="shared" si="41"/>
        <v>0</v>
      </c>
      <c r="Q113" s="82">
        <v>0</v>
      </c>
      <c r="R113" s="82">
        <v>0</v>
      </c>
      <c r="S113" s="82">
        <v>0</v>
      </c>
    </row>
    <row r="114" spans="1:19" x14ac:dyDescent="0.25">
      <c r="A114" s="58"/>
      <c r="B114" s="68"/>
      <c r="C114" s="68"/>
      <c r="D114" s="68" t="s">
        <v>107</v>
      </c>
      <c r="F114" s="83">
        <f t="shared" si="39"/>
        <v>1989376.5</v>
      </c>
      <c r="G114" s="82">
        <v>1989376.5</v>
      </c>
      <c r="H114" s="82"/>
      <c r="I114" s="82"/>
      <c r="K114" s="83">
        <f t="shared" si="40"/>
        <v>2121726</v>
      </c>
      <c r="L114" s="82">
        <v>2121726</v>
      </c>
      <c r="M114" s="82">
        <v>0</v>
      </c>
      <c r="N114" s="82">
        <v>0</v>
      </c>
      <c r="O114" s="84"/>
      <c r="P114" s="83">
        <f t="shared" si="41"/>
        <v>1556899.8999999997</v>
      </c>
      <c r="Q114" s="82">
        <v>1556899.8999999997</v>
      </c>
      <c r="R114" s="82">
        <v>0</v>
      </c>
      <c r="S114" s="82">
        <v>0</v>
      </c>
    </row>
    <row r="115" spans="1:19" x14ac:dyDescent="0.25">
      <c r="A115" s="58"/>
      <c r="B115" s="68"/>
      <c r="C115" s="68"/>
      <c r="D115" s="611" t="s">
        <v>108</v>
      </c>
      <c r="E115" s="611"/>
      <c r="F115" s="83">
        <f t="shared" si="39"/>
        <v>1261247</v>
      </c>
      <c r="G115" s="82">
        <v>1261247</v>
      </c>
      <c r="H115" s="82">
        <v>0</v>
      </c>
      <c r="I115" s="82">
        <v>0</v>
      </c>
      <c r="J115" s="360"/>
      <c r="K115" s="83">
        <f t="shared" si="40"/>
        <v>3619865.95</v>
      </c>
      <c r="L115" s="82">
        <v>3619865.95</v>
      </c>
      <c r="M115" s="82">
        <v>0</v>
      </c>
      <c r="N115" s="82">
        <v>0</v>
      </c>
      <c r="O115" s="84"/>
      <c r="P115" s="83">
        <f t="shared" si="41"/>
        <v>475280.94999999995</v>
      </c>
      <c r="Q115" s="82">
        <v>475280.94999999995</v>
      </c>
      <c r="R115" s="82">
        <v>0</v>
      </c>
      <c r="S115" s="82">
        <v>0</v>
      </c>
    </row>
    <row r="116" spans="1:19" x14ac:dyDescent="0.25">
      <c r="A116" s="58"/>
      <c r="B116" s="68"/>
      <c r="C116" s="68"/>
      <c r="D116" s="68" t="s">
        <v>109</v>
      </c>
      <c r="F116" s="83">
        <f t="shared" si="39"/>
        <v>847855.39999999991</v>
      </c>
      <c r="G116" s="82">
        <v>91040</v>
      </c>
      <c r="H116" s="82">
        <v>0</v>
      </c>
      <c r="I116" s="82">
        <v>756815.39999999991</v>
      </c>
      <c r="K116" s="83">
        <f t="shared" si="40"/>
        <v>1143516.3999999999</v>
      </c>
      <c r="L116" s="82">
        <v>386701</v>
      </c>
      <c r="M116" s="82">
        <v>0</v>
      </c>
      <c r="N116" s="82">
        <v>756815.39999999991</v>
      </c>
      <c r="O116" s="84"/>
      <c r="P116" s="83">
        <f t="shared" si="41"/>
        <v>632573.4</v>
      </c>
      <c r="Q116" s="82">
        <v>632573.4</v>
      </c>
      <c r="R116" s="82">
        <v>0</v>
      </c>
      <c r="S116" s="82">
        <v>0</v>
      </c>
    </row>
    <row r="117" spans="1:19" x14ac:dyDescent="0.25">
      <c r="A117" s="58"/>
      <c r="B117" s="68"/>
      <c r="C117" s="68"/>
      <c r="D117" s="68" t="s">
        <v>110</v>
      </c>
      <c r="F117" s="83">
        <f t="shared" si="39"/>
        <v>483290</v>
      </c>
      <c r="G117" s="82">
        <v>483290</v>
      </c>
      <c r="H117" s="82">
        <v>0</v>
      </c>
      <c r="I117" s="82">
        <v>0</v>
      </c>
      <c r="K117" s="83">
        <f t="shared" si="40"/>
        <v>1073930</v>
      </c>
      <c r="L117" s="82">
        <v>318930</v>
      </c>
      <c r="M117" s="82">
        <v>0</v>
      </c>
      <c r="N117" s="82">
        <v>755000</v>
      </c>
      <c r="O117" s="84"/>
      <c r="P117" s="83">
        <f t="shared" si="41"/>
        <v>401300</v>
      </c>
      <c r="Q117" s="82">
        <v>146300</v>
      </c>
      <c r="R117" s="82">
        <v>0</v>
      </c>
      <c r="S117" s="82">
        <v>255000</v>
      </c>
    </row>
    <row r="118" spans="1:19" x14ac:dyDescent="0.25">
      <c r="A118" s="58"/>
      <c r="B118" s="68"/>
      <c r="C118" s="68"/>
      <c r="D118" s="611" t="s">
        <v>111</v>
      </c>
      <c r="E118" s="611"/>
      <c r="F118" s="83">
        <f t="shared" si="39"/>
        <v>0</v>
      </c>
      <c r="G118" s="82">
        <v>0</v>
      </c>
      <c r="H118" s="82">
        <v>0</v>
      </c>
      <c r="I118" s="82">
        <v>0</v>
      </c>
      <c r="J118" s="360"/>
      <c r="K118" s="83">
        <f t="shared" si="40"/>
        <v>1230825.22</v>
      </c>
      <c r="L118" s="82">
        <v>0</v>
      </c>
      <c r="M118" s="82">
        <v>1230825.22</v>
      </c>
      <c r="N118" s="82">
        <v>0</v>
      </c>
      <c r="O118" s="84"/>
      <c r="P118" s="83">
        <f t="shared" si="41"/>
        <v>230925.22</v>
      </c>
      <c r="Q118" s="82">
        <v>0</v>
      </c>
      <c r="R118" s="82">
        <v>230925.22</v>
      </c>
      <c r="S118" s="82">
        <v>0</v>
      </c>
    </row>
    <row r="119" spans="1:19" ht="12.75" customHeight="1" x14ac:dyDescent="0.25">
      <c r="A119" s="58"/>
      <c r="B119" s="68"/>
      <c r="C119" s="68"/>
      <c r="D119" s="68" t="s">
        <v>112</v>
      </c>
      <c r="F119" s="83">
        <f t="shared" si="39"/>
        <v>0</v>
      </c>
      <c r="G119" s="82"/>
      <c r="H119" s="82"/>
      <c r="I119" s="82"/>
      <c r="K119" s="83">
        <f t="shared" si="40"/>
        <v>0</v>
      </c>
      <c r="L119" s="82"/>
      <c r="M119" s="82"/>
      <c r="N119" s="82"/>
      <c r="O119" s="84"/>
      <c r="P119" s="83">
        <f t="shared" si="41"/>
        <v>0</v>
      </c>
      <c r="Q119" s="82"/>
      <c r="R119" s="82"/>
      <c r="S119" s="82"/>
    </row>
    <row r="120" spans="1:19" ht="10.15" customHeight="1" x14ac:dyDescent="0.25">
      <c r="A120" s="58"/>
      <c r="B120" s="68"/>
      <c r="C120" s="68"/>
      <c r="D120" s="68" t="s">
        <v>113</v>
      </c>
      <c r="F120" s="83">
        <f t="shared" si="39"/>
        <v>634025</v>
      </c>
      <c r="G120" s="82">
        <v>634025</v>
      </c>
      <c r="H120" s="82">
        <v>0</v>
      </c>
      <c r="I120" s="82">
        <v>0</v>
      </c>
      <c r="K120" s="83">
        <f t="shared" si="40"/>
        <v>634025</v>
      </c>
      <c r="L120" s="82">
        <v>634025</v>
      </c>
      <c r="M120" s="82">
        <v>0</v>
      </c>
      <c r="N120" s="82">
        <v>0</v>
      </c>
      <c r="O120" s="84"/>
      <c r="P120" s="83">
        <f t="shared" si="41"/>
        <v>36000</v>
      </c>
      <c r="Q120" s="82">
        <v>36000</v>
      </c>
      <c r="R120" s="82">
        <v>0</v>
      </c>
      <c r="S120" s="82">
        <v>0</v>
      </c>
    </row>
    <row r="121" spans="1:19" ht="12.75" customHeight="1" x14ac:dyDescent="0.25">
      <c r="A121" s="58"/>
      <c r="B121" s="68"/>
      <c r="C121" s="68"/>
      <c r="D121" s="68" t="s">
        <v>114</v>
      </c>
      <c r="F121" s="83">
        <f t="shared" si="39"/>
        <v>1348284.5</v>
      </c>
      <c r="G121" s="82">
        <v>1348284.5</v>
      </c>
      <c r="H121" s="82"/>
      <c r="I121" s="82"/>
      <c r="K121" s="83">
        <f t="shared" si="40"/>
        <v>4778116.5</v>
      </c>
      <c r="L121" s="82">
        <v>4778116.5</v>
      </c>
      <c r="M121" s="82">
        <v>0</v>
      </c>
      <c r="N121" s="82">
        <v>0</v>
      </c>
      <c r="O121" s="84"/>
      <c r="P121" s="83">
        <f t="shared" si="41"/>
        <v>3278962.5</v>
      </c>
      <c r="Q121" s="82">
        <v>648453.5</v>
      </c>
      <c r="R121" s="82">
        <v>2630509</v>
      </c>
      <c r="S121" s="82">
        <v>0</v>
      </c>
    </row>
    <row r="122" spans="1:19" ht="12.75" hidden="1" customHeight="1" x14ac:dyDescent="0.25">
      <c r="A122" s="58"/>
      <c r="B122" s="68"/>
      <c r="C122" s="67" t="s">
        <v>115</v>
      </c>
      <c r="D122" s="68"/>
      <c r="F122" s="83"/>
      <c r="G122" s="82"/>
      <c r="H122" s="82"/>
      <c r="I122" s="82"/>
      <c r="K122" s="83"/>
      <c r="L122" s="83"/>
      <c r="M122" s="83"/>
      <c r="N122" s="83"/>
      <c r="O122" s="84"/>
      <c r="P122" s="83"/>
      <c r="Q122" s="83"/>
      <c r="R122" s="83"/>
      <c r="S122" s="83"/>
    </row>
    <row r="123" spans="1:19" ht="12.75" hidden="1" customHeight="1" x14ac:dyDescent="0.25">
      <c r="A123" s="58"/>
      <c r="B123" s="68"/>
      <c r="C123" s="68"/>
      <c r="D123" s="68" t="s">
        <v>116</v>
      </c>
      <c r="F123" s="83">
        <f>G123+H123+I123</f>
        <v>0</v>
      </c>
      <c r="G123" s="82"/>
      <c r="H123" s="82"/>
      <c r="I123" s="82"/>
      <c r="K123" s="83">
        <f t="shared" ref="K123:K125" si="42">L123+M123+N123</f>
        <v>0</v>
      </c>
      <c r="L123" s="82"/>
      <c r="M123" s="82"/>
      <c r="N123" s="82"/>
      <c r="O123" s="84"/>
      <c r="P123" s="83">
        <f t="shared" ref="P123:P125" si="43">Q123+R123+S123</f>
        <v>0</v>
      </c>
      <c r="Q123" s="82"/>
      <c r="R123" s="82"/>
      <c r="S123" s="82"/>
    </row>
    <row r="124" spans="1:19" ht="12.75" hidden="1" customHeight="1" x14ac:dyDescent="0.25">
      <c r="A124" s="58"/>
      <c r="B124" s="68"/>
      <c r="C124" s="68"/>
      <c r="D124" s="68" t="s">
        <v>117</v>
      </c>
      <c r="F124" s="83">
        <f>G124+H124+I124</f>
        <v>0</v>
      </c>
      <c r="G124" s="82"/>
      <c r="H124" s="82"/>
      <c r="I124" s="82"/>
      <c r="K124" s="83">
        <f t="shared" si="42"/>
        <v>0</v>
      </c>
      <c r="L124" s="82"/>
      <c r="M124" s="82"/>
      <c r="N124" s="82"/>
      <c r="O124" s="84"/>
      <c r="P124" s="83">
        <f t="shared" si="43"/>
        <v>0</v>
      </c>
      <c r="Q124" s="82"/>
      <c r="R124" s="82"/>
      <c r="S124" s="82"/>
    </row>
    <row r="125" spans="1:19" ht="12.75" hidden="1" customHeight="1" x14ac:dyDescent="0.25">
      <c r="A125" s="58"/>
      <c r="B125" s="68"/>
      <c r="C125" s="68"/>
      <c r="D125" s="68" t="s">
        <v>118</v>
      </c>
      <c r="F125" s="83">
        <f>G125+H125+I125</f>
        <v>0</v>
      </c>
      <c r="G125" s="82"/>
      <c r="H125" s="82"/>
      <c r="I125" s="82"/>
      <c r="K125" s="83">
        <f t="shared" si="42"/>
        <v>0</v>
      </c>
      <c r="L125" s="82"/>
      <c r="M125" s="82"/>
      <c r="N125" s="82"/>
      <c r="O125" s="84"/>
      <c r="P125" s="83">
        <f t="shared" si="43"/>
        <v>0</v>
      </c>
      <c r="Q125" s="82"/>
      <c r="R125" s="82"/>
      <c r="S125" s="82"/>
    </row>
    <row r="126" spans="1:19" ht="12.75" customHeight="1" x14ac:dyDescent="0.25">
      <c r="A126" s="58"/>
      <c r="B126" s="68"/>
      <c r="C126" s="67" t="s">
        <v>119</v>
      </c>
      <c r="D126" s="68"/>
      <c r="F126" s="83"/>
      <c r="G126" s="82"/>
      <c r="H126" s="82"/>
      <c r="I126" s="82"/>
      <c r="K126" s="83"/>
      <c r="L126" s="82"/>
      <c r="M126" s="82"/>
      <c r="N126" s="82"/>
      <c r="O126" s="84"/>
      <c r="P126" s="83"/>
      <c r="Q126" s="82"/>
      <c r="R126" s="82"/>
      <c r="S126" s="82"/>
    </row>
    <row r="127" spans="1:19" ht="12.75" customHeight="1" x14ac:dyDescent="0.25">
      <c r="A127" s="58"/>
      <c r="B127" s="68"/>
      <c r="C127" s="68"/>
      <c r="D127" s="68" t="s">
        <v>120</v>
      </c>
      <c r="F127" s="83">
        <f t="shared" ref="F127:F140" si="44">G127+H127+I127</f>
        <v>3787189.2600000007</v>
      </c>
      <c r="G127" s="82">
        <v>3764036.2600000007</v>
      </c>
      <c r="H127" s="82">
        <v>13748</v>
      </c>
      <c r="I127" s="82">
        <v>9405</v>
      </c>
      <c r="K127" s="83">
        <f t="shared" ref="K127:K140" si="45">L127+M127+N127</f>
        <v>5313015.91</v>
      </c>
      <c r="L127" s="82">
        <v>3819726.91</v>
      </c>
      <c r="M127" s="82">
        <v>1460900</v>
      </c>
      <c r="N127" s="82">
        <v>32389</v>
      </c>
      <c r="O127" s="84"/>
      <c r="P127" s="83">
        <f t="shared" ref="P127:P140" si="46">Q127+R127+S127</f>
        <v>12832077.500000004</v>
      </c>
      <c r="Q127" s="82">
        <v>12149154.350000005</v>
      </c>
      <c r="R127" s="82">
        <v>292166.94999999995</v>
      </c>
      <c r="S127" s="82">
        <v>390756.20000000007</v>
      </c>
    </row>
    <row r="128" spans="1:19" x14ac:dyDescent="0.25">
      <c r="A128" s="58"/>
      <c r="B128" s="68"/>
      <c r="C128" s="68"/>
      <c r="D128" s="68" t="s">
        <v>121</v>
      </c>
      <c r="F128" s="83">
        <f t="shared" si="44"/>
        <v>2059565.3</v>
      </c>
      <c r="G128" s="82">
        <v>2058365.3</v>
      </c>
      <c r="H128" s="82"/>
      <c r="I128" s="82">
        <v>1200</v>
      </c>
      <c r="K128" s="83">
        <f t="shared" si="45"/>
        <v>681128.39999999991</v>
      </c>
      <c r="L128" s="82">
        <v>681128.39999999991</v>
      </c>
      <c r="M128" s="82">
        <v>0</v>
      </c>
      <c r="N128" s="82">
        <v>0</v>
      </c>
      <c r="O128" s="84"/>
      <c r="P128" s="83">
        <f t="shared" si="46"/>
        <v>2907979.76</v>
      </c>
      <c r="Q128" s="82">
        <v>2900257.26</v>
      </c>
      <c r="R128" s="82">
        <v>2492.5</v>
      </c>
      <c r="S128" s="82">
        <v>5230</v>
      </c>
    </row>
    <row r="129" spans="1:21" x14ac:dyDescent="0.25">
      <c r="A129" s="58"/>
      <c r="B129" s="68"/>
      <c r="C129" s="68"/>
      <c r="D129" s="68" t="s">
        <v>122</v>
      </c>
      <c r="F129" s="83">
        <f t="shared" si="44"/>
        <v>255490</v>
      </c>
      <c r="G129" s="82">
        <v>206090</v>
      </c>
      <c r="H129" s="82">
        <v>0</v>
      </c>
      <c r="I129" s="82">
        <v>49400</v>
      </c>
      <c r="K129" s="83">
        <f t="shared" si="45"/>
        <v>137300</v>
      </c>
      <c r="L129" s="82">
        <v>87900</v>
      </c>
      <c r="M129" s="82">
        <v>0</v>
      </c>
      <c r="N129" s="82">
        <v>49400</v>
      </c>
      <c r="O129" s="84"/>
      <c r="P129" s="83">
        <f t="shared" si="46"/>
        <v>12800</v>
      </c>
      <c r="Q129" s="82">
        <v>12800</v>
      </c>
      <c r="R129" s="82">
        <v>0</v>
      </c>
      <c r="S129" s="82">
        <v>0</v>
      </c>
    </row>
    <row r="130" spans="1:21" ht="12.75" customHeight="1" x14ac:dyDescent="0.25">
      <c r="A130" s="58"/>
      <c r="B130" s="68"/>
      <c r="C130" s="68"/>
      <c r="D130" s="68" t="s">
        <v>123</v>
      </c>
      <c r="F130" s="83">
        <f t="shared" si="44"/>
        <v>585446.49999999977</v>
      </c>
      <c r="G130" s="82">
        <v>585446.49999999977</v>
      </c>
      <c r="H130" s="82">
        <v>0</v>
      </c>
      <c r="I130" s="82">
        <v>0</v>
      </c>
      <c r="K130" s="83">
        <f t="shared" si="45"/>
        <v>2156619.5099999998</v>
      </c>
      <c r="L130" s="82">
        <v>2011089.5099999998</v>
      </c>
      <c r="M130" s="82">
        <v>0</v>
      </c>
      <c r="N130" s="82">
        <v>145530</v>
      </c>
      <c r="O130" s="84"/>
      <c r="P130" s="83">
        <f t="shared" si="46"/>
        <v>1380244.51</v>
      </c>
      <c r="Q130" s="82">
        <v>1289314.51</v>
      </c>
      <c r="R130" s="82">
        <v>0</v>
      </c>
      <c r="S130" s="82">
        <v>90930</v>
      </c>
    </row>
    <row r="131" spans="1:21" ht="12.75" customHeight="1" x14ac:dyDescent="0.25">
      <c r="A131" s="58"/>
      <c r="B131" s="68"/>
      <c r="C131" s="68"/>
      <c r="D131" s="68" t="s">
        <v>124</v>
      </c>
      <c r="F131" s="83">
        <f t="shared" si="44"/>
        <v>344009.9299999997</v>
      </c>
      <c r="G131" s="82">
        <v>344009.9299999997</v>
      </c>
      <c r="H131" s="82">
        <v>0</v>
      </c>
      <c r="I131" s="82">
        <v>0</v>
      </c>
      <c r="K131" s="83">
        <f t="shared" si="45"/>
        <v>2950831.17</v>
      </c>
      <c r="L131" s="82">
        <v>2665909.17</v>
      </c>
      <c r="M131" s="82">
        <v>0</v>
      </c>
      <c r="N131" s="82">
        <v>284922</v>
      </c>
      <c r="O131" s="84"/>
      <c r="P131" s="83">
        <f t="shared" si="46"/>
        <v>1837609.25</v>
      </c>
      <c r="Q131" s="82">
        <v>1530659.25</v>
      </c>
      <c r="R131" s="82">
        <v>306950</v>
      </c>
      <c r="S131" s="82">
        <v>0</v>
      </c>
    </row>
    <row r="132" spans="1:21" ht="12.75" customHeight="1" x14ac:dyDescent="0.25">
      <c r="A132" s="58"/>
      <c r="B132" s="68"/>
      <c r="C132" s="68"/>
      <c r="D132" s="68" t="s">
        <v>125</v>
      </c>
      <c r="F132" s="83">
        <f t="shared" si="44"/>
        <v>2505898.3200000003</v>
      </c>
      <c r="G132" s="82">
        <v>2403808.3200000003</v>
      </c>
      <c r="H132" s="82"/>
      <c r="I132" s="82">
        <v>102090</v>
      </c>
      <c r="K132" s="83">
        <f t="shared" si="45"/>
        <v>4105912.16</v>
      </c>
      <c r="L132" s="82">
        <v>3733071.16</v>
      </c>
      <c r="M132" s="82">
        <v>0</v>
      </c>
      <c r="N132" s="82">
        <v>372841</v>
      </c>
      <c r="O132" s="84"/>
      <c r="P132" s="83">
        <f t="shared" si="46"/>
        <v>2672843.2300000004</v>
      </c>
      <c r="Q132" s="82">
        <v>2574493.7300000004</v>
      </c>
      <c r="R132" s="82"/>
      <c r="S132" s="82">
        <v>98349.5</v>
      </c>
    </row>
    <row r="133" spans="1:21" ht="12.75" customHeight="1" x14ac:dyDescent="0.25">
      <c r="A133" s="58"/>
      <c r="B133" s="68"/>
      <c r="C133" s="68"/>
      <c r="D133" s="68" t="s">
        <v>126</v>
      </c>
      <c r="F133" s="83">
        <f t="shared" si="44"/>
        <v>6024664.1099999994</v>
      </c>
      <c r="G133" s="82">
        <v>5831839.1099999994</v>
      </c>
      <c r="H133" s="82">
        <v>0</v>
      </c>
      <c r="I133" s="82">
        <v>192825</v>
      </c>
      <c r="K133" s="83">
        <f t="shared" si="45"/>
        <v>1281736.6599999997</v>
      </c>
      <c r="L133" s="82">
        <v>626516.65999999968</v>
      </c>
      <c r="M133" s="82">
        <v>0</v>
      </c>
      <c r="N133" s="82">
        <v>655220</v>
      </c>
      <c r="O133" s="84"/>
      <c r="P133" s="83">
        <f t="shared" si="46"/>
        <v>1581529.6599999997</v>
      </c>
      <c r="Q133" s="82">
        <v>1334346.6599999997</v>
      </c>
      <c r="R133" s="82">
        <v>0</v>
      </c>
      <c r="S133" s="82">
        <v>247183</v>
      </c>
    </row>
    <row r="134" spans="1:21" ht="12.75" customHeight="1" x14ac:dyDescent="0.25">
      <c r="A134" s="58"/>
      <c r="B134" s="68"/>
      <c r="C134" s="68"/>
      <c r="D134" s="68" t="s">
        <v>127</v>
      </c>
      <c r="F134" s="83">
        <f t="shared" si="44"/>
        <v>599545</v>
      </c>
      <c r="G134" s="82">
        <v>599545</v>
      </c>
      <c r="H134" s="82">
        <v>0</v>
      </c>
      <c r="I134" s="82">
        <v>0</v>
      </c>
      <c r="K134" s="83">
        <f t="shared" si="45"/>
        <v>1923552</v>
      </c>
      <c r="L134" s="82">
        <v>1923552</v>
      </c>
      <c r="M134" s="82">
        <v>0</v>
      </c>
      <c r="N134" s="82">
        <v>0</v>
      </c>
      <c r="O134" s="84"/>
      <c r="P134" s="83">
        <f t="shared" si="46"/>
        <v>3947095</v>
      </c>
      <c r="Q134" s="82">
        <v>3947095</v>
      </c>
      <c r="R134" s="82">
        <v>0</v>
      </c>
      <c r="S134" s="82">
        <v>0</v>
      </c>
    </row>
    <row r="135" spans="1:21" ht="12.75" customHeight="1" x14ac:dyDescent="0.25">
      <c r="A135" s="58"/>
      <c r="B135" s="68"/>
      <c r="C135" s="68"/>
      <c r="D135" s="68" t="s">
        <v>128</v>
      </c>
      <c r="F135" s="83">
        <f t="shared" si="44"/>
        <v>975512.35000000056</v>
      </c>
      <c r="G135" s="82">
        <v>970862.75000000047</v>
      </c>
      <c r="H135" s="82">
        <v>0</v>
      </c>
      <c r="I135" s="82">
        <v>4649.6000000000931</v>
      </c>
      <c r="K135" s="83">
        <f t="shared" si="45"/>
        <v>1910620.2500000005</v>
      </c>
      <c r="L135" s="82">
        <v>537697.25000000047</v>
      </c>
      <c r="M135" s="82">
        <v>0</v>
      </c>
      <c r="N135" s="82">
        <v>1372923</v>
      </c>
      <c r="O135" s="84"/>
      <c r="P135" s="83">
        <f t="shared" si="46"/>
        <v>8108345.7999999998</v>
      </c>
      <c r="Q135" s="82">
        <v>6421315.8000000007</v>
      </c>
      <c r="R135" s="82">
        <v>0</v>
      </c>
      <c r="S135" s="82">
        <v>1687029.9999999991</v>
      </c>
    </row>
    <row r="136" spans="1:21" ht="12.75" customHeight="1" x14ac:dyDescent="0.25">
      <c r="A136" s="58"/>
      <c r="B136" s="68"/>
      <c r="C136" s="68"/>
      <c r="D136" s="68" t="s">
        <v>129</v>
      </c>
      <c r="F136" s="83">
        <f t="shared" si="44"/>
        <v>9995</v>
      </c>
      <c r="G136" s="82">
        <v>9995</v>
      </c>
      <c r="H136" s="82">
        <v>0</v>
      </c>
      <c r="I136" s="82">
        <v>0</v>
      </c>
      <c r="K136" s="83">
        <f t="shared" si="45"/>
        <v>9995</v>
      </c>
      <c r="L136" s="82">
        <v>9995</v>
      </c>
      <c r="M136" s="82">
        <v>0</v>
      </c>
      <c r="N136" s="82">
        <v>0</v>
      </c>
      <c r="O136" s="84"/>
      <c r="P136" s="83">
        <f t="shared" si="46"/>
        <v>9995</v>
      </c>
      <c r="Q136" s="82">
        <v>9995</v>
      </c>
      <c r="R136" s="82">
        <v>0</v>
      </c>
      <c r="S136" s="82">
        <v>0</v>
      </c>
    </row>
    <row r="137" spans="1:21" ht="12.75" hidden="1" customHeight="1" x14ac:dyDescent="0.25">
      <c r="A137" s="58"/>
      <c r="B137" s="68"/>
      <c r="C137" s="68"/>
      <c r="D137" s="68" t="s">
        <v>130</v>
      </c>
      <c r="F137" s="83">
        <f t="shared" si="44"/>
        <v>0</v>
      </c>
      <c r="G137" s="82">
        <v>0</v>
      </c>
      <c r="H137" s="82">
        <v>0</v>
      </c>
      <c r="I137" s="82">
        <v>0</v>
      </c>
      <c r="K137" s="83">
        <f t="shared" si="45"/>
        <v>0</v>
      </c>
      <c r="L137" s="82">
        <v>0</v>
      </c>
      <c r="M137" s="82"/>
      <c r="N137" s="82"/>
      <c r="O137" s="84"/>
      <c r="P137" s="83">
        <f t="shared" si="46"/>
        <v>0</v>
      </c>
      <c r="Q137" s="82"/>
      <c r="R137" s="82"/>
      <c r="S137" s="82"/>
    </row>
    <row r="138" spans="1:21" ht="12.75" hidden="1" customHeight="1" x14ac:dyDescent="0.25">
      <c r="A138" s="58"/>
      <c r="B138" s="68"/>
      <c r="C138" s="68"/>
      <c r="D138" s="68" t="s">
        <v>131</v>
      </c>
      <c r="F138" s="83">
        <f t="shared" si="44"/>
        <v>0</v>
      </c>
      <c r="G138" s="82"/>
      <c r="H138" s="82"/>
      <c r="I138" s="82"/>
      <c r="K138" s="83">
        <f t="shared" si="45"/>
        <v>0</v>
      </c>
      <c r="N138" s="82"/>
      <c r="O138" s="84"/>
      <c r="P138" s="83">
        <f t="shared" si="46"/>
        <v>0</v>
      </c>
      <c r="Q138" s="82"/>
      <c r="R138" s="82"/>
      <c r="S138" s="82"/>
    </row>
    <row r="139" spans="1:21" ht="12.75" customHeight="1" x14ac:dyDescent="0.25">
      <c r="A139" s="58"/>
      <c r="B139" s="68"/>
      <c r="C139" s="68"/>
      <c r="D139" s="68" t="s">
        <v>821</v>
      </c>
      <c r="F139" s="83">
        <f t="shared" si="44"/>
        <v>57738067.290000021</v>
      </c>
      <c r="G139" s="82">
        <v>52795851.980000019</v>
      </c>
      <c r="H139" s="82">
        <v>3589207.8400000003</v>
      </c>
      <c r="I139" s="82">
        <v>1353007.4699999997</v>
      </c>
      <c r="K139" s="83">
        <f t="shared" si="45"/>
        <v>37515996.510000013</v>
      </c>
      <c r="L139" s="82">
        <v>34661166.440000013</v>
      </c>
      <c r="M139" s="82">
        <v>1541035.6</v>
      </c>
      <c r="N139" s="82">
        <v>1313794.4699999997</v>
      </c>
      <c r="O139" s="84"/>
      <c r="P139" s="83">
        <f t="shared" si="46"/>
        <v>55075266.56000001</v>
      </c>
      <c r="Q139" s="82">
        <v>47227975.74000001</v>
      </c>
      <c r="R139" s="82">
        <v>5988364.1400000006</v>
      </c>
      <c r="S139" s="82">
        <v>1858926.68</v>
      </c>
    </row>
    <row r="140" spans="1:21" ht="12.75" customHeight="1" x14ac:dyDescent="0.25">
      <c r="A140" s="58"/>
      <c r="B140" s="68"/>
      <c r="C140" s="68"/>
      <c r="D140" s="68" t="s">
        <v>132</v>
      </c>
      <c r="F140" s="83">
        <f t="shared" si="44"/>
        <v>27234420.720000003</v>
      </c>
      <c r="G140" s="82">
        <v>24554854.120000001</v>
      </c>
      <c r="H140" s="82">
        <v>1608119.9999999993</v>
      </c>
      <c r="I140" s="82">
        <v>1071446.6000000001</v>
      </c>
      <c r="K140" s="83">
        <f t="shared" si="45"/>
        <v>13822498.399999995</v>
      </c>
      <c r="L140" s="82">
        <v>11863986.599999996</v>
      </c>
      <c r="M140" s="82">
        <v>1478222.7999999993</v>
      </c>
      <c r="N140" s="82">
        <v>480289</v>
      </c>
      <c r="O140" s="84"/>
      <c r="P140" s="86">
        <f t="shared" si="46"/>
        <v>33171616.029999994</v>
      </c>
      <c r="Q140" s="82">
        <v>24805650.739999991</v>
      </c>
      <c r="R140" s="82">
        <v>5286638.8</v>
      </c>
      <c r="S140" s="82">
        <v>3079326.49</v>
      </c>
    </row>
    <row r="141" spans="1:21" ht="12.75" customHeight="1" x14ac:dyDescent="0.25">
      <c r="A141" s="58"/>
      <c r="B141" s="68"/>
      <c r="C141" s="67" t="s">
        <v>133</v>
      </c>
      <c r="D141" s="68"/>
      <c r="F141" s="90">
        <f t="shared" ref="F141" si="47">SUM(F110:F140)</f>
        <v>145657480.17000002</v>
      </c>
      <c r="G141" s="90">
        <f>SUM(G110:G140)</f>
        <v>136905565.26000002</v>
      </c>
      <c r="H141" s="90">
        <f>SUM(H110:H140)</f>
        <v>5211075.84</v>
      </c>
      <c r="I141" s="90">
        <f t="shared" ref="I141" si="48">SUM(I110:I140)</f>
        <v>3540839.07</v>
      </c>
      <c r="K141" s="90">
        <f t="shared" ref="K141:N141" si="49">SUM(K110:K140)</f>
        <v>126494956.61999999</v>
      </c>
      <c r="L141" s="90">
        <f>SUM(L110:L140)</f>
        <v>114564849.13</v>
      </c>
      <c r="M141" s="90">
        <f>SUM(M110:M140)</f>
        <v>5710983.6199999992</v>
      </c>
      <c r="N141" s="90">
        <f t="shared" si="49"/>
        <v>6219123.8700000001</v>
      </c>
      <c r="O141" s="84"/>
      <c r="P141" s="86">
        <f t="shared" ref="P141:S141" si="50">SUM(P110:P140)</f>
        <v>169847710.40000001</v>
      </c>
      <c r="Q141" s="90">
        <f t="shared" si="50"/>
        <v>147235342.91999999</v>
      </c>
      <c r="R141" s="90">
        <f t="shared" si="50"/>
        <v>14738046.609999999</v>
      </c>
      <c r="S141" s="90">
        <f t="shared" si="50"/>
        <v>7874320.8699999992</v>
      </c>
      <c r="U141" s="59">
        <f>+K141-P141</f>
        <v>-43352753.780000016</v>
      </c>
    </row>
    <row r="142" spans="1:21" ht="12.75" customHeight="1" x14ac:dyDescent="0.25">
      <c r="A142" s="58"/>
      <c r="B142" s="67" t="s">
        <v>134</v>
      </c>
      <c r="C142" s="68"/>
      <c r="D142" s="68"/>
      <c r="F142" s="83"/>
      <c r="G142" s="83"/>
      <c r="H142" s="83"/>
      <c r="I142" s="83"/>
      <c r="K142" s="83"/>
      <c r="L142" s="83"/>
      <c r="M142" s="83"/>
      <c r="N142" s="83"/>
      <c r="O142" s="84"/>
      <c r="P142" s="83"/>
      <c r="Q142" s="83"/>
      <c r="R142" s="83"/>
      <c r="S142" s="83"/>
    </row>
    <row r="143" spans="1:21" ht="12.75" customHeight="1" x14ac:dyDescent="0.25">
      <c r="A143" s="58"/>
      <c r="B143" s="68"/>
      <c r="C143" s="67" t="s">
        <v>135</v>
      </c>
      <c r="D143" s="68"/>
      <c r="F143" s="83"/>
      <c r="G143" s="83"/>
      <c r="H143" s="83"/>
      <c r="I143" s="83"/>
      <c r="K143" s="83"/>
      <c r="L143" s="83"/>
      <c r="M143" s="83"/>
      <c r="N143" s="83"/>
      <c r="O143" s="84"/>
      <c r="P143" s="83"/>
      <c r="Q143" s="83"/>
      <c r="R143" s="83"/>
      <c r="S143" s="83"/>
    </row>
    <row r="144" spans="1:21" ht="12.75" customHeight="1" x14ac:dyDescent="0.25">
      <c r="A144" s="58"/>
      <c r="B144" s="68"/>
      <c r="C144" s="58"/>
      <c r="D144" s="68" t="s">
        <v>136</v>
      </c>
      <c r="F144" s="83">
        <f t="shared" ref="F144:F149" si="51">G144+H144+I144</f>
        <v>12458576.310000002</v>
      </c>
      <c r="G144" s="82">
        <v>6311772.9200000027</v>
      </c>
      <c r="H144" s="82">
        <v>602064.55999999971</v>
      </c>
      <c r="I144" s="82">
        <v>5544738.830000001</v>
      </c>
      <c r="K144" s="83">
        <f t="shared" ref="K144:K149" si="52">L144+M144+N144</f>
        <v>22655640.93</v>
      </c>
      <c r="L144" s="82">
        <v>9304607.0399999991</v>
      </c>
      <c r="M144" s="82">
        <v>821493.58</v>
      </c>
      <c r="N144" s="82">
        <v>12529540.310000001</v>
      </c>
      <c r="O144" s="84"/>
      <c r="P144" s="83">
        <f t="shared" ref="P144:P149" si="53">Q144+R144+S144</f>
        <v>13088228.749999998</v>
      </c>
      <c r="Q144" s="82">
        <v>12788974.009999998</v>
      </c>
      <c r="R144" s="82">
        <v>299254.74</v>
      </c>
      <c r="S144" s="82">
        <v>0</v>
      </c>
    </row>
    <row r="145" spans="1:21" ht="15.6" hidden="1" customHeight="1" x14ac:dyDescent="0.25">
      <c r="A145" s="58"/>
      <c r="B145" s="68"/>
      <c r="C145" s="58"/>
      <c r="D145" s="68" t="s">
        <v>137</v>
      </c>
      <c r="F145" s="83">
        <f t="shared" si="51"/>
        <v>0</v>
      </c>
      <c r="G145" s="82"/>
      <c r="H145" s="82"/>
      <c r="I145" s="82"/>
      <c r="K145" s="83">
        <f t="shared" si="52"/>
        <v>0</v>
      </c>
      <c r="L145" s="82"/>
      <c r="M145" s="82"/>
      <c r="N145" s="82"/>
      <c r="O145" s="84"/>
      <c r="P145" s="83">
        <f t="shared" si="53"/>
        <v>0</v>
      </c>
      <c r="Q145" s="82"/>
      <c r="R145" s="82"/>
      <c r="S145" s="82"/>
    </row>
    <row r="146" spans="1:21" ht="15.6" hidden="1" customHeight="1" x14ac:dyDescent="0.25">
      <c r="A146" s="58"/>
      <c r="B146" s="68"/>
      <c r="C146" s="58"/>
      <c r="D146" s="68" t="s">
        <v>138</v>
      </c>
      <c r="F146" s="83">
        <f t="shared" si="51"/>
        <v>0</v>
      </c>
      <c r="G146" s="82"/>
      <c r="H146" s="82"/>
      <c r="I146" s="82"/>
      <c r="K146" s="83">
        <f t="shared" si="52"/>
        <v>0</v>
      </c>
      <c r="L146" s="82"/>
      <c r="M146" s="82"/>
      <c r="N146" s="82"/>
      <c r="O146" s="84"/>
      <c r="P146" s="83">
        <f t="shared" si="53"/>
        <v>0</v>
      </c>
      <c r="Q146" s="82"/>
      <c r="R146" s="82"/>
      <c r="S146" s="82"/>
    </row>
    <row r="147" spans="1:21" ht="15.6" hidden="1" customHeight="1" x14ac:dyDescent="0.25">
      <c r="A147" s="58"/>
      <c r="B147" s="68"/>
      <c r="C147" s="58"/>
      <c r="D147" s="68" t="s">
        <v>139</v>
      </c>
      <c r="F147" s="83">
        <f t="shared" si="51"/>
        <v>0</v>
      </c>
      <c r="G147" s="82"/>
      <c r="H147" s="82"/>
      <c r="I147" s="82"/>
      <c r="K147" s="83">
        <f t="shared" si="52"/>
        <v>0</v>
      </c>
      <c r="L147" s="82"/>
      <c r="M147" s="82"/>
      <c r="N147" s="82"/>
      <c r="O147" s="84"/>
      <c r="P147" s="83">
        <f t="shared" si="53"/>
        <v>0</v>
      </c>
      <c r="Q147" s="82"/>
      <c r="R147" s="82"/>
      <c r="S147" s="82"/>
    </row>
    <row r="148" spans="1:21" ht="12.75" customHeight="1" x14ac:dyDescent="0.25">
      <c r="A148" s="58"/>
      <c r="B148" s="68"/>
      <c r="C148" s="58"/>
      <c r="D148" s="68" t="s">
        <v>140</v>
      </c>
      <c r="F148" s="487">
        <f t="shared" si="51"/>
        <v>3506254.3099999991</v>
      </c>
      <c r="G148" s="82">
        <v>3506254.3099999991</v>
      </c>
      <c r="H148" s="82">
        <v>0</v>
      </c>
      <c r="I148" s="82">
        <v>0</v>
      </c>
      <c r="K148" s="83">
        <f t="shared" si="52"/>
        <v>3968904.03</v>
      </c>
      <c r="L148" s="82">
        <v>3922477.98</v>
      </c>
      <c r="M148" s="82">
        <v>46426.05</v>
      </c>
      <c r="N148" s="82">
        <v>0</v>
      </c>
      <c r="O148" s="84"/>
      <c r="P148" s="83">
        <f t="shared" si="53"/>
        <v>2334623.0199999996</v>
      </c>
      <c r="Q148" s="82">
        <v>2288196.9699999997</v>
      </c>
      <c r="R148" s="82">
        <v>46426.05</v>
      </c>
      <c r="S148" s="82">
        <v>0</v>
      </c>
    </row>
    <row r="149" spans="1:21" ht="12.75" customHeight="1" x14ac:dyDescent="0.25">
      <c r="A149" s="58"/>
      <c r="B149" s="68"/>
      <c r="C149" s="58"/>
      <c r="D149" s="68" t="s">
        <v>141</v>
      </c>
      <c r="F149" s="83">
        <f t="shared" si="51"/>
        <v>6000</v>
      </c>
      <c r="G149" s="82">
        <v>6000</v>
      </c>
      <c r="H149" s="82">
        <v>0</v>
      </c>
      <c r="I149" s="82">
        <v>0</v>
      </c>
      <c r="K149" s="83">
        <f t="shared" si="52"/>
        <v>6000</v>
      </c>
      <c r="L149" s="82">
        <v>6000</v>
      </c>
      <c r="M149" s="82"/>
      <c r="N149" s="82"/>
      <c r="O149" s="84"/>
      <c r="P149" s="83">
        <f t="shared" si="53"/>
        <v>0</v>
      </c>
      <c r="Q149" s="82"/>
      <c r="R149" s="82"/>
      <c r="S149" s="82"/>
    </row>
    <row r="150" spans="1:21" ht="12.75" hidden="1" customHeight="1" x14ac:dyDescent="0.25">
      <c r="A150" s="58"/>
      <c r="B150" s="68"/>
      <c r="C150" s="67" t="s">
        <v>142</v>
      </c>
      <c r="D150" s="68"/>
      <c r="F150" s="83"/>
      <c r="G150" s="83"/>
      <c r="H150" s="83"/>
      <c r="I150" s="82"/>
      <c r="K150" s="83"/>
      <c r="L150" s="83"/>
      <c r="M150" s="83"/>
      <c r="N150" s="83"/>
      <c r="O150" s="84"/>
      <c r="P150" s="83"/>
      <c r="Q150" s="83"/>
      <c r="R150" s="83"/>
      <c r="S150" s="83"/>
    </row>
    <row r="151" spans="1:21" hidden="1" x14ac:dyDescent="0.25">
      <c r="A151" s="58"/>
      <c r="B151" s="68"/>
      <c r="C151" s="58"/>
      <c r="D151" s="68" t="s">
        <v>143</v>
      </c>
      <c r="F151" s="83">
        <f>G151+H151+I151</f>
        <v>0</v>
      </c>
      <c r="G151" s="89"/>
      <c r="H151" s="89"/>
      <c r="I151" s="82"/>
      <c r="K151" s="83">
        <f>L151+M151+N151</f>
        <v>0</v>
      </c>
      <c r="L151" s="89"/>
      <c r="M151" s="89"/>
      <c r="N151" s="89"/>
      <c r="O151" s="84"/>
      <c r="P151" s="83">
        <f>Q151+R151+S151</f>
        <v>0</v>
      </c>
      <c r="Q151" s="89"/>
      <c r="R151" s="89"/>
      <c r="S151" s="89"/>
    </row>
    <row r="152" spans="1:21" ht="12.75" customHeight="1" x14ac:dyDescent="0.25">
      <c r="B152" s="68"/>
      <c r="C152" s="67" t="s">
        <v>144</v>
      </c>
      <c r="D152" s="68"/>
      <c r="F152" s="90">
        <f t="shared" ref="F152:I152" si="54">SUM(F144:F151)</f>
        <v>15970830.620000001</v>
      </c>
      <c r="G152" s="90">
        <f t="shared" si="54"/>
        <v>9824027.2300000023</v>
      </c>
      <c r="H152" s="90">
        <f t="shared" si="54"/>
        <v>602064.55999999971</v>
      </c>
      <c r="I152" s="90">
        <f t="shared" si="54"/>
        <v>5544738.830000001</v>
      </c>
      <c r="K152" s="90">
        <f t="shared" ref="K152:N152" si="55">SUM(K144:K151)</f>
        <v>26630544.960000001</v>
      </c>
      <c r="L152" s="90">
        <f t="shared" si="55"/>
        <v>13233085.02</v>
      </c>
      <c r="M152" s="90">
        <f t="shared" si="55"/>
        <v>867919.63</v>
      </c>
      <c r="N152" s="90">
        <f t="shared" si="55"/>
        <v>12529540.310000001</v>
      </c>
      <c r="O152" s="84"/>
      <c r="P152" s="90">
        <f t="shared" ref="P152" si="56">SUM(P144:P151)</f>
        <v>15422851.769999998</v>
      </c>
      <c r="Q152" s="90">
        <f t="shared" ref="Q152:S152" si="57">SUM(Q144:Q151)</f>
        <v>15077170.979999997</v>
      </c>
      <c r="R152" s="90">
        <f t="shared" si="57"/>
        <v>345680.79</v>
      </c>
      <c r="S152" s="90">
        <f t="shared" si="57"/>
        <v>0</v>
      </c>
      <c r="U152" s="59">
        <f>+K152-P152</f>
        <v>11207693.190000003</v>
      </c>
    </row>
    <row r="153" spans="1:21" ht="12.75" customHeight="1" x14ac:dyDescent="0.25">
      <c r="A153" s="67" t="s">
        <v>145</v>
      </c>
      <c r="B153" s="68"/>
      <c r="C153" s="61"/>
      <c r="D153" s="63"/>
      <c r="F153" s="90">
        <f t="shared" ref="F153:I153" si="58">+F25+F54+F107+F141+F152</f>
        <v>1727398835.3099999</v>
      </c>
      <c r="G153" s="90">
        <f t="shared" si="58"/>
        <v>1094973408.2999997</v>
      </c>
      <c r="H153" s="90">
        <f t="shared" si="58"/>
        <v>88379390.609999999</v>
      </c>
      <c r="I153" s="90">
        <f t="shared" si="58"/>
        <v>544046036.40000021</v>
      </c>
      <c r="K153" s="90">
        <f t="shared" ref="K153:N153" si="59">+K25+K54+K107+K141+K152</f>
        <v>1535957858.6299996</v>
      </c>
      <c r="L153" s="90">
        <f t="shared" si="59"/>
        <v>1236800518.2799997</v>
      </c>
      <c r="M153" s="90">
        <f t="shared" si="59"/>
        <v>87373574.180000007</v>
      </c>
      <c r="N153" s="90">
        <f t="shared" si="59"/>
        <v>211783766.16999999</v>
      </c>
      <c r="O153" s="84"/>
      <c r="P153" s="90">
        <f t="shared" ref="P153:S153" si="60">+P25+P54+P107+P141+P152</f>
        <v>1377167407.4999998</v>
      </c>
      <c r="Q153" s="90">
        <f t="shared" si="60"/>
        <v>1207067991.52</v>
      </c>
      <c r="R153" s="90">
        <f t="shared" si="60"/>
        <v>73059710.319999993</v>
      </c>
      <c r="S153" s="90">
        <f t="shared" si="60"/>
        <v>97039705.659999937</v>
      </c>
      <c r="U153" s="59">
        <f>+K153-P153</f>
        <v>158790451.12999988</v>
      </c>
    </row>
    <row r="154" spans="1:21" ht="12.75" customHeight="1" x14ac:dyDescent="0.25">
      <c r="A154" s="67" t="s">
        <v>146</v>
      </c>
      <c r="B154" s="68"/>
      <c r="C154" s="61"/>
      <c r="D154" s="63"/>
      <c r="F154" s="83"/>
      <c r="G154" s="83"/>
      <c r="H154" s="83"/>
      <c r="I154" s="83"/>
      <c r="K154" s="83"/>
      <c r="L154" s="83"/>
      <c r="M154" s="83"/>
      <c r="N154" s="83"/>
      <c r="O154" s="84"/>
      <c r="P154" s="83"/>
      <c r="Q154" s="83"/>
      <c r="R154" s="83"/>
      <c r="S154" s="83"/>
    </row>
    <row r="155" spans="1:21" ht="12.75" hidden="1" customHeight="1" x14ac:dyDescent="0.25">
      <c r="B155" s="67" t="s">
        <v>26</v>
      </c>
      <c r="C155" s="61"/>
      <c r="D155" s="63"/>
      <c r="F155" s="83"/>
      <c r="G155" s="83"/>
      <c r="H155" s="83"/>
      <c r="I155" s="83"/>
      <c r="K155" s="83"/>
      <c r="L155" s="83"/>
      <c r="M155" s="83"/>
      <c r="N155" s="83"/>
      <c r="O155" s="84"/>
      <c r="P155" s="83"/>
      <c r="Q155" s="83"/>
      <c r="R155" s="83"/>
      <c r="S155" s="83"/>
    </row>
    <row r="156" spans="1:21" s="73" customFormat="1" ht="12.75" hidden="1" customHeight="1" x14ac:dyDescent="0.25">
      <c r="A156" s="68"/>
      <c r="B156" s="67"/>
      <c r="C156" s="61" t="s">
        <v>894</v>
      </c>
      <c r="D156" s="63"/>
      <c r="E156" s="69"/>
      <c r="F156" s="83"/>
      <c r="G156" s="83"/>
      <c r="H156" s="83"/>
      <c r="I156" s="83"/>
      <c r="J156" s="69"/>
      <c r="K156" s="83"/>
      <c r="L156" s="83"/>
      <c r="M156" s="83"/>
      <c r="N156" s="83"/>
      <c r="O156" s="88"/>
      <c r="P156" s="83"/>
      <c r="Q156" s="83"/>
      <c r="R156" s="83"/>
      <c r="S156" s="83"/>
    </row>
    <row r="157" spans="1:21" ht="12.75" hidden="1" customHeight="1" x14ac:dyDescent="0.25">
      <c r="B157" s="68"/>
      <c r="C157" s="63"/>
      <c r="D157" s="63" t="s">
        <v>22</v>
      </c>
      <c r="F157" s="83">
        <f>G157+H157+I157</f>
        <v>0</v>
      </c>
      <c r="G157" s="82"/>
      <c r="H157" s="82"/>
      <c r="I157" s="82"/>
      <c r="K157" s="83">
        <f t="shared" ref="K157:K159" si="61">L157+M157+N157</f>
        <v>0</v>
      </c>
      <c r="L157" s="82"/>
      <c r="M157" s="82"/>
      <c r="N157" s="82"/>
      <c r="O157" s="84"/>
      <c r="P157" s="83">
        <f t="shared" ref="P157:P159" si="62">Q157+R157+S157</f>
        <v>0</v>
      </c>
      <c r="Q157" s="82"/>
      <c r="R157" s="82"/>
      <c r="S157" s="82"/>
    </row>
    <row r="158" spans="1:21" ht="12.75" hidden="1" customHeight="1" x14ac:dyDescent="0.25">
      <c r="B158" s="68"/>
      <c r="C158" s="63"/>
      <c r="D158" s="63" t="s">
        <v>23</v>
      </c>
      <c r="F158" s="83">
        <f>G158+H158+I158</f>
        <v>0</v>
      </c>
      <c r="G158" s="82"/>
      <c r="H158" s="82"/>
      <c r="I158" s="82"/>
      <c r="K158" s="83">
        <f t="shared" si="61"/>
        <v>0</v>
      </c>
      <c r="L158" s="82"/>
      <c r="M158" s="82"/>
      <c r="N158" s="82"/>
      <c r="O158" s="84"/>
      <c r="P158" s="83">
        <f t="shared" si="62"/>
        <v>0</v>
      </c>
      <c r="Q158" s="82"/>
      <c r="R158" s="82"/>
      <c r="S158" s="82"/>
    </row>
    <row r="159" spans="1:21" ht="12.75" hidden="1" customHeight="1" x14ac:dyDescent="0.25">
      <c r="B159" s="68"/>
      <c r="C159" s="63"/>
      <c r="D159" s="63" t="s">
        <v>24</v>
      </c>
      <c r="F159" s="83">
        <f>G159+H159+I159</f>
        <v>0</v>
      </c>
      <c r="G159" s="82"/>
      <c r="H159" s="82"/>
      <c r="I159" s="82"/>
      <c r="K159" s="83">
        <f t="shared" si="61"/>
        <v>0</v>
      </c>
      <c r="L159" s="82"/>
      <c r="M159" s="82"/>
      <c r="N159" s="82"/>
      <c r="O159" s="84"/>
      <c r="P159" s="83">
        <f t="shared" si="62"/>
        <v>0</v>
      </c>
      <c r="Q159" s="82"/>
      <c r="R159" s="82"/>
      <c r="S159" s="82"/>
    </row>
    <row r="160" spans="1:21" ht="12.75" hidden="1" customHeight="1" x14ac:dyDescent="0.25">
      <c r="B160" s="68"/>
      <c r="C160" s="61" t="s">
        <v>27</v>
      </c>
      <c r="D160" s="63"/>
      <c r="F160" s="83"/>
      <c r="G160" s="83"/>
      <c r="H160" s="83"/>
      <c r="I160" s="83"/>
      <c r="K160" s="83"/>
      <c r="L160" s="83"/>
      <c r="M160" s="83"/>
      <c r="N160" s="83"/>
      <c r="O160" s="84"/>
      <c r="P160" s="83"/>
      <c r="Q160" s="83"/>
      <c r="R160" s="83"/>
      <c r="S160" s="83"/>
    </row>
    <row r="161" spans="2:19" ht="12.75" hidden="1" customHeight="1" x14ac:dyDescent="0.25">
      <c r="B161" s="68"/>
      <c r="C161" s="63"/>
      <c r="D161" s="63" t="s">
        <v>28</v>
      </c>
      <c r="F161" s="83">
        <f>G161+H161+I161</f>
        <v>0</v>
      </c>
      <c r="G161" s="82"/>
      <c r="H161" s="82"/>
      <c r="I161" s="82"/>
      <c r="K161" s="83">
        <f t="shared" ref="K161:K162" si="63">L161+M161+N161</f>
        <v>0</v>
      </c>
      <c r="L161" s="82"/>
      <c r="M161" s="82"/>
      <c r="N161" s="82"/>
      <c r="O161" s="84"/>
      <c r="P161" s="83">
        <f t="shared" ref="P161:P162" si="64">Q161+R161+S161</f>
        <v>0</v>
      </c>
      <c r="Q161" s="82"/>
      <c r="R161" s="82"/>
      <c r="S161" s="82"/>
    </row>
    <row r="162" spans="2:19" ht="12.75" hidden="1" customHeight="1" x14ac:dyDescent="0.25">
      <c r="B162" s="68"/>
      <c r="C162" s="63"/>
      <c r="D162" s="63" t="s">
        <v>29</v>
      </c>
      <c r="F162" s="83">
        <f>G162+H162+I162</f>
        <v>0</v>
      </c>
      <c r="G162" s="82"/>
      <c r="H162" s="82"/>
      <c r="I162" s="82"/>
      <c r="K162" s="83">
        <f t="shared" si="63"/>
        <v>0</v>
      </c>
      <c r="L162" s="82"/>
      <c r="M162" s="82"/>
      <c r="N162" s="82"/>
      <c r="O162" s="84"/>
      <c r="P162" s="83">
        <f t="shared" si="64"/>
        <v>0</v>
      </c>
      <c r="Q162" s="82"/>
      <c r="R162" s="82"/>
      <c r="S162" s="82"/>
    </row>
    <row r="163" spans="2:19" ht="12.75" hidden="1" customHeight="1" x14ac:dyDescent="0.25">
      <c r="B163" s="68"/>
      <c r="C163" s="61" t="s">
        <v>30</v>
      </c>
      <c r="D163" s="63"/>
      <c r="F163" s="83"/>
      <c r="G163" s="83"/>
      <c r="H163" s="83"/>
      <c r="I163" s="83"/>
      <c r="K163" s="83"/>
      <c r="L163" s="83"/>
      <c r="M163" s="83"/>
      <c r="N163" s="83"/>
      <c r="O163" s="84"/>
      <c r="P163" s="83"/>
      <c r="Q163" s="83"/>
      <c r="R163" s="83"/>
      <c r="S163" s="83"/>
    </row>
    <row r="164" spans="2:19" ht="12.75" hidden="1" customHeight="1" x14ac:dyDescent="0.25">
      <c r="B164" s="68"/>
      <c r="C164" s="63"/>
      <c r="D164" s="63" t="s">
        <v>147</v>
      </c>
      <c r="F164" s="83">
        <f>G164+H164+I164</f>
        <v>0</v>
      </c>
      <c r="G164" s="82"/>
      <c r="H164" s="82"/>
      <c r="I164" s="82"/>
      <c r="K164" s="83">
        <f t="shared" ref="K164:K167" si="65">L164+M164+N164</f>
        <v>0</v>
      </c>
      <c r="L164" s="82"/>
      <c r="M164" s="82"/>
      <c r="N164" s="82"/>
      <c r="O164" s="84"/>
      <c r="P164" s="83">
        <f t="shared" ref="P164:P167" si="66">Q164+R164+S164</f>
        <v>0</v>
      </c>
      <c r="Q164" s="82"/>
      <c r="R164" s="82"/>
      <c r="S164" s="82"/>
    </row>
    <row r="165" spans="2:19" ht="12.75" hidden="1" customHeight="1" x14ac:dyDescent="0.25">
      <c r="B165" s="68"/>
      <c r="C165" s="63"/>
      <c r="D165" s="74" t="s">
        <v>148</v>
      </c>
      <c r="F165" s="83">
        <f>G165+H165+I165</f>
        <v>0</v>
      </c>
      <c r="G165" s="82"/>
      <c r="H165" s="82"/>
      <c r="I165" s="82"/>
      <c r="K165" s="83">
        <f t="shared" si="65"/>
        <v>0</v>
      </c>
      <c r="L165" s="82"/>
      <c r="M165" s="82"/>
      <c r="N165" s="82"/>
      <c r="O165" s="84"/>
      <c r="P165" s="83">
        <f t="shared" si="66"/>
        <v>0</v>
      </c>
      <c r="Q165" s="82"/>
      <c r="R165" s="82"/>
      <c r="S165" s="82"/>
    </row>
    <row r="166" spans="2:19" ht="12.75" hidden="1" customHeight="1" x14ac:dyDescent="0.25">
      <c r="B166" s="68"/>
      <c r="C166" s="63"/>
      <c r="D166" s="63" t="s">
        <v>37</v>
      </c>
      <c r="F166" s="83">
        <f>G166+H166+I166</f>
        <v>0</v>
      </c>
      <c r="G166" s="82"/>
      <c r="H166" s="82"/>
      <c r="I166" s="82"/>
      <c r="K166" s="83">
        <f t="shared" si="65"/>
        <v>0</v>
      </c>
      <c r="L166" s="82"/>
      <c r="M166" s="82"/>
      <c r="N166" s="82"/>
      <c r="O166" s="84"/>
      <c r="P166" s="83">
        <f t="shared" si="66"/>
        <v>0</v>
      </c>
      <c r="Q166" s="82"/>
      <c r="R166" s="82"/>
      <c r="S166" s="82"/>
    </row>
    <row r="167" spans="2:19" ht="12.75" hidden="1" customHeight="1" x14ac:dyDescent="0.25">
      <c r="B167" s="68"/>
      <c r="C167" s="63"/>
      <c r="D167" s="74" t="s">
        <v>149</v>
      </c>
      <c r="F167" s="83">
        <f>G167+H167+I167</f>
        <v>0</v>
      </c>
      <c r="G167" s="82"/>
      <c r="H167" s="82"/>
      <c r="I167" s="82"/>
      <c r="K167" s="83">
        <f t="shared" si="65"/>
        <v>0</v>
      </c>
      <c r="L167" s="82"/>
      <c r="M167" s="82"/>
      <c r="N167" s="82"/>
      <c r="O167" s="84"/>
      <c r="P167" s="83">
        <f t="shared" si="66"/>
        <v>0</v>
      </c>
      <c r="Q167" s="82"/>
      <c r="R167" s="82"/>
      <c r="S167" s="82"/>
    </row>
    <row r="168" spans="2:19" ht="12.75" hidden="1" customHeight="1" x14ac:dyDescent="0.25">
      <c r="B168" s="68"/>
      <c r="C168" s="61" t="s">
        <v>35</v>
      </c>
      <c r="D168" s="63"/>
      <c r="F168" s="83"/>
      <c r="G168" s="83"/>
      <c r="H168" s="83"/>
      <c r="I168" s="83"/>
      <c r="K168" s="83"/>
      <c r="L168" s="83"/>
      <c r="M168" s="83"/>
      <c r="N168" s="83"/>
      <c r="O168" s="84"/>
      <c r="P168" s="83"/>
      <c r="Q168" s="83"/>
      <c r="R168" s="83"/>
      <c r="S168" s="83"/>
    </row>
    <row r="169" spans="2:19" ht="12.75" hidden="1" customHeight="1" x14ac:dyDescent="0.25">
      <c r="B169" s="68"/>
      <c r="C169" s="63"/>
      <c r="D169" s="63" t="s">
        <v>36</v>
      </c>
      <c r="F169" s="83">
        <f>G169+H169+I169</f>
        <v>0</v>
      </c>
      <c r="G169" s="82"/>
      <c r="H169" s="82"/>
      <c r="I169" s="82"/>
      <c r="K169" s="83">
        <f t="shared" ref="K169:K177" si="67">L169+M169+N169</f>
        <v>0</v>
      </c>
      <c r="L169" s="82"/>
      <c r="M169" s="82"/>
      <c r="N169" s="82"/>
      <c r="O169" s="84"/>
      <c r="P169" s="83">
        <f t="shared" ref="P169:P170" si="68">Q169+R169+S169</f>
        <v>0</v>
      </c>
      <c r="Q169" s="82"/>
      <c r="R169" s="82"/>
      <c r="S169" s="82"/>
    </row>
    <row r="170" spans="2:19" ht="12.75" hidden="1" customHeight="1" x14ac:dyDescent="0.25">
      <c r="B170" s="68"/>
      <c r="C170" s="63"/>
      <c r="D170" s="63" t="s">
        <v>150</v>
      </c>
      <c r="F170" s="83">
        <f>G170+H170+I170</f>
        <v>0</v>
      </c>
      <c r="G170" s="82"/>
      <c r="H170" s="82"/>
      <c r="I170" s="82"/>
      <c r="K170" s="83">
        <f t="shared" si="67"/>
        <v>0</v>
      </c>
      <c r="L170" s="82"/>
      <c r="M170" s="82"/>
      <c r="N170" s="82"/>
      <c r="O170" s="84"/>
      <c r="P170" s="83">
        <f t="shared" si="68"/>
        <v>0</v>
      </c>
      <c r="Q170" s="82"/>
      <c r="R170" s="82"/>
      <c r="S170" s="82"/>
    </row>
    <row r="171" spans="2:19" ht="12.75" hidden="1" customHeight="1" x14ac:dyDescent="0.25">
      <c r="B171" s="68"/>
      <c r="C171" s="61" t="s">
        <v>38</v>
      </c>
      <c r="D171" s="63"/>
      <c r="F171" s="83"/>
      <c r="G171" s="83"/>
      <c r="H171" s="83"/>
      <c r="I171" s="83"/>
      <c r="K171" s="83"/>
      <c r="L171" s="83"/>
      <c r="M171" s="83"/>
      <c r="N171" s="83"/>
      <c r="O171" s="84"/>
      <c r="P171" s="83"/>
      <c r="Q171" s="83"/>
      <c r="R171" s="83"/>
      <c r="S171" s="83"/>
    </row>
    <row r="172" spans="2:19" ht="12.75" hidden="1" customHeight="1" x14ac:dyDescent="0.25">
      <c r="B172" s="68"/>
      <c r="C172" s="63"/>
      <c r="D172" s="63" t="s">
        <v>39</v>
      </c>
      <c r="F172" s="83">
        <f t="shared" ref="F172:F177" si="69">G172+H172+I172</f>
        <v>0</v>
      </c>
      <c r="G172" s="82"/>
      <c r="H172" s="82"/>
      <c r="I172" s="82"/>
      <c r="K172" s="83">
        <f t="shared" si="67"/>
        <v>0</v>
      </c>
      <c r="L172" s="82"/>
      <c r="M172" s="82"/>
      <c r="N172" s="82"/>
      <c r="O172" s="84"/>
      <c r="P172" s="83">
        <f t="shared" ref="P172:P177" si="70">Q172+R172+S172</f>
        <v>0</v>
      </c>
      <c r="Q172" s="82"/>
      <c r="R172" s="82"/>
      <c r="S172" s="82"/>
    </row>
    <row r="173" spans="2:19" ht="12.75" hidden="1" customHeight="1" x14ac:dyDescent="0.25">
      <c r="B173" s="68"/>
      <c r="C173" s="63"/>
      <c r="D173" s="74" t="s">
        <v>40</v>
      </c>
      <c r="F173" s="83">
        <f t="shared" si="69"/>
        <v>0</v>
      </c>
      <c r="G173" s="82"/>
      <c r="H173" s="82"/>
      <c r="I173" s="82"/>
      <c r="K173" s="83">
        <f t="shared" si="67"/>
        <v>0</v>
      </c>
      <c r="L173" s="82"/>
      <c r="M173" s="82"/>
      <c r="N173" s="82"/>
      <c r="O173" s="84"/>
      <c r="P173" s="83">
        <f t="shared" si="70"/>
        <v>0</v>
      </c>
      <c r="Q173" s="82"/>
      <c r="R173" s="82"/>
      <c r="S173" s="82"/>
    </row>
    <row r="174" spans="2:19" ht="12.75" hidden="1" customHeight="1" x14ac:dyDescent="0.25">
      <c r="B174" s="68"/>
      <c r="C174" s="63"/>
      <c r="D174" s="63" t="s">
        <v>41</v>
      </c>
      <c r="F174" s="83">
        <f t="shared" si="69"/>
        <v>0</v>
      </c>
      <c r="G174" s="82"/>
      <c r="H174" s="82"/>
      <c r="I174" s="82"/>
      <c r="K174" s="83">
        <f t="shared" si="67"/>
        <v>0</v>
      </c>
      <c r="L174" s="82"/>
      <c r="M174" s="82"/>
      <c r="N174" s="82"/>
      <c r="O174" s="84"/>
      <c r="P174" s="83">
        <f t="shared" si="70"/>
        <v>0</v>
      </c>
      <c r="Q174" s="82"/>
      <c r="R174" s="82"/>
      <c r="S174" s="82"/>
    </row>
    <row r="175" spans="2:19" ht="12.75" hidden="1" customHeight="1" x14ac:dyDescent="0.25">
      <c r="B175" s="68"/>
      <c r="C175" s="63"/>
      <c r="D175" s="74" t="s">
        <v>42</v>
      </c>
      <c r="F175" s="83">
        <f t="shared" si="69"/>
        <v>0</v>
      </c>
      <c r="G175" s="82"/>
      <c r="H175" s="82"/>
      <c r="I175" s="82"/>
      <c r="K175" s="83">
        <f t="shared" si="67"/>
        <v>0</v>
      </c>
      <c r="L175" s="82"/>
      <c r="M175" s="82"/>
      <c r="N175" s="82"/>
      <c r="O175" s="84"/>
      <c r="P175" s="83">
        <f t="shared" si="70"/>
        <v>0</v>
      </c>
      <c r="Q175" s="82"/>
      <c r="R175" s="82"/>
      <c r="S175" s="82"/>
    </row>
    <row r="176" spans="2:19" ht="12.75" hidden="1" customHeight="1" x14ac:dyDescent="0.25">
      <c r="B176" s="68"/>
      <c r="C176" s="63"/>
      <c r="D176" s="63" t="s">
        <v>43</v>
      </c>
      <c r="F176" s="83">
        <f t="shared" si="69"/>
        <v>0</v>
      </c>
      <c r="G176" s="82"/>
      <c r="H176" s="82"/>
      <c r="I176" s="82"/>
      <c r="K176" s="83">
        <f t="shared" si="67"/>
        <v>0</v>
      </c>
      <c r="L176" s="82"/>
      <c r="M176" s="82"/>
      <c r="N176" s="82"/>
      <c r="O176" s="84"/>
      <c r="P176" s="83">
        <f t="shared" si="70"/>
        <v>0</v>
      </c>
      <c r="Q176" s="82"/>
      <c r="R176" s="82"/>
      <c r="S176" s="82"/>
    </row>
    <row r="177" spans="1:19" ht="12.75" hidden="1" customHeight="1" x14ac:dyDescent="0.25">
      <c r="B177" s="68"/>
      <c r="C177" s="63"/>
      <c r="D177" s="74" t="s">
        <v>44</v>
      </c>
      <c r="F177" s="83">
        <f t="shared" si="69"/>
        <v>0</v>
      </c>
      <c r="G177" s="82"/>
      <c r="H177" s="82"/>
      <c r="I177" s="82"/>
      <c r="K177" s="83">
        <f t="shared" si="67"/>
        <v>0</v>
      </c>
      <c r="L177" s="82"/>
      <c r="M177" s="82"/>
      <c r="N177" s="82"/>
      <c r="O177" s="84"/>
      <c r="P177" s="83">
        <f t="shared" si="70"/>
        <v>0</v>
      </c>
      <c r="Q177" s="82"/>
      <c r="R177" s="82"/>
      <c r="S177" s="82"/>
    </row>
    <row r="178" spans="1:19" ht="12.75" hidden="1" customHeight="1" x14ac:dyDescent="0.25">
      <c r="B178" s="68"/>
      <c r="C178" s="61" t="s">
        <v>45</v>
      </c>
      <c r="D178" s="63"/>
      <c r="F178" s="83"/>
      <c r="G178" s="83"/>
      <c r="H178" s="83"/>
      <c r="I178" s="83"/>
      <c r="K178" s="83"/>
      <c r="L178" s="83"/>
      <c r="M178" s="83"/>
      <c r="N178" s="83"/>
      <c r="O178" s="84"/>
      <c r="P178" s="83"/>
      <c r="Q178" s="83"/>
      <c r="R178" s="83"/>
      <c r="S178" s="83"/>
    </row>
    <row r="179" spans="1:19" ht="12.75" hidden="1" customHeight="1" x14ac:dyDescent="0.25">
      <c r="B179" s="68"/>
      <c r="C179" s="63"/>
      <c r="D179" s="63" t="s">
        <v>45</v>
      </c>
      <c r="F179" s="83">
        <f>G179+H179+I179</f>
        <v>0</v>
      </c>
      <c r="G179" s="82"/>
      <c r="H179" s="82"/>
      <c r="I179" s="82"/>
      <c r="K179" s="83">
        <f t="shared" ref="K179:K180" si="71">L179+M179+N179</f>
        <v>0</v>
      </c>
      <c r="L179" s="82"/>
      <c r="M179" s="82"/>
      <c r="N179" s="82"/>
      <c r="O179" s="84"/>
      <c r="P179" s="83">
        <f t="shared" ref="P179:P180" si="72">Q179+R179+S179</f>
        <v>0</v>
      </c>
      <c r="Q179" s="82"/>
      <c r="R179" s="82"/>
      <c r="S179" s="82"/>
    </row>
    <row r="180" spans="1:19" ht="12.75" hidden="1" customHeight="1" x14ac:dyDescent="0.25">
      <c r="B180" s="68"/>
      <c r="C180" s="63"/>
      <c r="D180" s="74" t="s">
        <v>46</v>
      </c>
      <c r="F180" s="83">
        <f>G180+H180+I180</f>
        <v>0</v>
      </c>
      <c r="G180" s="82"/>
      <c r="H180" s="82"/>
      <c r="I180" s="82"/>
      <c r="K180" s="83">
        <f t="shared" si="71"/>
        <v>0</v>
      </c>
      <c r="L180" s="82"/>
      <c r="M180" s="82"/>
      <c r="N180" s="82"/>
      <c r="O180" s="84"/>
      <c r="P180" s="83">
        <f t="shared" si="72"/>
        <v>0</v>
      </c>
      <c r="Q180" s="82"/>
      <c r="R180" s="82"/>
      <c r="S180" s="82"/>
    </row>
    <row r="181" spans="1:19" ht="12.75" hidden="1" customHeight="1" x14ac:dyDescent="0.25">
      <c r="B181" s="68"/>
      <c r="C181" s="61" t="s">
        <v>47</v>
      </c>
      <c r="D181" s="63"/>
      <c r="F181" s="83"/>
      <c r="G181" s="83"/>
      <c r="H181" s="83"/>
      <c r="I181" s="83"/>
      <c r="K181" s="83"/>
      <c r="L181" s="83"/>
      <c r="M181" s="83"/>
      <c r="N181" s="83"/>
      <c r="O181" s="84"/>
      <c r="P181" s="83"/>
      <c r="Q181" s="83"/>
      <c r="R181" s="83"/>
      <c r="S181" s="83"/>
    </row>
    <row r="182" spans="1:19" ht="12.75" hidden="1" customHeight="1" x14ac:dyDescent="0.25">
      <c r="B182" s="68"/>
      <c r="C182" s="63"/>
      <c r="D182" s="63" t="s">
        <v>47</v>
      </c>
      <c r="F182" s="83">
        <f>G182+H182+I182</f>
        <v>0</v>
      </c>
      <c r="G182" s="82"/>
      <c r="H182" s="82"/>
      <c r="I182" s="82"/>
      <c r="K182" s="83">
        <f>L182+M182+N182</f>
        <v>0</v>
      </c>
      <c r="L182" s="82"/>
      <c r="M182" s="82"/>
      <c r="N182" s="82"/>
      <c r="O182" s="84"/>
      <c r="P182" s="83">
        <f>Q182+R182+S182</f>
        <v>0</v>
      </c>
      <c r="Q182" s="82"/>
      <c r="R182" s="82"/>
      <c r="S182" s="82"/>
    </row>
    <row r="183" spans="1:19" ht="12.75" hidden="1" customHeight="1" x14ac:dyDescent="0.25">
      <c r="B183" s="68"/>
      <c r="C183" s="61" t="s">
        <v>48</v>
      </c>
      <c r="D183" s="63"/>
      <c r="F183" s="83">
        <f t="shared" ref="F183:I183" si="73">SUM(F156:F182)</f>
        <v>0</v>
      </c>
      <c r="G183" s="83">
        <f t="shared" si="73"/>
        <v>0</v>
      </c>
      <c r="H183" s="83">
        <f t="shared" si="73"/>
        <v>0</v>
      </c>
      <c r="I183" s="83">
        <f t="shared" si="73"/>
        <v>0</v>
      </c>
      <c r="K183" s="83">
        <f t="shared" ref="K183:N183" si="74">SUM(K156:K182)</f>
        <v>0</v>
      </c>
      <c r="L183" s="83">
        <f t="shared" si="74"/>
        <v>0</v>
      </c>
      <c r="M183" s="83">
        <f t="shared" si="74"/>
        <v>0</v>
      </c>
      <c r="N183" s="83">
        <f t="shared" si="74"/>
        <v>0</v>
      </c>
      <c r="O183" s="84"/>
      <c r="P183" s="83">
        <f t="shared" ref="P183" si="75">SUM(P156:P182)</f>
        <v>0</v>
      </c>
      <c r="Q183" s="83">
        <f t="shared" ref="Q183:S183" si="76">SUM(Q156:Q182)</f>
        <v>0</v>
      </c>
      <c r="R183" s="83">
        <f t="shared" si="76"/>
        <v>0</v>
      </c>
      <c r="S183" s="83">
        <f t="shared" si="76"/>
        <v>0</v>
      </c>
    </row>
    <row r="184" spans="1:19" ht="12.75" customHeight="1" x14ac:dyDescent="0.25">
      <c r="B184" s="67" t="s">
        <v>49</v>
      </c>
      <c r="C184" s="63"/>
      <c r="D184" s="63"/>
      <c r="F184" s="83"/>
      <c r="G184" s="83"/>
      <c r="H184" s="83"/>
      <c r="I184" s="83"/>
      <c r="K184" s="83"/>
      <c r="L184" s="83"/>
      <c r="M184" s="83"/>
      <c r="N184" s="83"/>
      <c r="O184" s="84"/>
      <c r="P184" s="83"/>
      <c r="Q184" s="83"/>
      <c r="R184" s="83"/>
      <c r="S184" s="83"/>
    </row>
    <row r="185" spans="1:19" ht="12.75" hidden="1" customHeight="1" x14ac:dyDescent="0.25">
      <c r="B185" s="68"/>
      <c r="C185" s="61" t="s">
        <v>50</v>
      </c>
      <c r="D185" s="63"/>
      <c r="F185" s="83"/>
      <c r="G185" s="83"/>
      <c r="H185" s="83"/>
      <c r="I185" s="83"/>
      <c r="K185" s="83"/>
      <c r="L185" s="83"/>
      <c r="M185" s="83"/>
      <c r="N185" s="83"/>
      <c r="O185" s="84"/>
      <c r="P185" s="83"/>
      <c r="Q185" s="83"/>
      <c r="R185" s="83"/>
      <c r="S185" s="83"/>
    </row>
    <row r="186" spans="1:19" ht="12.75" hidden="1" customHeight="1" x14ac:dyDescent="0.25">
      <c r="B186" s="68"/>
      <c r="C186" s="63"/>
      <c r="D186" s="63" t="s">
        <v>51</v>
      </c>
      <c r="F186" s="83">
        <f t="shared" ref="F186:F203" si="77">G186+H186+I186</f>
        <v>0</v>
      </c>
      <c r="G186" s="82"/>
      <c r="H186" s="82"/>
      <c r="I186" s="82"/>
      <c r="K186" s="83">
        <f t="shared" ref="K186:K203" si="78">L186+M186+N186</f>
        <v>0</v>
      </c>
      <c r="L186" s="82"/>
      <c r="M186" s="82"/>
      <c r="N186" s="82"/>
      <c r="O186" s="84"/>
      <c r="P186" s="83">
        <f t="shared" ref="P186:P203" si="79">Q186+R186+S186</f>
        <v>0</v>
      </c>
      <c r="Q186" s="82"/>
      <c r="R186" s="82"/>
      <c r="S186" s="82"/>
    </row>
    <row r="187" spans="1:19" ht="12.75" hidden="1" customHeight="1" x14ac:dyDescent="0.25">
      <c r="B187" s="68"/>
      <c r="C187" s="63"/>
      <c r="D187" s="74" t="s">
        <v>52</v>
      </c>
      <c r="F187" s="83">
        <f t="shared" si="77"/>
        <v>0</v>
      </c>
      <c r="G187" s="82"/>
      <c r="H187" s="82"/>
      <c r="I187" s="82"/>
      <c r="K187" s="83">
        <f t="shared" si="78"/>
        <v>0</v>
      </c>
      <c r="L187" s="82"/>
      <c r="M187" s="82"/>
      <c r="N187" s="82"/>
      <c r="O187" s="84"/>
      <c r="P187" s="83">
        <f t="shared" si="79"/>
        <v>0</v>
      </c>
      <c r="Q187" s="82"/>
      <c r="R187" s="82"/>
      <c r="S187" s="82"/>
    </row>
    <row r="188" spans="1:19" ht="12.75" hidden="1" customHeight="1" x14ac:dyDescent="0.25">
      <c r="B188" s="68"/>
      <c r="C188" s="63"/>
      <c r="D188" s="63" t="s">
        <v>53</v>
      </c>
      <c r="F188" s="83">
        <f t="shared" si="77"/>
        <v>0</v>
      </c>
      <c r="G188" s="82"/>
      <c r="H188" s="82"/>
      <c r="I188" s="82"/>
      <c r="K188" s="83">
        <f t="shared" si="78"/>
        <v>0</v>
      </c>
      <c r="L188" s="82"/>
      <c r="M188" s="82"/>
      <c r="N188" s="82"/>
      <c r="O188" s="84"/>
      <c r="P188" s="83">
        <f t="shared" si="79"/>
        <v>0</v>
      </c>
      <c r="Q188" s="82"/>
      <c r="R188" s="82"/>
      <c r="S188" s="82"/>
    </row>
    <row r="189" spans="1:19" ht="12.75" hidden="1" customHeight="1" x14ac:dyDescent="0.25">
      <c r="B189" s="68"/>
      <c r="C189" s="63"/>
      <c r="D189" s="74" t="s">
        <v>54</v>
      </c>
      <c r="F189" s="83">
        <f t="shared" si="77"/>
        <v>0</v>
      </c>
      <c r="G189" s="82"/>
      <c r="H189" s="82"/>
      <c r="I189" s="82"/>
      <c r="K189" s="83">
        <f t="shared" si="78"/>
        <v>0</v>
      </c>
      <c r="L189" s="82"/>
      <c r="M189" s="82"/>
      <c r="N189" s="82"/>
      <c r="O189" s="84"/>
      <c r="P189" s="83">
        <f t="shared" si="79"/>
        <v>0</v>
      </c>
      <c r="Q189" s="82"/>
      <c r="R189" s="82"/>
      <c r="S189" s="82"/>
    </row>
    <row r="190" spans="1:19" ht="12.75" hidden="1" customHeight="1" x14ac:dyDescent="0.25">
      <c r="A190" s="58"/>
      <c r="B190" s="68"/>
      <c r="C190" s="63"/>
      <c r="D190" s="63" t="s">
        <v>55</v>
      </c>
      <c r="F190" s="83">
        <f t="shared" si="77"/>
        <v>0</v>
      </c>
      <c r="G190" s="82"/>
      <c r="H190" s="82"/>
      <c r="I190" s="82"/>
      <c r="K190" s="83">
        <f t="shared" si="78"/>
        <v>0</v>
      </c>
      <c r="L190" s="82"/>
      <c r="M190" s="82"/>
      <c r="N190" s="82"/>
      <c r="O190" s="84"/>
      <c r="P190" s="83">
        <f t="shared" si="79"/>
        <v>0</v>
      </c>
      <c r="Q190" s="82"/>
      <c r="R190" s="82"/>
      <c r="S190" s="82"/>
    </row>
    <row r="191" spans="1:19" ht="12.75" hidden="1" customHeight="1" x14ac:dyDescent="0.25">
      <c r="B191" s="68"/>
      <c r="C191" s="63"/>
      <c r="D191" s="74" t="s">
        <v>56</v>
      </c>
      <c r="F191" s="83">
        <f t="shared" si="77"/>
        <v>0</v>
      </c>
      <c r="G191" s="82"/>
      <c r="H191" s="82"/>
      <c r="I191" s="82"/>
      <c r="K191" s="83">
        <f t="shared" si="78"/>
        <v>0</v>
      </c>
      <c r="L191" s="82"/>
      <c r="M191" s="82"/>
      <c r="N191" s="82"/>
      <c r="O191" s="84"/>
      <c r="P191" s="83">
        <f t="shared" si="79"/>
        <v>0</v>
      </c>
      <c r="Q191" s="82"/>
      <c r="R191" s="82"/>
      <c r="S191" s="82"/>
    </row>
    <row r="192" spans="1:19" ht="12.75" hidden="1" customHeight="1" x14ac:dyDescent="0.25">
      <c r="B192" s="68"/>
      <c r="C192" s="63"/>
      <c r="D192" s="63" t="s">
        <v>57</v>
      </c>
      <c r="F192" s="83">
        <f t="shared" si="77"/>
        <v>0</v>
      </c>
      <c r="G192" s="82"/>
      <c r="H192" s="82"/>
      <c r="I192" s="82"/>
      <c r="K192" s="83">
        <f t="shared" si="78"/>
        <v>0</v>
      </c>
      <c r="L192" s="82"/>
      <c r="M192" s="82"/>
      <c r="N192" s="82"/>
      <c r="O192" s="84"/>
      <c r="P192" s="83">
        <f t="shared" si="79"/>
        <v>0</v>
      </c>
      <c r="Q192" s="82"/>
      <c r="R192" s="82"/>
      <c r="S192" s="82"/>
    </row>
    <row r="193" spans="1:19" ht="12.75" hidden="1" customHeight="1" x14ac:dyDescent="0.25">
      <c r="B193" s="68"/>
      <c r="C193" s="63"/>
      <c r="D193" s="74" t="s">
        <v>58</v>
      </c>
      <c r="F193" s="83">
        <f t="shared" si="77"/>
        <v>0</v>
      </c>
      <c r="G193" s="82"/>
      <c r="H193" s="82"/>
      <c r="I193" s="82"/>
      <c r="K193" s="83">
        <f t="shared" si="78"/>
        <v>0</v>
      </c>
      <c r="L193" s="82"/>
      <c r="M193" s="82"/>
      <c r="N193" s="82"/>
      <c r="O193" s="84"/>
      <c r="P193" s="83">
        <f t="shared" si="79"/>
        <v>0</v>
      </c>
      <c r="Q193" s="82"/>
      <c r="R193" s="82"/>
      <c r="S193" s="82"/>
    </row>
    <row r="194" spans="1:19" ht="12.75" hidden="1" customHeight="1" x14ac:dyDescent="0.25">
      <c r="B194" s="68"/>
      <c r="C194" s="63"/>
      <c r="D194" s="63" t="s">
        <v>59</v>
      </c>
      <c r="F194" s="83">
        <f t="shared" si="77"/>
        <v>0</v>
      </c>
      <c r="G194" s="82"/>
      <c r="H194" s="82"/>
      <c r="I194" s="82"/>
      <c r="K194" s="83">
        <f t="shared" si="78"/>
        <v>0</v>
      </c>
      <c r="L194" s="82"/>
      <c r="M194" s="82"/>
      <c r="N194" s="82"/>
      <c r="O194" s="84"/>
      <c r="P194" s="83">
        <f t="shared" si="79"/>
        <v>0</v>
      </c>
      <c r="Q194" s="82"/>
      <c r="R194" s="82"/>
      <c r="S194" s="82"/>
    </row>
    <row r="195" spans="1:19" ht="12.75" hidden="1" customHeight="1" x14ac:dyDescent="0.25">
      <c r="B195" s="68"/>
      <c r="C195" s="63"/>
      <c r="D195" s="74" t="s">
        <v>60</v>
      </c>
      <c r="F195" s="83">
        <f t="shared" si="77"/>
        <v>0</v>
      </c>
      <c r="G195" s="82"/>
      <c r="H195" s="82"/>
      <c r="I195" s="82"/>
      <c r="K195" s="83">
        <f t="shared" si="78"/>
        <v>0</v>
      </c>
      <c r="L195" s="82"/>
      <c r="M195" s="82"/>
      <c r="N195" s="82"/>
      <c r="O195" s="84"/>
      <c r="P195" s="83">
        <f t="shared" si="79"/>
        <v>0</v>
      </c>
      <c r="Q195" s="82"/>
      <c r="R195" s="82"/>
      <c r="S195" s="82"/>
    </row>
    <row r="196" spans="1:19" ht="12.75" hidden="1" customHeight="1" x14ac:dyDescent="0.25">
      <c r="B196" s="68"/>
      <c r="C196" s="63"/>
      <c r="D196" s="63" t="s">
        <v>61</v>
      </c>
      <c r="F196" s="83">
        <f t="shared" si="77"/>
        <v>0</v>
      </c>
      <c r="G196" s="82"/>
      <c r="H196" s="82"/>
      <c r="I196" s="82"/>
      <c r="K196" s="83">
        <f t="shared" si="78"/>
        <v>0</v>
      </c>
      <c r="L196" s="82"/>
      <c r="M196" s="82"/>
      <c r="N196" s="82"/>
      <c r="O196" s="84"/>
      <c r="P196" s="83">
        <f t="shared" si="79"/>
        <v>0</v>
      </c>
      <c r="Q196" s="82"/>
      <c r="R196" s="82"/>
      <c r="S196" s="82"/>
    </row>
    <row r="197" spans="1:19" ht="12.75" hidden="1" customHeight="1" x14ac:dyDescent="0.25">
      <c r="B197" s="68"/>
      <c r="C197" s="63"/>
      <c r="D197" s="74" t="s">
        <v>62</v>
      </c>
      <c r="F197" s="83">
        <f t="shared" si="77"/>
        <v>0</v>
      </c>
      <c r="G197" s="82"/>
      <c r="H197" s="82"/>
      <c r="I197" s="82"/>
      <c r="K197" s="83">
        <f t="shared" si="78"/>
        <v>0</v>
      </c>
      <c r="L197" s="82"/>
      <c r="M197" s="82"/>
      <c r="N197" s="82"/>
      <c r="O197" s="84"/>
      <c r="P197" s="83">
        <f t="shared" si="79"/>
        <v>0</v>
      </c>
      <c r="Q197" s="82"/>
      <c r="R197" s="82"/>
      <c r="S197" s="82"/>
    </row>
    <row r="198" spans="1:19" ht="12.75" hidden="1" customHeight="1" x14ac:dyDescent="0.25">
      <c r="A198" s="58"/>
      <c r="B198" s="68"/>
      <c r="C198" s="63"/>
      <c r="D198" s="63" t="s">
        <v>63</v>
      </c>
      <c r="F198" s="83">
        <f t="shared" si="77"/>
        <v>0</v>
      </c>
      <c r="G198" s="82"/>
      <c r="H198" s="82"/>
      <c r="I198" s="82"/>
      <c r="K198" s="83">
        <f t="shared" si="78"/>
        <v>0</v>
      </c>
      <c r="L198" s="82"/>
      <c r="M198" s="82"/>
      <c r="N198" s="82"/>
      <c r="O198" s="84"/>
      <c r="P198" s="83">
        <f t="shared" si="79"/>
        <v>0</v>
      </c>
      <c r="Q198" s="82"/>
      <c r="R198" s="82"/>
      <c r="S198" s="82"/>
    </row>
    <row r="199" spans="1:19" ht="12.75" hidden="1" customHeight="1" x14ac:dyDescent="0.25">
      <c r="B199" s="68"/>
      <c r="C199" s="63"/>
      <c r="D199" s="74" t="s">
        <v>64</v>
      </c>
      <c r="F199" s="83">
        <f t="shared" si="77"/>
        <v>0</v>
      </c>
      <c r="G199" s="82"/>
      <c r="H199" s="82"/>
      <c r="I199" s="82"/>
      <c r="K199" s="83">
        <f t="shared" si="78"/>
        <v>0</v>
      </c>
      <c r="L199" s="82"/>
      <c r="M199" s="82"/>
      <c r="N199" s="82"/>
      <c r="O199" s="84"/>
      <c r="P199" s="83">
        <f t="shared" si="79"/>
        <v>0</v>
      </c>
      <c r="Q199" s="82"/>
      <c r="R199" s="82"/>
      <c r="S199" s="82"/>
    </row>
    <row r="200" spans="1:19" ht="12.75" hidden="1" customHeight="1" x14ac:dyDescent="0.25">
      <c r="B200" s="68"/>
      <c r="C200" s="63"/>
      <c r="D200" s="63" t="s">
        <v>65</v>
      </c>
      <c r="F200" s="83">
        <f t="shared" si="77"/>
        <v>0</v>
      </c>
      <c r="G200" s="82"/>
      <c r="H200" s="82"/>
      <c r="I200" s="82"/>
      <c r="K200" s="83">
        <f t="shared" si="78"/>
        <v>0</v>
      </c>
      <c r="L200" s="82"/>
      <c r="M200" s="82"/>
      <c r="N200" s="82"/>
      <c r="O200" s="84"/>
      <c r="P200" s="83">
        <f t="shared" si="79"/>
        <v>0</v>
      </c>
      <c r="Q200" s="82"/>
      <c r="R200" s="82"/>
      <c r="S200" s="82"/>
    </row>
    <row r="201" spans="1:19" ht="12.75" hidden="1" customHeight="1" x14ac:dyDescent="0.25">
      <c r="B201" s="68"/>
      <c r="C201" s="63"/>
      <c r="D201" s="74" t="s">
        <v>66</v>
      </c>
      <c r="F201" s="83">
        <f t="shared" si="77"/>
        <v>0</v>
      </c>
      <c r="G201" s="82"/>
      <c r="H201" s="82"/>
      <c r="I201" s="82"/>
      <c r="K201" s="83">
        <f t="shared" si="78"/>
        <v>0</v>
      </c>
      <c r="L201" s="82"/>
      <c r="M201" s="82"/>
      <c r="N201" s="82"/>
      <c r="O201" s="84"/>
      <c r="P201" s="83">
        <f t="shared" si="79"/>
        <v>0</v>
      </c>
      <c r="Q201" s="82"/>
      <c r="R201" s="82"/>
      <c r="S201" s="82"/>
    </row>
    <row r="202" spans="1:19" ht="12.75" hidden="1" customHeight="1" x14ac:dyDescent="0.25">
      <c r="B202" s="68"/>
      <c r="C202" s="63"/>
      <c r="D202" s="63" t="s">
        <v>67</v>
      </c>
      <c r="F202" s="83">
        <f t="shared" si="77"/>
        <v>0</v>
      </c>
      <c r="G202" s="82"/>
      <c r="H202" s="82"/>
      <c r="I202" s="82"/>
      <c r="K202" s="83">
        <f t="shared" si="78"/>
        <v>0</v>
      </c>
      <c r="L202" s="82"/>
      <c r="M202" s="82"/>
      <c r="N202" s="82"/>
      <c r="O202" s="84"/>
      <c r="P202" s="83">
        <f t="shared" si="79"/>
        <v>0</v>
      </c>
      <c r="Q202" s="82"/>
      <c r="R202" s="82"/>
      <c r="S202" s="82"/>
    </row>
    <row r="203" spans="1:19" ht="12.75" hidden="1" customHeight="1" x14ac:dyDescent="0.25">
      <c r="B203" s="68"/>
      <c r="C203" s="63"/>
      <c r="D203" s="74" t="s">
        <v>68</v>
      </c>
      <c r="F203" s="83">
        <f t="shared" si="77"/>
        <v>0</v>
      </c>
      <c r="G203" s="82"/>
      <c r="H203" s="82"/>
      <c r="I203" s="82"/>
      <c r="K203" s="83">
        <f t="shared" si="78"/>
        <v>0</v>
      </c>
      <c r="L203" s="82"/>
      <c r="M203" s="82"/>
      <c r="N203" s="82"/>
      <c r="O203" s="84"/>
      <c r="P203" s="83">
        <f t="shared" si="79"/>
        <v>0</v>
      </c>
      <c r="Q203" s="82"/>
      <c r="R203" s="82"/>
      <c r="S203" s="82"/>
    </row>
    <row r="204" spans="1:19" ht="12.75" hidden="1" customHeight="1" x14ac:dyDescent="0.25">
      <c r="B204" s="68"/>
      <c r="C204" s="61" t="s">
        <v>69</v>
      </c>
      <c r="D204" s="63"/>
      <c r="F204" s="83"/>
      <c r="G204" s="83"/>
      <c r="H204" s="83"/>
      <c r="I204" s="83"/>
      <c r="K204" s="83"/>
      <c r="L204" s="83"/>
      <c r="M204" s="83"/>
      <c r="N204" s="83"/>
      <c r="O204" s="84"/>
      <c r="P204" s="83"/>
      <c r="Q204" s="83"/>
      <c r="R204" s="83"/>
      <c r="S204" s="83"/>
    </row>
    <row r="205" spans="1:19" ht="12.75" hidden="1" customHeight="1" x14ac:dyDescent="0.25">
      <c r="B205" s="68"/>
      <c r="C205" s="63"/>
      <c r="D205" s="63" t="s">
        <v>70</v>
      </c>
      <c r="F205" s="83">
        <f>G205+H205+I205</f>
        <v>0</v>
      </c>
      <c r="G205" s="82"/>
      <c r="H205" s="82"/>
      <c r="I205" s="82"/>
      <c r="K205" s="83">
        <f t="shared" ref="K205:K208" si="80">L205+M205+N205</f>
        <v>0</v>
      </c>
      <c r="L205" s="82"/>
      <c r="M205" s="82"/>
      <c r="N205" s="82"/>
      <c r="O205" s="84"/>
      <c r="P205" s="83">
        <f t="shared" ref="P205:P208" si="81">Q205+R205+S205</f>
        <v>0</v>
      </c>
      <c r="Q205" s="82"/>
      <c r="R205" s="82"/>
      <c r="S205" s="82"/>
    </row>
    <row r="206" spans="1:19" ht="12.75" hidden="1" customHeight="1" x14ac:dyDescent="0.25">
      <c r="B206" s="68"/>
      <c r="C206" s="63"/>
      <c r="D206" s="74" t="s">
        <v>71</v>
      </c>
      <c r="F206" s="83">
        <f>G206+H206+I206</f>
        <v>0</v>
      </c>
      <c r="G206" s="82"/>
      <c r="H206" s="82"/>
      <c r="I206" s="82"/>
      <c r="K206" s="83">
        <f t="shared" si="80"/>
        <v>0</v>
      </c>
      <c r="L206" s="82"/>
      <c r="M206" s="82"/>
      <c r="N206" s="82"/>
      <c r="O206" s="84"/>
      <c r="P206" s="83">
        <f t="shared" si="81"/>
        <v>0</v>
      </c>
      <c r="Q206" s="82"/>
      <c r="R206" s="82"/>
      <c r="S206" s="82"/>
    </row>
    <row r="207" spans="1:19" ht="12.75" hidden="1" customHeight="1" x14ac:dyDescent="0.25">
      <c r="B207" s="68"/>
      <c r="C207" s="63"/>
      <c r="D207" s="63" t="s">
        <v>72</v>
      </c>
      <c r="F207" s="83">
        <f>G207+H207+I207</f>
        <v>0</v>
      </c>
      <c r="G207" s="82"/>
      <c r="H207" s="82"/>
      <c r="I207" s="82"/>
      <c r="K207" s="83">
        <f t="shared" si="80"/>
        <v>0</v>
      </c>
      <c r="L207" s="82"/>
      <c r="M207" s="82"/>
      <c r="N207" s="82"/>
      <c r="O207" s="84"/>
      <c r="P207" s="83">
        <f t="shared" si="81"/>
        <v>0</v>
      </c>
      <c r="Q207" s="82"/>
      <c r="R207" s="82"/>
      <c r="S207" s="82"/>
    </row>
    <row r="208" spans="1:19" ht="12.75" hidden="1" customHeight="1" x14ac:dyDescent="0.25">
      <c r="B208" s="68"/>
      <c r="C208" s="63"/>
      <c r="D208" s="74" t="s">
        <v>73</v>
      </c>
      <c r="F208" s="83">
        <f>G208+H208+I208</f>
        <v>0</v>
      </c>
      <c r="G208" s="82"/>
      <c r="H208" s="82"/>
      <c r="I208" s="82"/>
      <c r="K208" s="83">
        <f t="shared" si="80"/>
        <v>0</v>
      </c>
      <c r="L208" s="82"/>
      <c r="M208" s="82"/>
      <c r="N208" s="82"/>
      <c r="O208" s="84"/>
      <c r="P208" s="83">
        <f t="shared" si="81"/>
        <v>0</v>
      </c>
      <c r="Q208" s="82"/>
      <c r="R208" s="82"/>
      <c r="S208" s="82"/>
    </row>
    <row r="209" spans="1:19" ht="12.75" hidden="1" customHeight="1" x14ac:dyDescent="0.25">
      <c r="A209" s="58"/>
      <c r="B209" s="68"/>
      <c r="C209" s="61" t="s">
        <v>74</v>
      </c>
      <c r="D209" s="63"/>
      <c r="F209" s="83"/>
      <c r="G209" s="83"/>
      <c r="H209" s="83"/>
      <c r="I209" s="83"/>
      <c r="K209" s="83"/>
      <c r="L209" s="83"/>
      <c r="M209" s="83"/>
      <c r="N209" s="83"/>
      <c r="O209" s="84"/>
      <c r="P209" s="83"/>
      <c r="Q209" s="83"/>
      <c r="R209" s="83"/>
      <c r="S209" s="83"/>
    </row>
    <row r="210" spans="1:19" ht="12.75" hidden="1" customHeight="1" x14ac:dyDescent="0.25">
      <c r="A210" s="58"/>
      <c r="B210" s="68"/>
      <c r="C210" s="63"/>
      <c r="D210" s="63" t="s">
        <v>75</v>
      </c>
      <c r="F210" s="83">
        <f t="shared" ref="F210:F217" si="82">G210+H210+I210</f>
        <v>0</v>
      </c>
      <c r="G210" s="82"/>
      <c r="H210" s="82"/>
      <c r="I210" s="82"/>
      <c r="K210" s="83">
        <f t="shared" ref="K210:K217" si="83">L210+M210+N210</f>
        <v>0</v>
      </c>
      <c r="L210" s="82"/>
      <c r="M210" s="82"/>
      <c r="N210" s="82"/>
      <c r="O210" s="84"/>
      <c r="P210" s="83">
        <f t="shared" ref="P210:P217" si="84">Q210+R210+S210</f>
        <v>0</v>
      </c>
      <c r="Q210" s="82"/>
      <c r="R210" s="82"/>
      <c r="S210" s="82"/>
    </row>
    <row r="211" spans="1:19" ht="12.75" hidden="1" customHeight="1" x14ac:dyDescent="0.25">
      <c r="B211" s="68"/>
      <c r="C211" s="63"/>
      <c r="D211" s="74" t="s">
        <v>76</v>
      </c>
      <c r="F211" s="83">
        <f t="shared" si="82"/>
        <v>0</v>
      </c>
      <c r="G211" s="82"/>
      <c r="H211" s="82"/>
      <c r="I211" s="82"/>
      <c r="K211" s="83">
        <f t="shared" si="83"/>
        <v>0</v>
      </c>
      <c r="L211" s="82"/>
      <c r="M211" s="82"/>
      <c r="N211" s="82"/>
      <c r="O211" s="84"/>
      <c r="P211" s="83">
        <f t="shared" si="84"/>
        <v>0</v>
      </c>
      <c r="Q211" s="82"/>
      <c r="R211" s="82"/>
      <c r="S211" s="82"/>
    </row>
    <row r="212" spans="1:19" ht="12.75" hidden="1" customHeight="1" x14ac:dyDescent="0.25">
      <c r="A212" s="58"/>
      <c r="B212" s="68"/>
      <c r="C212" s="63"/>
      <c r="D212" s="63" t="s">
        <v>77</v>
      </c>
      <c r="F212" s="83">
        <f t="shared" si="82"/>
        <v>0</v>
      </c>
      <c r="G212" s="82"/>
      <c r="H212" s="82"/>
      <c r="I212" s="82"/>
      <c r="K212" s="83">
        <f t="shared" si="83"/>
        <v>0</v>
      </c>
      <c r="L212" s="82"/>
      <c r="M212" s="82"/>
      <c r="N212" s="82"/>
      <c r="O212" s="84"/>
      <c r="P212" s="83">
        <f t="shared" si="84"/>
        <v>0</v>
      </c>
      <c r="Q212" s="82"/>
      <c r="R212" s="82"/>
      <c r="S212" s="82"/>
    </row>
    <row r="213" spans="1:19" ht="12.75" hidden="1" customHeight="1" x14ac:dyDescent="0.25">
      <c r="B213" s="68"/>
      <c r="C213" s="63"/>
      <c r="D213" s="74" t="s">
        <v>78</v>
      </c>
      <c r="F213" s="83">
        <f t="shared" si="82"/>
        <v>0</v>
      </c>
      <c r="G213" s="82"/>
      <c r="H213" s="82"/>
      <c r="I213" s="82"/>
      <c r="K213" s="83">
        <f t="shared" si="83"/>
        <v>0</v>
      </c>
      <c r="L213" s="82"/>
      <c r="M213" s="82"/>
      <c r="N213" s="82"/>
      <c r="O213" s="84"/>
      <c r="P213" s="83">
        <f t="shared" si="84"/>
        <v>0</v>
      </c>
      <c r="Q213" s="82"/>
      <c r="R213" s="82"/>
      <c r="S213" s="82"/>
    </row>
    <row r="214" spans="1:19" ht="12.75" hidden="1" customHeight="1" x14ac:dyDescent="0.25">
      <c r="A214" s="58"/>
      <c r="B214" s="68"/>
      <c r="C214" s="63"/>
      <c r="D214" s="63" t="s">
        <v>79</v>
      </c>
      <c r="F214" s="83">
        <f t="shared" si="82"/>
        <v>0</v>
      </c>
      <c r="G214" s="82"/>
      <c r="H214" s="82"/>
      <c r="I214" s="82"/>
      <c r="K214" s="83">
        <f t="shared" si="83"/>
        <v>0</v>
      </c>
      <c r="L214" s="82"/>
      <c r="M214" s="82"/>
      <c r="N214" s="82"/>
      <c r="O214" s="84"/>
      <c r="P214" s="83">
        <f t="shared" si="84"/>
        <v>0</v>
      </c>
      <c r="Q214" s="82"/>
      <c r="R214" s="82"/>
      <c r="S214" s="82"/>
    </row>
    <row r="215" spans="1:19" ht="12.75" hidden="1" customHeight="1" x14ac:dyDescent="0.25">
      <c r="B215" s="68"/>
      <c r="C215" s="63"/>
      <c r="D215" s="74" t="s">
        <v>80</v>
      </c>
      <c r="F215" s="83">
        <f t="shared" si="82"/>
        <v>0</v>
      </c>
      <c r="G215" s="82"/>
      <c r="H215" s="82"/>
      <c r="I215" s="82"/>
      <c r="K215" s="83">
        <f t="shared" si="83"/>
        <v>0</v>
      </c>
      <c r="L215" s="82"/>
      <c r="M215" s="82"/>
      <c r="N215" s="82"/>
      <c r="O215" s="84"/>
      <c r="P215" s="83">
        <f t="shared" si="84"/>
        <v>0</v>
      </c>
      <c r="Q215" s="82"/>
      <c r="R215" s="82"/>
      <c r="S215" s="82"/>
    </row>
    <row r="216" spans="1:19" ht="12.75" hidden="1" customHeight="1" x14ac:dyDescent="0.25">
      <c r="A216" s="58"/>
      <c r="B216" s="68"/>
      <c r="C216" s="63"/>
      <c r="D216" s="63" t="s">
        <v>81</v>
      </c>
      <c r="F216" s="83">
        <f t="shared" si="82"/>
        <v>0</v>
      </c>
      <c r="G216" s="82"/>
      <c r="H216" s="82"/>
      <c r="I216" s="82"/>
      <c r="K216" s="83">
        <f t="shared" si="83"/>
        <v>0</v>
      </c>
      <c r="L216" s="82"/>
      <c r="M216" s="82"/>
      <c r="N216" s="82"/>
      <c r="O216" s="84"/>
      <c r="P216" s="83">
        <f t="shared" si="84"/>
        <v>0</v>
      </c>
      <c r="Q216" s="82"/>
      <c r="R216" s="82"/>
      <c r="S216" s="82"/>
    </row>
    <row r="217" spans="1:19" ht="12.75" hidden="1" customHeight="1" x14ac:dyDescent="0.25">
      <c r="B217" s="68"/>
      <c r="C217" s="63"/>
      <c r="D217" s="74" t="s">
        <v>82</v>
      </c>
      <c r="F217" s="83">
        <f t="shared" si="82"/>
        <v>0</v>
      </c>
      <c r="G217" s="82"/>
      <c r="H217" s="82"/>
      <c r="I217" s="82"/>
      <c r="K217" s="83">
        <f t="shared" si="83"/>
        <v>0</v>
      </c>
      <c r="L217" s="82"/>
      <c r="M217" s="82"/>
      <c r="N217" s="82"/>
      <c r="O217" s="84"/>
      <c r="P217" s="83">
        <f t="shared" si="84"/>
        <v>0</v>
      </c>
      <c r="Q217" s="82"/>
      <c r="R217" s="82"/>
      <c r="S217" s="82"/>
    </row>
    <row r="218" spans="1:19" ht="12.75" hidden="1" customHeight="1" x14ac:dyDescent="0.25">
      <c r="A218" s="58"/>
      <c r="B218" s="68"/>
      <c r="C218" s="61" t="s">
        <v>83</v>
      </c>
      <c r="D218" s="63"/>
      <c r="F218" s="83"/>
      <c r="G218" s="83"/>
      <c r="H218" s="83"/>
      <c r="I218" s="83"/>
      <c r="K218" s="83"/>
      <c r="L218" s="83"/>
      <c r="M218" s="83"/>
      <c r="N218" s="83"/>
      <c r="O218" s="84"/>
      <c r="P218" s="83"/>
      <c r="Q218" s="83"/>
      <c r="R218" s="83"/>
      <c r="S218" s="83"/>
    </row>
    <row r="219" spans="1:19" ht="12.75" hidden="1" customHeight="1" x14ac:dyDescent="0.25">
      <c r="A219" s="58"/>
      <c r="B219" s="68"/>
      <c r="C219" s="63"/>
      <c r="D219" s="63" t="s">
        <v>84</v>
      </c>
      <c r="F219" s="83">
        <f>G219+H219+I219</f>
        <v>0</v>
      </c>
      <c r="G219" s="82"/>
      <c r="H219" s="82"/>
      <c r="I219" s="82"/>
      <c r="K219" s="83">
        <f t="shared" ref="K219:K221" si="85">L219+M219+N219</f>
        <v>0</v>
      </c>
      <c r="L219" s="82"/>
      <c r="M219" s="82"/>
      <c r="N219" s="82"/>
      <c r="O219" s="84"/>
      <c r="P219" s="83">
        <f t="shared" ref="P219:P221" si="86">Q219+R219+S219</f>
        <v>0</v>
      </c>
      <c r="Q219" s="82"/>
      <c r="R219" s="82"/>
      <c r="S219" s="82"/>
    </row>
    <row r="220" spans="1:19" ht="12.75" hidden="1" customHeight="1" x14ac:dyDescent="0.25">
      <c r="A220" s="58"/>
      <c r="B220" s="68"/>
      <c r="C220" s="63"/>
      <c r="D220" s="63" t="s">
        <v>85</v>
      </c>
      <c r="F220" s="83">
        <f>G220+H220+I220</f>
        <v>0</v>
      </c>
      <c r="G220" s="82"/>
      <c r="H220" s="82"/>
      <c r="I220" s="82"/>
      <c r="K220" s="83">
        <f t="shared" si="85"/>
        <v>0</v>
      </c>
      <c r="L220" s="82"/>
      <c r="M220" s="82"/>
      <c r="N220" s="82"/>
      <c r="O220" s="84"/>
      <c r="P220" s="83">
        <f t="shared" si="86"/>
        <v>0</v>
      </c>
      <c r="Q220" s="82"/>
      <c r="R220" s="82"/>
      <c r="S220" s="82"/>
    </row>
    <row r="221" spans="1:19" ht="12.75" hidden="1" customHeight="1" x14ac:dyDescent="0.25">
      <c r="A221" s="58"/>
      <c r="B221" s="68"/>
      <c r="C221" s="63"/>
      <c r="D221" s="63" t="s">
        <v>86</v>
      </c>
      <c r="F221" s="83">
        <f>G221+H221+I221</f>
        <v>0</v>
      </c>
      <c r="G221" s="82"/>
      <c r="H221" s="82"/>
      <c r="I221" s="82"/>
      <c r="K221" s="83">
        <f t="shared" si="85"/>
        <v>0</v>
      </c>
      <c r="L221" s="82"/>
      <c r="M221" s="82"/>
      <c r="N221" s="82"/>
      <c r="O221" s="84"/>
      <c r="P221" s="83">
        <f t="shared" si="86"/>
        <v>0</v>
      </c>
      <c r="Q221" s="82"/>
      <c r="R221" s="82"/>
      <c r="S221" s="82"/>
    </row>
    <row r="222" spans="1:19" ht="12.75" hidden="1" customHeight="1" x14ac:dyDescent="0.25">
      <c r="A222" s="58"/>
      <c r="B222" s="68"/>
      <c r="C222" s="61" t="s">
        <v>87</v>
      </c>
      <c r="D222" s="63"/>
      <c r="F222" s="83"/>
      <c r="G222" s="83"/>
      <c r="H222" s="83"/>
      <c r="I222" s="83"/>
      <c r="K222" s="83"/>
      <c r="L222" s="83"/>
      <c r="M222" s="83"/>
      <c r="N222" s="83"/>
      <c r="O222" s="84"/>
      <c r="P222" s="83"/>
      <c r="Q222" s="83"/>
      <c r="R222" s="83"/>
      <c r="S222" s="83"/>
    </row>
    <row r="223" spans="1:19" ht="12.75" hidden="1" customHeight="1" x14ac:dyDescent="0.25">
      <c r="A223" s="58"/>
      <c r="B223" s="68"/>
      <c r="C223" s="63"/>
      <c r="D223" s="63" t="s">
        <v>88</v>
      </c>
      <c r="F223" s="83">
        <f>G223+H223+I223</f>
        <v>0</v>
      </c>
      <c r="G223" s="82"/>
      <c r="H223" s="82"/>
      <c r="I223" s="82"/>
      <c r="K223" s="83">
        <f t="shared" ref="K223:K226" si="87">L223+M223+N223</f>
        <v>0</v>
      </c>
      <c r="L223" s="82"/>
      <c r="M223" s="82"/>
      <c r="N223" s="82"/>
      <c r="O223" s="84"/>
      <c r="P223" s="83">
        <f t="shared" ref="P223:P226" si="88">Q223+R223+S223</f>
        <v>0</v>
      </c>
      <c r="Q223" s="82"/>
      <c r="R223" s="82"/>
      <c r="S223" s="82"/>
    </row>
    <row r="224" spans="1:19" ht="12.75" hidden="1" customHeight="1" x14ac:dyDescent="0.25">
      <c r="A224" s="58"/>
      <c r="B224" s="68"/>
      <c r="C224" s="63"/>
      <c r="D224" s="63" t="s">
        <v>89</v>
      </c>
      <c r="F224" s="83">
        <f>G224+H224+I224</f>
        <v>0</v>
      </c>
      <c r="G224" s="82"/>
      <c r="H224" s="82"/>
      <c r="I224" s="82"/>
      <c r="K224" s="83">
        <f t="shared" si="87"/>
        <v>0</v>
      </c>
      <c r="L224" s="82"/>
      <c r="M224" s="82"/>
      <c r="N224" s="82"/>
      <c r="O224" s="84"/>
      <c r="P224" s="83">
        <f t="shared" si="88"/>
        <v>0</v>
      </c>
      <c r="Q224" s="82"/>
      <c r="R224" s="82"/>
      <c r="S224" s="82"/>
    </row>
    <row r="225" spans="1:19" ht="12.75" hidden="1" customHeight="1" x14ac:dyDescent="0.25">
      <c r="A225" s="58"/>
      <c r="B225" s="68"/>
      <c r="C225" s="63"/>
      <c r="D225" s="63" t="s">
        <v>90</v>
      </c>
      <c r="F225" s="83">
        <f>G225+H225+I225</f>
        <v>0</v>
      </c>
      <c r="G225" s="82"/>
      <c r="H225" s="82"/>
      <c r="I225" s="82"/>
      <c r="K225" s="83">
        <f t="shared" si="87"/>
        <v>0</v>
      </c>
      <c r="L225" s="82"/>
      <c r="M225" s="82"/>
      <c r="N225" s="82"/>
      <c r="O225" s="84"/>
      <c r="P225" s="83">
        <f t="shared" si="88"/>
        <v>0</v>
      </c>
      <c r="Q225" s="82"/>
      <c r="R225" s="82"/>
      <c r="S225" s="82"/>
    </row>
    <row r="226" spans="1:19" ht="12.75" hidden="1" customHeight="1" x14ac:dyDescent="0.25">
      <c r="A226" s="58"/>
      <c r="B226" s="68"/>
      <c r="C226" s="63"/>
      <c r="D226" s="63" t="s">
        <v>91</v>
      </c>
      <c r="F226" s="83">
        <f>G226+H226+I226</f>
        <v>0</v>
      </c>
      <c r="G226" s="82"/>
      <c r="H226" s="82"/>
      <c r="I226" s="82"/>
      <c r="K226" s="83">
        <f t="shared" si="87"/>
        <v>0</v>
      </c>
      <c r="L226" s="82"/>
      <c r="M226" s="82"/>
      <c r="N226" s="82"/>
      <c r="O226" s="84"/>
      <c r="P226" s="83">
        <f t="shared" si="88"/>
        <v>0</v>
      </c>
      <c r="Q226" s="82"/>
      <c r="R226" s="82"/>
      <c r="S226" s="82"/>
    </row>
    <row r="227" spans="1:19" ht="12.75" hidden="1" customHeight="1" x14ac:dyDescent="0.25">
      <c r="A227" s="58"/>
      <c r="B227" s="68"/>
      <c r="C227" s="61" t="s">
        <v>92</v>
      </c>
      <c r="D227" s="63"/>
      <c r="F227" s="83"/>
      <c r="G227" s="83"/>
      <c r="H227" s="83"/>
      <c r="I227" s="83"/>
      <c r="K227" s="83"/>
      <c r="L227" s="83"/>
      <c r="M227" s="83"/>
      <c r="N227" s="83"/>
      <c r="O227" s="84"/>
      <c r="P227" s="83"/>
      <c r="Q227" s="83"/>
      <c r="R227" s="83"/>
      <c r="S227" s="83"/>
    </row>
    <row r="228" spans="1:19" ht="12.75" hidden="1" customHeight="1" x14ac:dyDescent="0.25">
      <c r="A228" s="58"/>
      <c r="B228" s="68"/>
      <c r="C228" s="63"/>
      <c r="D228" s="63" t="s">
        <v>93</v>
      </c>
      <c r="F228" s="83">
        <f t="shared" ref="F228:F235" si="89">G228+H228+I228</f>
        <v>0</v>
      </c>
      <c r="G228" s="82"/>
      <c r="H228" s="82"/>
      <c r="I228" s="82"/>
      <c r="K228" s="83">
        <f t="shared" ref="K228:K235" si="90">L228+M228+N228</f>
        <v>0</v>
      </c>
      <c r="L228" s="82"/>
      <c r="M228" s="82"/>
      <c r="N228" s="82"/>
      <c r="O228" s="84"/>
      <c r="P228" s="83">
        <f t="shared" ref="P228:P235" si="91">Q228+R228+S228</f>
        <v>0</v>
      </c>
      <c r="Q228" s="82"/>
      <c r="R228" s="82"/>
      <c r="S228" s="82"/>
    </row>
    <row r="229" spans="1:19" ht="12.75" hidden="1" customHeight="1" x14ac:dyDescent="0.25">
      <c r="B229" s="68"/>
      <c r="C229" s="63"/>
      <c r="D229" s="74" t="s">
        <v>94</v>
      </c>
      <c r="F229" s="83">
        <f t="shared" si="89"/>
        <v>0</v>
      </c>
      <c r="G229" s="82"/>
      <c r="H229" s="82"/>
      <c r="I229" s="82"/>
      <c r="K229" s="83">
        <f t="shared" si="90"/>
        <v>0</v>
      </c>
      <c r="L229" s="82"/>
      <c r="M229" s="82"/>
      <c r="N229" s="82"/>
      <c r="O229" s="84"/>
      <c r="P229" s="83">
        <f t="shared" si="91"/>
        <v>0</v>
      </c>
      <c r="Q229" s="82"/>
      <c r="R229" s="82"/>
      <c r="S229" s="82"/>
    </row>
    <row r="230" spans="1:19" ht="12.75" hidden="1" customHeight="1" x14ac:dyDescent="0.25">
      <c r="A230" s="58"/>
      <c r="B230" s="68"/>
      <c r="C230" s="63"/>
      <c r="D230" s="63" t="s">
        <v>95</v>
      </c>
      <c r="F230" s="83">
        <f t="shared" si="89"/>
        <v>0</v>
      </c>
      <c r="G230" s="82"/>
      <c r="H230" s="82"/>
      <c r="I230" s="82"/>
      <c r="K230" s="83">
        <f t="shared" si="90"/>
        <v>0</v>
      </c>
      <c r="L230" s="82"/>
      <c r="M230" s="82"/>
      <c r="N230" s="82"/>
      <c r="O230" s="84"/>
      <c r="P230" s="83">
        <f t="shared" si="91"/>
        <v>0</v>
      </c>
      <c r="Q230" s="82"/>
      <c r="R230" s="82"/>
      <c r="S230" s="82"/>
    </row>
    <row r="231" spans="1:19" ht="12.75" hidden="1" customHeight="1" x14ac:dyDescent="0.25">
      <c r="B231" s="68"/>
      <c r="C231" s="63"/>
      <c r="D231" s="74" t="s">
        <v>96</v>
      </c>
      <c r="F231" s="83">
        <f t="shared" si="89"/>
        <v>0</v>
      </c>
      <c r="G231" s="82"/>
      <c r="H231" s="82"/>
      <c r="I231" s="82"/>
      <c r="K231" s="83">
        <f t="shared" si="90"/>
        <v>0</v>
      </c>
      <c r="L231" s="82"/>
      <c r="M231" s="82"/>
      <c r="N231" s="82"/>
      <c r="O231" s="84"/>
      <c r="P231" s="83">
        <f t="shared" si="91"/>
        <v>0</v>
      </c>
      <c r="Q231" s="82"/>
      <c r="R231" s="82"/>
      <c r="S231" s="82"/>
    </row>
    <row r="232" spans="1:19" ht="12.75" hidden="1" customHeight="1" x14ac:dyDescent="0.25">
      <c r="A232" s="58"/>
      <c r="B232" s="68"/>
      <c r="C232" s="63"/>
      <c r="D232" s="63" t="s">
        <v>97</v>
      </c>
      <c r="F232" s="83">
        <f t="shared" si="89"/>
        <v>0</v>
      </c>
      <c r="G232" s="82"/>
      <c r="H232" s="82"/>
      <c r="I232" s="82"/>
      <c r="K232" s="83">
        <f t="shared" si="90"/>
        <v>0</v>
      </c>
      <c r="L232" s="82"/>
      <c r="M232" s="82"/>
      <c r="N232" s="82"/>
      <c r="O232" s="84"/>
      <c r="P232" s="83">
        <f t="shared" si="91"/>
        <v>0</v>
      </c>
      <c r="Q232" s="82"/>
      <c r="R232" s="82"/>
      <c r="S232" s="82"/>
    </row>
    <row r="233" spans="1:19" ht="12.75" hidden="1" customHeight="1" x14ac:dyDescent="0.25">
      <c r="B233" s="68"/>
      <c r="C233" s="63"/>
      <c r="D233" s="74" t="s">
        <v>98</v>
      </c>
      <c r="F233" s="83">
        <f t="shared" si="89"/>
        <v>0</v>
      </c>
      <c r="G233" s="82"/>
      <c r="H233" s="82"/>
      <c r="I233" s="82"/>
      <c r="K233" s="83">
        <f t="shared" si="90"/>
        <v>0</v>
      </c>
      <c r="L233" s="82"/>
      <c r="M233" s="82"/>
      <c r="N233" s="82"/>
      <c r="O233" s="84"/>
      <c r="P233" s="83">
        <f t="shared" si="91"/>
        <v>0</v>
      </c>
      <c r="Q233" s="82"/>
      <c r="R233" s="82"/>
      <c r="S233" s="82"/>
    </row>
    <row r="234" spans="1:19" ht="12.75" hidden="1" customHeight="1" x14ac:dyDescent="0.25">
      <c r="A234" s="58"/>
      <c r="B234" s="68"/>
      <c r="C234" s="63"/>
      <c r="D234" s="63" t="s">
        <v>92</v>
      </c>
      <c r="F234" s="83">
        <f t="shared" si="89"/>
        <v>0</v>
      </c>
      <c r="G234" s="82"/>
      <c r="H234" s="82"/>
      <c r="I234" s="82"/>
      <c r="K234" s="83">
        <f t="shared" si="90"/>
        <v>0</v>
      </c>
      <c r="L234" s="82"/>
      <c r="M234" s="82"/>
      <c r="N234" s="82"/>
      <c r="O234" s="84"/>
      <c r="P234" s="83">
        <f t="shared" si="91"/>
        <v>0</v>
      </c>
      <c r="Q234" s="82"/>
      <c r="R234" s="82"/>
      <c r="S234" s="82"/>
    </row>
    <row r="235" spans="1:19" ht="12.75" hidden="1" customHeight="1" x14ac:dyDescent="0.25">
      <c r="B235" s="68"/>
      <c r="C235" s="63"/>
      <c r="D235" s="74" t="s">
        <v>99</v>
      </c>
      <c r="F235" s="83">
        <f t="shared" si="89"/>
        <v>0</v>
      </c>
      <c r="G235" s="82"/>
      <c r="H235" s="82"/>
      <c r="I235" s="82"/>
      <c r="K235" s="83">
        <f t="shared" si="90"/>
        <v>0</v>
      </c>
      <c r="L235" s="82"/>
      <c r="M235" s="82"/>
      <c r="N235" s="82"/>
      <c r="O235" s="84"/>
      <c r="P235" s="83">
        <f t="shared" si="91"/>
        <v>0</v>
      </c>
      <c r="Q235" s="82"/>
      <c r="R235" s="82"/>
      <c r="S235" s="82"/>
    </row>
    <row r="236" spans="1:19" ht="12.75" hidden="1" customHeight="1" x14ac:dyDescent="0.25">
      <c r="A236" s="58"/>
      <c r="B236" s="68"/>
      <c r="C236" s="61" t="s">
        <v>100</v>
      </c>
      <c r="D236" s="63"/>
      <c r="F236" s="83">
        <f t="shared" ref="F236:I236" si="92">SUM(F186:F235)</f>
        <v>0</v>
      </c>
      <c r="G236" s="83">
        <f t="shared" si="92"/>
        <v>0</v>
      </c>
      <c r="H236" s="83">
        <f t="shared" si="92"/>
        <v>0</v>
      </c>
      <c r="I236" s="83">
        <f t="shared" si="92"/>
        <v>0</v>
      </c>
      <c r="K236" s="83">
        <f t="shared" ref="K236:N236" si="93">SUM(K186:K235)</f>
        <v>0</v>
      </c>
      <c r="L236" s="83">
        <f t="shared" si="93"/>
        <v>0</v>
      </c>
      <c r="M236" s="83">
        <f t="shared" si="93"/>
        <v>0</v>
      </c>
      <c r="N236" s="83">
        <f t="shared" si="93"/>
        <v>0</v>
      </c>
      <c r="O236" s="84"/>
      <c r="P236" s="83">
        <f t="shared" ref="P236:S236" si="94">SUM(P186:P235)</f>
        <v>0</v>
      </c>
      <c r="Q236" s="83">
        <f t="shared" si="94"/>
        <v>0</v>
      </c>
      <c r="R236" s="83">
        <f t="shared" si="94"/>
        <v>0</v>
      </c>
      <c r="S236" s="83">
        <f t="shared" si="94"/>
        <v>0</v>
      </c>
    </row>
    <row r="237" spans="1:19" ht="12.75" customHeight="1" x14ac:dyDescent="0.25">
      <c r="B237" s="67" t="s">
        <v>151</v>
      </c>
      <c r="C237" s="63"/>
      <c r="D237" s="63"/>
      <c r="F237" s="83"/>
      <c r="G237" s="83"/>
      <c r="H237" s="83"/>
      <c r="I237" s="83"/>
      <c r="K237" s="83"/>
      <c r="L237" s="83"/>
      <c r="M237" s="83"/>
      <c r="N237" s="83"/>
      <c r="O237" s="84"/>
      <c r="P237" s="83"/>
      <c r="Q237" s="83"/>
      <c r="R237" s="83"/>
      <c r="S237" s="83"/>
    </row>
    <row r="238" spans="1:19" ht="12.75" customHeight="1" x14ac:dyDescent="0.25">
      <c r="A238" s="58"/>
      <c r="B238" s="68"/>
      <c r="C238" s="61" t="s">
        <v>152</v>
      </c>
      <c r="D238" s="63"/>
      <c r="F238" s="83"/>
      <c r="G238" s="83"/>
      <c r="H238" s="83"/>
      <c r="I238" s="83"/>
      <c r="K238" s="83"/>
      <c r="L238" s="83"/>
      <c r="M238" s="83"/>
      <c r="N238" s="83"/>
      <c r="O238" s="84"/>
      <c r="P238" s="83"/>
      <c r="Q238" s="83"/>
      <c r="R238" s="83"/>
      <c r="S238" s="83"/>
    </row>
    <row r="239" spans="1:19" ht="12.75" hidden="1" customHeight="1" x14ac:dyDescent="0.25">
      <c r="B239" s="68"/>
      <c r="C239" s="75"/>
      <c r="D239" s="63" t="s">
        <v>153</v>
      </c>
      <c r="F239" s="83">
        <f t="shared" ref="F239:F244" si="95">G239+H239+I239</f>
        <v>0</v>
      </c>
      <c r="G239" s="82"/>
      <c r="H239" s="82"/>
      <c r="I239" s="82"/>
      <c r="K239" s="83">
        <f t="shared" ref="K239:K244" si="96">L239+M239+N239</f>
        <v>0</v>
      </c>
      <c r="L239" s="82"/>
      <c r="M239" s="82"/>
      <c r="N239" s="82"/>
      <c r="O239" s="84"/>
      <c r="P239" s="83">
        <f t="shared" ref="P239:P244" si="97">Q239+R239+S239</f>
        <v>0</v>
      </c>
      <c r="Q239" s="82"/>
      <c r="R239" s="82"/>
      <c r="S239" s="82"/>
    </row>
    <row r="240" spans="1:19" ht="12.75" hidden="1" customHeight="1" x14ac:dyDescent="0.25">
      <c r="B240" s="68"/>
      <c r="C240" s="63"/>
      <c r="D240" s="74" t="s">
        <v>154</v>
      </c>
      <c r="F240" s="83">
        <f t="shared" si="95"/>
        <v>0</v>
      </c>
      <c r="G240" s="82"/>
      <c r="H240" s="82"/>
      <c r="I240" s="82"/>
      <c r="K240" s="83">
        <f t="shared" si="96"/>
        <v>0</v>
      </c>
      <c r="L240" s="82"/>
      <c r="M240" s="82"/>
      <c r="N240" s="82"/>
      <c r="O240" s="84"/>
      <c r="P240" s="83">
        <f t="shared" si="97"/>
        <v>0</v>
      </c>
      <c r="Q240" s="82"/>
      <c r="R240" s="82"/>
      <c r="S240" s="82"/>
    </row>
    <row r="241" spans="1:21" ht="12.75" customHeight="1" x14ac:dyDescent="0.25">
      <c r="B241" s="68"/>
      <c r="C241" s="75"/>
      <c r="D241" s="63" t="s">
        <v>155</v>
      </c>
      <c r="F241" s="83">
        <f t="shared" si="95"/>
        <v>29626667.399999999</v>
      </c>
      <c r="G241" s="82">
        <f>'[1]Fincl Position_post COA Audit'!$V$81</f>
        <v>29626667.399999999</v>
      </c>
      <c r="H241" s="82">
        <f>'[1]Fincl Position_post COA Audit'!$X$81</f>
        <v>0</v>
      </c>
      <c r="I241" s="82">
        <v>0</v>
      </c>
      <c r="K241" s="83">
        <f t="shared" si="96"/>
        <v>29626667.399999999</v>
      </c>
      <c r="L241" s="82">
        <v>29626667.399999999</v>
      </c>
      <c r="M241" s="82">
        <v>0</v>
      </c>
      <c r="N241" s="82">
        <v>0</v>
      </c>
      <c r="O241" s="84"/>
      <c r="P241" s="83">
        <f t="shared" si="97"/>
        <v>0</v>
      </c>
      <c r="Q241" s="82">
        <v>0</v>
      </c>
      <c r="R241" s="82">
        <v>0</v>
      </c>
      <c r="S241" s="82">
        <v>0</v>
      </c>
    </row>
    <row r="242" spans="1:21" ht="12.75" customHeight="1" x14ac:dyDescent="0.25">
      <c r="B242" s="68"/>
      <c r="C242" s="63"/>
      <c r="D242" s="74" t="s">
        <v>156</v>
      </c>
      <c r="F242" s="83">
        <f t="shared" si="95"/>
        <v>-7219808.1000000006</v>
      </c>
      <c r="G242" s="82">
        <f>'[1]Fincl Position_post COA Audit'!$V$82</f>
        <v>-7219808.1000000006</v>
      </c>
      <c r="H242" s="82">
        <f>'[1]Fincl Position_post COA Audit'!$X$82</f>
        <v>0</v>
      </c>
      <c r="I242" s="82">
        <v>0</v>
      </c>
      <c r="K242" s="83">
        <f t="shared" si="96"/>
        <v>-6245161.0200000005</v>
      </c>
      <c r="L242" s="82">
        <v>-6245161.0200000005</v>
      </c>
      <c r="M242" s="82">
        <v>0</v>
      </c>
      <c r="N242" s="82">
        <v>0</v>
      </c>
      <c r="O242" s="84"/>
      <c r="P242" s="83">
        <f t="shared" si="97"/>
        <v>0</v>
      </c>
      <c r="Q242" s="82">
        <v>0</v>
      </c>
      <c r="R242" s="82">
        <v>0</v>
      </c>
      <c r="S242" s="82">
        <v>0</v>
      </c>
    </row>
    <row r="243" spans="1:21" ht="12.75" hidden="1" customHeight="1" x14ac:dyDescent="0.25">
      <c r="B243" s="68"/>
      <c r="C243" s="63"/>
      <c r="D243" s="74" t="s">
        <v>157</v>
      </c>
      <c r="F243" s="83">
        <f t="shared" si="95"/>
        <v>0</v>
      </c>
      <c r="G243" s="82"/>
      <c r="H243" s="82"/>
      <c r="I243" s="82"/>
      <c r="K243" s="83">
        <f t="shared" si="96"/>
        <v>0</v>
      </c>
      <c r="L243" s="82"/>
      <c r="M243" s="82"/>
      <c r="N243" s="82"/>
      <c r="O243" s="84"/>
      <c r="P243" s="83">
        <f t="shared" si="97"/>
        <v>0</v>
      </c>
      <c r="Q243" s="82"/>
      <c r="R243" s="82"/>
      <c r="S243" s="82"/>
    </row>
    <row r="244" spans="1:21" ht="12.75" hidden="1" customHeight="1" x14ac:dyDescent="0.25">
      <c r="B244" s="68"/>
      <c r="C244" s="75"/>
      <c r="D244" s="63" t="s">
        <v>158</v>
      </c>
      <c r="F244" s="83">
        <f t="shared" si="95"/>
        <v>0</v>
      </c>
      <c r="G244" s="82"/>
      <c r="H244" s="82"/>
      <c r="I244" s="82"/>
      <c r="K244" s="83">
        <f t="shared" si="96"/>
        <v>0</v>
      </c>
      <c r="L244" s="82"/>
      <c r="M244" s="82"/>
      <c r="N244" s="82"/>
      <c r="O244" s="84"/>
      <c r="P244" s="83">
        <f t="shared" si="97"/>
        <v>0</v>
      </c>
      <c r="Q244" s="82"/>
      <c r="R244" s="82"/>
      <c r="S244" s="82"/>
    </row>
    <row r="245" spans="1:21" ht="12.75" customHeight="1" x14ac:dyDescent="0.25">
      <c r="B245" s="67"/>
      <c r="C245" s="61" t="s">
        <v>159</v>
      </c>
      <c r="D245" s="63"/>
      <c r="F245" s="90">
        <f t="shared" ref="F245:I245" si="98">SUM(F239:F244)</f>
        <v>22406859.299999997</v>
      </c>
      <c r="G245" s="90">
        <f t="shared" si="98"/>
        <v>22406859.299999997</v>
      </c>
      <c r="H245" s="90">
        <f t="shared" si="98"/>
        <v>0</v>
      </c>
      <c r="I245" s="90">
        <f t="shared" si="98"/>
        <v>0</v>
      </c>
      <c r="K245" s="90">
        <f t="shared" ref="K245:N245" si="99">SUM(K239:K244)</f>
        <v>23381506.379999999</v>
      </c>
      <c r="L245" s="90">
        <f t="shared" si="99"/>
        <v>23381506.379999999</v>
      </c>
      <c r="M245" s="90">
        <f t="shared" si="99"/>
        <v>0</v>
      </c>
      <c r="N245" s="90">
        <f t="shared" si="99"/>
        <v>0</v>
      </c>
      <c r="O245" s="84"/>
      <c r="P245" s="83">
        <f t="shared" ref="P245:S245" si="100">SUM(P239:P244)</f>
        <v>0</v>
      </c>
      <c r="Q245" s="83">
        <f t="shared" si="100"/>
        <v>0</v>
      </c>
      <c r="R245" s="83">
        <f t="shared" si="100"/>
        <v>0</v>
      </c>
      <c r="S245" s="83">
        <f t="shared" si="100"/>
        <v>0</v>
      </c>
      <c r="U245" s="59">
        <f>+K245-P245</f>
        <v>23381506.379999999</v>
      </c>
    </row>
    <row r="246" spans="1:21" ht="12.75" customHeight="1" x14ac:dyDescent="0.25">
      <c r="A246" s="58"/>
      <c r="B246" s="67" t="s">
        <v>160</v>
      </c>
      <c r="C246" s="63"/>
      <c r="D246" s="63"/>
      <c r="F246" s="83"/>
      <c r="G246" s="83"/>
      <c r="H246" s="83"/>
      <c r="I246" s="83"/>
      <c r="K246" s="83"/>
      <c r="L246" s="83"/>
      <c r="M246" s="83"/>
      <c r="N246" s="83"/>
      <c r="O246" s="84"/>
      <c r="P246" s="83"/>
      <c r="Q246" s="83"/>
      <c r="R246" s="83"/>
      <c r="S246" s="83"/>
    </row>
    <row r="247" spans="1:21" ht="12.75" customHeight="1" x14ac:dyDescent="0.25">
      <c r="A247" s="58"/>
      <c r="B247" s="67"/>
      <c r="C247" s="61" t="s">
        <v>161</v>
      </c>
      <c r="D247" s="63"/>
      <c r="F247" s="83"/>
      <c r="G247" s="82"/>
      <c r="H247" s="83"/>
      <c r="I247" s="83"/>
      <c r="K247" s="83"/>
      <c r="L247" s="83"/>
      <c r="M247" s="83"/>
      <c r="N247" s="83"/>
      <c r="O247" s="84"/>
      <c r="P247" s="83"/>
      <c r="Q247" s="83"/>
      <c r="R247" s="83"/>
      <c r="S247" s="83"/>
    </row>
    <row r="248" spans="1:21" ht="12.75" customHeight="1" x14ac:dyDescent="0.25">
      <c r="A248" s="58"/>
      <c r="B248" s="68"/>
      <c r="C248" s="63"/>
      <c r="D248" s="63" t="s">
        <v>161</v>
      </c>
      <c r="F248" s="83">
        <f>G248+H248+I248</f>
        <v>125923109.31999999</v>
      </c>
      <c r="G248" s="82">
        <v>123889952.47</v>
      </c>
      <c r="H248" s="82">
        <v>2033156.8499999999</v>
      </c>
      <c r="I248" s="82">
        <v>0</v>
      </c>
      <c r="K248" s="83">
        <f t="shared" ref="K248:K249" si="101">L248+M248+N248</f>
        <v>99758439.319999993</v>
      </c>
      <c r="L248" s="82">
        <v>97725282.469999999</v>
      </c>
      <c r="M248" s="82">
        <v>2033156.8499999999</v>
      </c>
      <c r="N248" s="82">
        <v>0</v>
      </c>
      <c r="O248" s="84"/>
      <c r="P248" s="83">
        <f t="shared" ref="P248:P249" si="102">Q248+R248+S248</f>
        <v>81756039.319999993</v>
      </c>
      <c r="Q248" s="82">
        <v>79722882.469999999</v>
      </c>
      <c r="R248" s="82">
        <v>2033156.8499999999</v>
      </c>
      <c r="S248" s="82">
        <v>0</v>
      </c>
    </row>
    <row r="249" spans="1:21" ht="12.75" hidden="1" customHeight="1" x14ac:dyDescent="0.25">
      <c r="A249" s="58"/>
      <c r="B249" s="68"/>
      <c r="C249" s="63"/>
      <c r="D249" s="74" t="s">
        <v>162</v>
      </c>
      <c r="F249" s="83">
        <f>G249+H249+I249</f>
        <v>0</v>
      </c>
      <c r="G249" s="82"/>
      <c r="H249" s="82"/>
      <c r="I249" s="82"/>
      <c r="K249" s="83">
        <f t="shared" si="101"/>
        <v>0</v>
      </c>
      <c r="L249" s="82"/>
      <c r="M249" s="82"/>
      <c r="N249" s="82"/>
      <c r="O249" s="84"/>
      <c r="P249" s="83">
        <f t="shared" si="102"/>
        <v>0</v>
      </c>
      <c r="Q249" s="82"/>
      <c r="R249" s="82"/>
      <c r="S249" s="82"/>
    </row>
    <row r="250" spans="1:21" ht="12.75" hidden="1" customHeight="1" x14ac:dyDescent="0.25">
      <c r="A250" s="58"/>
      <c r="B250" s="67"/>
      <c r="C250" s="61" t="s">
        <v>163</v>
      </c>
      <c r="D250" s="63"/>
      <c r="F250" s="83"/>
      <c r="G250" s="82"/>
      <c r="H250" s="83"/>
      <c r="I250" s="82"/>
      <c r="K250" s="83"/>
      <c r="L250" s="83"/>
      <c r="M250" s="83"/>
      <c r="N250" s="83"/>
      <c r="O250" s="84"/>
      <c r="P250" s="83"/>
      <c r="Q250" s="83"/>
      <c r="R250" s="83"/>
      <c r="S250" s="83"/>
    </row>
    <row r="251" spans="1:21" ht="12.75" hidden="1" customHeight="1" x14ac:dyDescent="0.25">
      <c r="A251" s="58"/>
      <c r="B251" s="68"/>
      <c r="C251" s="67"/>
      <c r="D251" s="68" t="s">
        <v>164</v>
      </c>
      <c r="F251" s="83">
        <f t="shared" ref="F251:F256" si="103">G251+H251+I251</f>
        <v>0</v>
      </c>
      <c r="G251" s="82"/>
      <c r="H251" s="82"/>
      <c r="I251" s="82"/>
      <c r="K251" s="83">
        <f t="shared" ref="K251:K262" si="104">L251+M251+N251</f>
        <v>0</v>
      </c>
      <c r="L251" s="82"/>
      <c r="M251" s="82"/>
      <c r="N251" s="82"/>
      <c r="O251" s="84"/>
      <c r="P251" s="83">
        <f t="shared" ref="P251:P256" si="105">Q251+R251+S251</f>
        <v>0</v>
      </c>
      <c r="Q251" s="82"/>
      <c r="R251" s="82"/>
      <c r="S251" s="82"/>
    </row>
    <row r="252" spans="1:21" ht="12.75" hidden="1" customHeight="1" x14ac:dyDescent="0.25">
      <c r="B252" s="68"/>
      <c r="C252" s="68"/>
      <c r="D252" s="72" t="s">
        <v>165</v>
      </c>
      <c r="F252" s="83">
        <f t="shared" si="103"/>
        <v>0</v>
      </c>
      <c r="G252" s="82"/>
      <c r="H252" s="82"/>
      <c r="I252" s="82"/>
      <c r="K252" s="83">
        <f t="shared" si="104"/>
        <v>0</v>
      </c>
      <c r="L252" s="82"/>
      <c r="M252" s="82"/>
      <c r="N252" s="82"/>
      <c r="O252" s="84"/>
      <c r="P252" s="83">
        <f t="shared" si="105"/>
        <v>0</v>
      </c>
      <c r="Q252" s="82"/>
      <c r="R252" s="82"/>
      <c r="S252" s="82"/>
    </row>
    <row r="253" spans="1:21" ht="12.75" hidden="1" customHeight="1" x14ac:dyDescent="0.25">
      <c r="B253" s="68"/>
      <c r="C253" s="68"/>
      <c r="D253" s="72" t="s">
        <v>166</v>
      </c>
      <c r="F253" s="83">
        <f t="shared" si="103"/>
        <v>0</v>
      </c>
      <c r="G253" s="82"/>
      <c r="H253" s="82"/>
      <c r="I253" s="82"/>
      <c r="K253" s="83">
        <f t="shared" si="104"/>
        <v>0</v>
      </c>
      <c r="L253" s="82"/>
      <c r="M253" s="82"/>
      <c r="N253" s="82"/>
      <c r="O253" s="84"/>
      <c r="P253" s="83">
        <f t="shared" si="105"/>
        <v>0</v>
      </c>
      <c r="Q253" s="82"/>
      <c r="R253" s="82"/>
      <c r="S253" s="82"/>
    </row>
    <row r="254" spans="1:21" ht="12.75" customHeight="1" x14ac:dyDescent="0.25">
      <c r="A254" s="58"/>
      <c r="B254" s="68"/>
      <c r="C254" s="67"/>
      <c r="D254" s="68" t="s">
        <v>167</v>
      </c>
      <c r="F254" s="83">
        <f t="shared" si="103"/>
        <v>34216091.980000004</v>
      </c>
      <c r="G254" s="82">
        <v>22081397.740000002</v>
      </c>
      <c r="H254" s="82">
        <v>12134694.239999998</v>
      </c>
      <c r="I254" s="82">
        <v>0</v>
      </c>
      <c r="K254" s="83">
        <f t="shared" si="104"/>
        <v>24833708.380000003</v>
      </c>
      <c r="L254" s="82">
        <v>19086956.060000002</v>
      </c>
      <c r="M254" s="82">
        <v>5746752.3200000003</v>
      </c>
      <c r="N254" s="82">
        <v>0</v>
      </c>
      <c r="O254" s="84"/>
      <c r="P254" s="83">
        <f t="shared" si="105"/>
        <v>24833708.380000003</v>
      </c>
      <c r="Q254" s="82">
        <v>19086956.060000002</v>
      </c>
      <c r="R254" s="82">
        <v>5746752.3200000003</v>
      </c>
      <c r="S254" s="82">
        <v>0</v>
      </c>
    </row>
    <row r="255" spans="1:21" ht="25.5" customHeight="1" x14ac:dyDescent="0.25">
      <c r="B255" s="68"/>
      <c r="C255" s="68"/>
      <c r="D255" s="607" t="s">
        <v>168</v>
      </c>
      <c r="E255" s="607"/>
      <c r="F255" s="83">
        <f t="shared" si="103"/>
        <v>-11214771.990000002</v>
      </c>
      <c r="G255" s="82">
        <v>-9157486.4000000022</v>
      </c>
      <c r="H255" s="82">
        <v>-2057285.5899999999</v>
      </c>
      <c r="I255" s="82">
        <v>0</v>
      </c>
      <c r="J255" s="359"/>
      <c r="K255" s="83">
        <f t="shared" si="104"/>
        <v>-8153655.9800000014</v>
      </c>
      <c r="L255" s="82">
        <v>-7207713.3900000015</v>
      </c>
      <c r="M255" s="82">
        <v>-945942.59</v>
      </c>
      <c r="N255" s="82">
        <v>0</v>
      </c>
      <c r="O255" s="84"/>
      <c r="P255" s="83">
        <f t="shared" si="105"/>
        <v>-5980070.0199999996</v>
      </c>
      <c r="Q255" s="82">
        <v>-5797364.7599999998</v>
      </c>
      <c r="R255" s="82">
        <v>-182705.26</v>
      </c>
      <c r="S255" s="82">
        <v>0</v>
      </c>
    </row>
    <row r="256" spans="1:21" ht="12.75" hidden="1" customHeight="1" x14ac:dyDescent="0.25">
      <c r="B256" s="68"/>
      <c r="C256" s="68"/>
      <c r="D256" s="72" t="s">
        <v>169</v>
      </c>
      <c r="F256" s="83">
        <f t="shared" si="103"/>
        <v>0</v>
      </c>
      <c r="G256" s="82"/>
      <c r="H256" s="82"/>
      <c r="I256" s="82"/>
      <c r="K256" s="83">
        <f t="shared" si="104"/>
        <v>0</v>
      </c>
      <c r="L256" s="82"/>
      <c r="M256" s="82"/>
      <c r="N256" s="82"/>
      <c r="O256" s="84"/>
      <c r="P256" s="83">
        <f t="shared" si="105"/>
        <v>0</v>
      </c>
      <c r="Q256" s="82"/>
      <c r="R256" s="82"/>
      <c r="S256" s="82"/>
    </row>
    <row r="257" spans="1:19" ht="12.75" customHeight="1" x14ac:dyDescent="0.25">
      <c r="A257" s="58"/>
      <c r="B257" s="67"/>
      <c r="C257" s="67" t="s">
        <v>170</v>
      </c>
      <c r="D257" s="68"/>
      <c r="F257" s="83"/>
      <c r="G257" s="82"/>
      <c r="H257" s="82"/>
      <c r="I257" s="82"/>
      <c r="K257" s="83">
        <f t="shared" si="104"/>
        <v>0</v>
      </c>
      <c r="L257" s="83"/>
      <c r="M257" s="83"/>
      <c r="N257" s="83"/>
      <c r="O257" s="84"/>
      <c r="P257" s="83"/>
      <c r="Q257" s="83"/>
      <c r="R257" s="83"/>
      <c r="S257" s="83"/>
    </row>
    <row r="258" spans="1:19" ht="12.75" customHeight="1" x14ac:dyDescent="0.25">
      <c r="A258" s="58"/>
      <c r="B258" s="68"/>
      <c r="C258" s="67"/>
      <c r="D258" s="68" t="s">
        <v>171</v>
      </c>
      <c r="F258" s="83">
        <f t="shared" ref="F258:F287" si="106">G258+H258+I258</f>
        <v>992824576.81000006</v>
      </c>
      <c r="G258" s="82">
        <v>877072654.6400001</v>
      </c>
      <c r="H258" s="82">
        <v>0</v>
      </c>
      <c r="I258" s="82">
        <v>115751922.17</v>
      </c>
      <c r="K258" s="83">
        <f t="shared" si="104"/>
        <v>738336074.59000003</v>
      </c>
      <c r="L258" s="82">
        <v>706380379.9000001</v>
      </c>
      <c r="M258" s="82">
        <v>0</v>
      </c>
      <c r="N258" s="82">
        <v>31955694.689999994</v>
      </c>
      <c r="O258" s="84"/>
      <c r="P258" s="83">
        <f t="shared" ref="P258:P287" si="107">Q258+R258+S258</f>
        <v>574159681.66999996</v>
      </c>
      <c r="Q258" s="82">
        <v>524808158.88</v>
      </c>
      <c r="R258" s="82">
        <v>0</v>
      </c>
      <c r="S258" s="82">
        <v>49351522.789999992</v>
      </c>
    </row>
    <row r="259" spans="1:19" ht="12.75" customHeight="1" x14ac:dyDescent="0.25">
      <c r="B259" s="68"/>
      <c r="C259" s="68"/>
      <c r="D259" s="72" t="s">
        <v>172</v>
      </c>
      <c r="F259" s="83">
        <f t="shared" si="106"/>
        <v>-151043819.69</v>
      </c>
      <c r="G259" s="82">
        <v>-129725363.91</v>
      </c>
      <c r="H259" s="82">
        <v>0</v>
      </c>
      <c r="I259" s="82">
        <v>-21318455.780000001</v>
      </c>
      <c r="K259" s="83">
        <f t="shared" si="104"/>
        <v>-108607740.57000001</v>
      </c>
      <c r="L259" s="82">
        <v>-91228372.430000007</v>
      </c>
      <c r="M259" s="82">
        <v>0</v>
      </c>
      <c r="N259" s="82">
        <v>-17379368.140000001</v>
      </c>
      <c r="O259" s="84"/>
      <c r="P259" s="83">
        <f t="shared" si="107"/>
        <v>0</v>
      </c>
      <c r="Q259" s="82"/>
      <c r="R259" s="82"/>
      <c r="S259" s="82"/>
    </row>
    <row r="260" spans="1:19" ht="12.75" hidden="1" customHeight="1" x14ac:dyDescent="0.25">
      <c r="B260" s="68"/>
      <c r="C260" s="68"/>
      <c r="D260" s="72" t="s">
        <v>173</v>
      </c>
      <c r="F260" s="83">
        <f t="shared" si="106"/>
        <v>0</v>
      </c>
      <c r="G260" s="82"/>
      <c r="H260" s="82"/>
      <c r="I260" s="82"/>
      <c r="K260" s="83">
        <f t="shared" si="104"/>
        <v>0</v>
      </c>
      <c r="L260" s="82"/>
      <c r="M260" s="82">
        <v>0</v>
      </c>
      <c r="N260" s="82"/>
      <c r="O260" s="84"/>
      <c r="P260" s="83">
        <f t="shared" si="107"/>
        <v>0</v>
      </c>
      <c r="Q260" s="82"/>
      <c r="R260" s="82"/>
      <c r="S260" s="82"/>
    </row>
    <row r="261" spans="1:19" ht="12.75" customHeight="1" x14ac:dyDescent="0.25">
      <c r="A261" s="58"/>
      <c r="B261" s="68"/>
      <c r="C261" s="67"/>
      <c r="D261" s="68" t="s">
        <v>174</v>
      </c>
      <c r="F261" s="83">
        <f t="shared" si="106"/>
        <v>8575169.7600000016</v>
      </c>
      <c r="G261" s="82">
        <v>6941594.8800000008</v>
      </c>
      <c r="H261" s="82">
        <v>0</v>
      </c>
      <c r="I261" s="82">
        <v>1633574.88</v>
      </c>
      <c r="K261" s="83">
        <f t="shared" si="104"/>
        <v>6583819.9900000002</v>
      </c>
      <c r="L261" s="82">
        <v>4950245.1100000003</v>
      </c>
      <c r="M261" s="82">
        <v>0</v>
      </c>
      <c r="N261" s="82">
        <v>1633574.88</v>
      </c>
      <c r="O261" s="84"/>
      <c r="P261" s="83">
        <f t="shared" si="107"/>
        <v>4950245.1100000003</v>
      </c>
      <c r="Q261" s="82">
        <v>4950245.1100000003</v>
      </c>
      <c r="R261" s="82">
        <v>0</v>
      </c>
      <c r="S261" s="82">
        <v>0</v>
      </c>
    </row>
    <row r="262" spans="1:19" ht="12.75" customHeight="1" x14ac:dyDescent="0.25">
      <c r="B262" s="68"/>
      <c r="C262" s="68"/>
      <c r="D262" s="72" t="s">
        <v>175</v>
      </c>
      <c r="F262" s="83">
        <f t="shared" si="106"/>
        <v>-1644992.6500000001</v>
      </c>
      <c r="G262" s="82">
        <v>-1301941.9000000001</v>
      </c>
      <c r="H262" s="82"/>
      <c r="I262" s="82">
        <v>-343050.75</v>
      </c>
      <c r="K262" s="83">
        <f t="shared" si="104"/>
        <v>-1325816.29</v>
      </c>
      <c r="L262" s="82">
        <v>-1048108.54</v>
      </c>
      <c r="M262" s="82">
        <v>0</v>
      </c>
      <c r="N262" s="82">
        <v>-277707.75</v>
      </c>
      <c r="O262" s="84"/>
      <c r="P262" s="83">
        <f t="shared" si="107"/>
        <v>0</v>
      </c>
      <c r="Q262" s="82"/>
      <c r="R262" s="82">
        <v>0</v>
      </c>
      <c r="S262" s="82">
        <v>0</v>
      </c>
    </row>
    <row r="263" spans="1:19" ht="12.75" hidden="1" customHeight="1" x14ac:dyDescent="0.25">
      <c r="B263" s="68"/>
      <c r="C263" s="68"/>
      <c r="D263" s="72" t="s">
        <v>176</v>
      </c>
      <c r="F263" s="83">
        <f t="shared" si="106"/>
        <v>0</v>
      </c>
      <c r="G263" s="82"/>
      <c r="H263" s="82"/>
      <c r="I263" s="82"/>
      <c r="K263" s="83">
        <f t="shared" ref="K263:K287" si="108">L263+M263+N263</f>
        <v>0</v>
      </c>
      <c r="L263" s="82"/>
      <c r="M263" s="82">
        <v>0</v>
      </c>
      <c r="N263" s="82"/>
      <c r="O263" s="84"/>
      <c r="P263" s="83">
        <f t="shared" si="107"/>
        <v>0</v>
      </c>
      <c r="Q263" s="82"/>
      <c r="R263" s="82">
        <v>0</v>
      </c>
      <c r="S263" s="82">
        <v>0</v>
      </c>
    </row>
    <row r="264" spans="1:19" ht="12.75" customHeight="1" x14ac:dyDescent="0.25">
      <c r="A264" s="58"/>
      <c r="B264" s="68"/>
      <c r="C264" s="67"/>
      <c r="D264" s="68" t="s">
        <v>177</v>
      </c>
      <c r="F264" s="83">
        <f t="shared" si="106"/>
        <v>13890418.279999999</v>
      </c>
      <c r="G264" s="82">
        <v>13890418.279999999</v>
      </c>
      <c r="H264" s="82">
        <v>0</v>
      </c>
      <c r="I264" s="82">
        <v>0</v>
      </c>
      <c r="K264" s="83">
        <f t="shared" si="108"/>
        <v>6659962.9399999995</v>
      </c>
      <c r="L264" s="82">
        <v>6659962.9399999995</v>
      </c>
      <c r="M264" s="82">
        <v>0</v>
      </c>
      <c r="N264" s="82">
        <v>0</v>
      </c>
      <c r="O264" s="84"/>
      <c r="P264" s="83">
        <f t="shared" si="107"/>
        <v>4841580.8099999996</v>
      </c>
      <c r="Q264" s="82">
        <v>4841580.8099999996</v>
      </c>
      <c r="R264" s="82">
        <v>0</v>
      </c>
      <c r="S264" s="82">
        <v>0</v>
      </c>
    </row>
    <row r="265" spans="1:19" ht="12.75" customHeight="1" x14ac:dyDescent="0.25">
      <c r="B265" s="68"/>
      <c r="C265" s="68"/>
      <c r="D265" s="72" t="s">
        <v>178</v>
      </c>
      <c r="F265" s="83">
        <f t="shared" si="106"/>
        <v>-2202949.02</v>
      </c>
      <c r="G265" s="82">
        <v>-2202949.02</v>
      </c>
      <c r="H265" s="82"/>
      <c r="I265" s="82">
        <v>0</v>
      </c>
      <c r="K265" s="83">
        <f t="shared" si="108"/>
        <v>-737847.47</v>
      </c>
      <c r="L265" s="82">
        <v>-737847.47</v>
      </c>
      <c r="M265" s="82">
        <v>0</v>
      </c>
      <c r="N265" s="82">
        <v>0</v>
      </c>
      <c r="O265" s="84"/>
      <c r="P265" s="83">
        <f t="shared" si="107"/>
        <v>0</v>
      </c>
      <c r="Q265" s="82"/>
      <c r="R265" s="82"/>
      <c r="S265" s="82"/>
    </row>
    <row r="266" spans="1:19" ht="12.75" hidden="1" customHeight="1" x14ac:dyDescent="0.25">
      <c r="B266" s="68"/>
      <c r="C266" s="68"/>
      <c r="D266" s="72" t="s">
        <v>179</v>
      </c>
      <c r="F266" s="83">
        <f t="shared" si="106"/>
        <v>0</v>
      </c>
      <c r="G266" s="82"/>
      <c r="H266" s="82"/>
      <c r="I266" s="82"/>
      <c r="K266" s="83">
        <f t="shared" si="108"/>
        <v>0</v>
      </c>
      <c r="L266" s="82"/>
      <c r="M266" s="82">
        <v>0</v>
      </c>
      <c r="N266" s="82"/>
      <c r="O266" s="84"/>
      <c r="P266" s="83">
        <f t="shared" si="107"/>
        <v>0</v>
      </c>
      <c r="Q266" s="82"/>
      <c r="R266" s="82"/>
      <c r="S266" s="82"/>
    </row>
    <row r="267" spans="1:19" ht="12.75" customHeight="1" x14ac:dyDescent="0.25">
      <c r="A267" s="58"/>
      <c r="B267" s="68"/>
      <c r="C267" s="67"/>
      <c r="D267" s="68" t="s">
        <v>180</v>
      </c>
      <c r="F267" s="83">
        <f t="shared" si="106"/>
        <v>10926411.209999999</v>
      </c>
      <c r="G267" s="82">
        <v>1018996.68</v>
      </c>
      <c r="H267" s="82">
        <v>0</v>
      </c>
      <c r="I267" s="82">
        <v>9907414.5299999993</v>
      </c>
      <c r="K267" s="83">
        <f t="shared" si="108"/>
        <v>10926411.209999999</v>
      </c>
      <c r="L267" s="82">
        <v>1018996.68</v>
      </c>
      <c r="M267" s="82">
        <v>0</v>
      </c>
      <c r="N267" s="82">
        <v>9907414.5299999993</v>
      </c>
      <c r="O267" s="84"/>
      <c r="P267" s="83">
        <f t="shared" si="107"/>
        <v>9931411.5299999993</v>
      </c>
      <c r="Q267" s="82">
        <v>23997</v>
      </c>
      <c r="R267" s="82">
        <v>0</v>
      </c>
      <c r="S267" s="82">
        <v>9907414.5299999993</v>
      </c>
    </row>
    <row r="268" spans="1:19" ht="12.75" customHeight="1" x14ac:dyDescent="0.25">
      <c r="B268" s="68"/>
      <c r="C268" s="68"/>
      <c r="D268" s="72" t="s">
        <v>181</v>
      </c>
      <c r="F268" s="83">
        <f t="shared" si="106"/>
        <v>-3514707.58</v>
      </c>
      <c r="G268" s="82">
        <v>-176888.96000000002</v>
      </c>
      <c r="H268" s="82"/>
      <c r="I268" s="82">
        <v>-3337818.62</v>
      </c>
      <c r="K268" s="83">
        <f t="shared" si="108"/>
        <v>-2787879.94</v>
      </c>
      <c r="L268" s="82">
        <v>-110555.6</v>
      </c>
      <c r="M268" s="82">
        <v>0</v>
      </c>
      <c r="N268" s="82">
        <v>-2677324.34</v>
      </c>
      <c r="O268" s="84"/>
      <c r="P268" s="83">
        <f t="shared" si="107"/>
        <v>0</v>
      </c>
      <c r="Q268" s="82"/>
      <c r="R268" s="82"/>
      <c r="S268" s="82"/>
    </row>
    <row r="269" spans="1:19" ht="12.75" hidden="1" customHeight="1" x14ac:dyDescent="0.25">
      <c r="B269" s="68"/>
      <c r="C269" s="68"/>
      <c r="D269" s="72" t="s">
        <v>182</v>
      </c>
      <c r="F269" s="83">
        <f t="shared" si="106"/>
        <v>0</v>
      </c>
      <c r="G269" s="82"/>
      <c r="H269" s="82"/>
      <c r="I269" s="82"/>
      <c r="K269" s="83">
        <f t="shared" si="108"/>
        <v>0</v>
      </c>
      <c r="L269" s="82"/>
      <c r="M269" s="82">
        <v>0</v>
      </c>
      <c r="N269" s="82"/>
      <c r="O269" s="84"/>
      <c r="P269" s="83">
        <f t="shared" si="107"/>
        <v>0</v>
      </c>
      <c r="Q269" s="82"/>
      <c r="R269" s="82"/>
      <c r="S269" s="82"/>
    </row>
    <row r="270" spans="1:19" ht="12.75" hidden="1" customHeight="1" x14ac:dyDescent="0.25">
      <c r="A270" s="58"/>
      <c r="B270" s="68"/>
      <c r="C270" s="67"/>
      <c r="D270" s="68" t="s">
        <v>183</v>
      </c>
      <c r="F270" s="83">
        <f t="shared" si="106"/>
        <v>0</v>
      </c>
      <c r="G270" s="82"/>
      <c r="H270" s="82"/>
      <c r="I270" s="82"/>
      <c r="K270" s="83">
        <f t="shared" si="108"/>
        <v>0</v>
      </c>
      <c r="L270" s="82"/>
      <c r="M270" s="82">
        <v>0</v>
      </c>
      <c r="N270" s="82"/>
      <c r="O270" s="84"/>
      <c r="P270" s="83">
        <f t="shared" si="107"/>
        <v>0</v>
      </c>
      <c r="Q270" s="82"/>
      <c r="R270" s="82"/>
      <c r="S270" s="82"/>
    </row>
    <row r="271" spans="1:19" ht="12.75" hidden="1" customHeight="1" x14ac:dyDescent="0.25">
      <c r="B271" s="68"/>
      <c r="C271" s="68"/>
      <c r="D271" s="72" t="s">
        <v>184</v>
      </c>
      <c r="F271" s="83">
        <f t="shared" si="106"/>
        <v>0</v>
      </c>
      <c r="G271" s="82"/>
      <c r="H271" s="82"/>
      <c r="I271" s="82"/>
      <c r="K271" s="83">
        <f t="shared" si="108"/>
        <v>0</v>
      </c>
      <c r="L271" s="82"/>
      <c r="M271" s="82">
        <v>0</v>
      </c>
      <c r="N271" s="82"/>
      <c r="O271" s="84"/>
      <c r="P271" s="83">
        <f t="shared" si="107"/>
        <v>0</v>
      </c>
      <c r="Q271" s="82"/>
      <c r="R271" s="82"/>
      <c r="S271" s="82"/>
    </row>
    <row r="272" spans="1:19" ht="12.75" hidden="1" customHeight="1" x14ac:dyDescent="0.25">
      <c r="B272" s="68"/>
      <c r="C272" s="68"/>
      <c r="D272" s="72" t="s">
        <v>185</v>
      </c>
      <c r="F272" s="83">
        <f t="shared" si="106"/>
        <v>0</v>
      </c>
      <c r="G272" s="82"/>
      <c r="H272" s="82"/>
      <c r="I272" s="82"/>
      <c r="K272" s="83">
        <f t="shared" si="108"/>
        <v>0</v>
      </c>
      <c r="L272" s="82"/>
      <c r="M272" s="82">
        <v>0</v>
      </c>
      <c r="N272" s="82"/>
      <c r="O272" s="84"/>
      <c r="P272" s="83">
        <f t="shared" si="107"/>
        <v>0</v>
      </c>
      <c r="Q272" s="82"/>
      <c r="R272" s="82"/>
      <c r="S272" s="82"/>
    </row>
    <row r="273" spans="1:19" ht="12.75" customHeight="1" x14ac:dyDescent="0.25">
      <c r="A273" s="58"/>
      <c r="B273" s="68"/>
      <c r="C273" s="67"/>
      <c r="D273" s="68" t="s">
        <v>186</v>
      </c>
      <c r="F273" s="83">
        <f t="shared" si="106"/>
        <v>2087051</v>
      </c>
      <c r="G273" s="82">
        <v>2087051</v>
      </c>
      <c r="H273" s="82">
        <v>0</v>
      </c>
      <c r="I273" s="82">
        <v>0</v>
      </c>
      <c r="K273" s="83">
        <f t="shared" si="108"/>
        <v>2087051</v>
      </c>
      <c r="L273" s="82">
        <v>2087051</v>
      </c>
      <c r="M273" s="82">
        <v>0</v>
      </c>
      <c r="N273" s="82">
        <v>0</v>
      </c>
      <c r="O273" s="84"/>
      <c r="P273" s="83">
        <f t="shared" si="107"/>
        <v>0</v>
      </c>
      <c r="Q273" s="82"/>
      <c r="R273" s="82"/>
      <c r="S273" s="82"/>
    </row>
    <row r="274" spans="1:19" ht="12.75" customHeight="1" x14ac:dyDescent="0.25">
      <c r="B274" s="68"/>
      <c r="C274" s="68"/>
      <c r="D274" s="72" t="s">
        <v>187</v>
      </c>
      <c r="F274" s="83">
        <f t="shared" si="106"/>
        <v>-185515.68</v>
      </c>
      <c r="G274" s="82">
        <v>-185515.68</v>
      </c>
      <c r="H274" s="82"/>
      <c r="I274" s="82">
        <v>0</v>
      </c>
      <c r="K274" s="83">
        <f t="shared" si="108"/>
        <v>0</v>
      </c>
      <c r="L274" s="82"/>
      <c r="M274" s="82">
        <v>0</v>
      </c>
      <c r="N274" s="82"/>
      <c r="O274" s="84"/>
      <c r="P274" s="83">
        <f t="shared" si="107"/>
        <v>0</v>
      </c>
      <c r="Q274" s="82"/>
      <c r="R274" s="82"/>
      <c r="S274" s="82"/>
    </row>
    <row r="275" spans="1:19" ht="12.75" hidden="1" customHeight="1" x14ac:dyDescent="0.25">
      <c r="B275" s="68"/>
      <c r="C275" s="68"/>
      <c r="D275" s="72" t="s">
        <v>188</v>
      </c>
      <c r="F275" s="83">
        <f t="shared" si="106"/>
        <v>0</v>
      </c>
      <c r="G275" s="82"/>
      <c r="H275" s="82"/>
      <c r="I275" s="82"/>
      <c r="K275" s="83">
        <f t="shared" si="108"/>
        <v>0</v>
      </c>
      <c r="L275" s="82"/>
      <c r="M275" s="82">
        <v>0</v>
      </c>
      <c r="N275" s="82"/>
      <c r="O275" s="84"/>
      <c r="P275" s="83">
        <f t="shared" si="107"/>
        <v>0</v>
      </c>
      <c r="Q275" s="82"/>
      <c r="R275" s="82"/>
      <c r="S275" s="82"/>
    </row>
    <row r="276" spans="1:19" ht="12.75" hidden="1" customHeight="1" x14ac:dyDescent="0.25">
      <c r="A276" s="58"/>
      <c r="B276" s="68"/>
      <c r="C276" s="67"/>
      <c r="D276" s="68" t="s">
        <v>189</v>
      </c>
      <c r="F276" s="83">
        <f t="shared" si="106"/>
        <v>0</v>
      </c>
      <c r="G276" s="82"/>
      <c r="H276" s="82"/>
      <c r="I276" s="82"/>
      <c r="K276" s="83">
        <f t="shared" si="108"/>
        <v>0</v>
      </c>
      <c r="L276" s="82"/>
      <c r="M276" s="82">
        <v>0</v>
      </c>
      <c r="N276" s="82"/>
      <c r="O276" s="84"/>
      <c r="P276" s="83">
        <f t="shared" si="107"/>
        <v>0</v>
      </c>
      <c r="Q276" s="82"/>
      <c r="R276" s="82"/>
      <c r="S276" s="82"/>
    </row>
    <row r="277" spans="1:19" ht="12.75" hidden="1" customHeight="1" x14ac:dyDescent="0.25">
      <c r="B277" s="68"/>
      <c r="C277" s="68"/>
      <c r="D277" s="72" t="s">
        <v>190</v>
      </c>
      <c r="F277" s="83">
        <f t="shared" si="106"/>
        <v>0</v>
      </c>
      <c r="G277" s="82"/>
      <c r="H277" s="82"/>
      <c r="I277" s="82"/>
      <c r="K277" s="83">
        <f t="shared" si="108"/>
        <v>0</v>
      </c>
      <c r="L277" s="82"/>
      <c r="M277" s="82">
        <v>0</v>
      </c>
      <c r="N277" s="82"/>
      <c r="O277" s="84"/>
      <c r="P277" s="83">
        <f t="shared" si="107"/>
        <v>0</v>
      </c>
      <c r="Q277" s="82"/>
      <c r="R277" s="82"/>
      <c r="S277" s="82"/>
    </row>
    <row r="278" spans="1:19" ht="12.75" hidden="1" customHeight="1" x14ac:dyDescent="0.25">
      <c r="B278" s="68"/>
      <c r="C278" s="68"/>
      <c r="D278" s="72" t="s">
        <v>191</v>
      </c>
      <c r="F278" s="83">
        <f t="shared" si="106"/>
        <v>0</v>
      </c>
      <c r="G278" s="82"/>
      <c r="H278" s="82"/>
      <c r="I278" s="82"/>
      <c r="K278" s="83">
        <f t="shared" si="108"/>
        <v>0</v>
      </c>
      <c r="L278" s="82"/>
      <c r="M278" s="82">
        <v>0</v>
      </c>
      <c r="N278" s="82"/>
      <c r="O278" s="84"/>
      <c r="P278" s="83">
        <f t="shared" si="107"/>
        <v>0</v>
      </c>
      <c r="Q278" s="82"/>
      <c r="R278" s="82"/>
      <c r="S278" s="82"/>
    </row>
    <row r="279" spans="1:19" ht="12.75" hidden="1" customHeight="1" x14ac:dyDescent="0.25">
      <c r="A279" s="58"/>
      <c r="B279" s="68"/>
      <c r="C279" s="67"/>
      <c r="D279" s="68" t="s">
        <v>192</v>
      </c>
      <c r="F279" s="83">
        <f t="shared" si="106"/>
        <v>0</v>
      </c>
      <c r="G279" s="82"/>
      <c r="H279" s="82"/>
      <c r="I279" s="82"/>
      <c r="K279" s="83">
        <f t="shared" si="108"/>
        <v>0</v>
      </c>
      <c r="L279" s="82"/>
      <c r="M279" s="82">
        <v>0</v>
      </c>
      <c r="N279" s="82"/>
      <c r="O279" s="84"/>
      <c r="P279" s="83">
        <f t="shared" si="107"/>
        <v>0</v>
      </c>
      <c r="Q279" s="82"/>
      <c r="R279" s="82"/>
      <c r="S279" s="82"/>
    </row>
    <row r="280" spans="1:19" ht="12.75" hidden="1" customHeight="1" x14ac:dyDescent="0.25">
      <c r="B280" s="68"/>
      <c r="C280" s="68"/>
      <c r="D280" s="72" t="s">
        <v>193</v>
      </c>
      <c r="F280" s="83">
        <f t="shared" si="106"/>
        <v>0</v>
      </c>
      <c r="G280" s="82"/>
      <c r="H280" s="82"/>
      <c r="I280" s="82"/>
      <c r="K280" s="83">
        <f t="shared" si="108"/>
        <v>0</v>
      </c>
      <c r="L280" s="82"/>
      <c r="M280" s="82">
        <v>0</v>
      </c>
      <c r="N280" s="82"/>
      <c r="O280" s="84"/>
      <c r="P280" s="83">
        <f t="shared" si="107"/>
        <v>0</v>
      </c>
      <c r="Q280" s="82"/>
      <c r="R280" s="82"/>
      <c r="S280" s="82"/>
    </row>
    <row r="281" spans="1:19" ht="12.75" hidden="1" customHeight="1" x14ac:dyDescent="0.25">
      <c r="B281" s="68"/>
      <c r="C281" s="68"/>
      <c r="D281" s="72" t="s">
        <v>194</v>
      </c>
      <c r="F281" s="83">
        <f t="shared" si="106"/>
        <v>0</v>
      </c>
      <c r="G281" s="82"/>
      <c r="H281" s="82"/>
      <c r="I281" s="82"/>
      <c r="K281" s="83">
        <f t="shared" si="108"/>
        <v>0</v>
      </c>
      <c r="L281" s="82"/>
      <c r="M281" s="82">
        <v>0</v>
      </c>
      <c r="N281" s="82"/>
      <c r="O281" s="84"/>
      <c r="P281" s="83">
        <f t="shared" si="107"/>
        <v>0</v>
      </c>
      <c r="Q281" s="82"/>
      <c r="R281" s="82"/>
      <c r="S281" s="82"/>
    </row>
    <row r="282" spans="1:19" ht="12.75" customHeight="1" x14ac:dyDescent="0.25">
      <c r="A282" s="58"/>
      <c r="B282" s="68"/>
      <c r="C282" s="67"/>
      <c r="D282" s="68" t="s">
        <v>195</v>
      </c>
      <c r="F282" s="83">
        <f t="shared" si="106"/>
        <v>40665872.909999996</v>
      </c>
      <c r="G282" s="82">
        <v>10832189.010000002</v>
      </c>
      <c r="H282" s="82">
        <v>0</v>
      </c>
      <c r="I282" s="82">
        <v>29833683.899999999</v>
      </c>
      <c r="K282" s="83">
        <f t="shared" si="108"/>
        <v>24969651.230000004</v>
      </c>
      <c r="L282" s="82">
        <v>10832189.010000002</v>
      </c>
      <c r="M282" s="82">
        <v>0</v>
      </c>
      <c r="N282" s="82">
        <v>14137462.220000001</v>
      </c>
      <c r="O282" s="84"/>
      <c r="P282" s="83">
        <f t="shared" si="107"/>
        <v>10832189.010000002</v>
      </c>
      <c r="Q282" s="82">
        <v>10832189.010000002</v>
      </c>
      <c r="R282" s="82">
        <v>0</v>
      </c>
      <c r="S282" s="82">
        <v>0</v>
      </c>
    </row>
    <row r="283" spans="1:19" ht="12.75" customHeight="1" x14ac:dyDescent="0.25">
      <c r="B283" s="68"/>
      <c r="C283" s="68"/>
      <c r="D283" s="72" t="s">
        <v>196</v>
      </c>
      <c r="F283" s="83">
        <f t="shared" si="106"/>
        <v>-4454003.4800000004</v>
      </c>
      <c r="G283" s="82">
        <v>-2896465.8000000003</v>
      </c>
      <c r="H283" s="82"/>
      <c r="I283" s="82">
        <v>-1557537.6800000002</v>
      </c>
      <c r="K283" s="83">
        <f t="shared" si="108"/>
        <v>-2943917.3800000004</v>
      </c>
      <c r="L283" s="82">
        <v>-2354856.4800000004</v>
      </c>
      <c r="M283" s="82">
        <v>0</v>
      </c>
      <c r="N283" s="82">
        <v>-589060.9</v>
      </c>
      <c r="O283" s="84"/>
      <c r="P283" s="83">
        <f t="shared" si="107"/>
        <v>0</v>
      </c>
      <c r="Q283" s="82"/>
      <c r="R283" s="82"/>
      <c r="S283" s="82"/>
    </row>
    <row r="284" spans="1:19" ht="12.75" hidden="1" customHeight="1" x14ac:dyDescent="0.25">
      <c r="B284" s="68"/>
      <c r="C284" s="68"/>
      <c r="D284" s="72" t="s">
        <v>197</v>
      </c>
      <c r="F284" s="83">
        <f t="shared" si="106"/>
        <v>0</v>
      </c>
      <c r="G284" s="82"/>
      <c r="H284" s="82"/>
      <c r="I284" s="82"/>
      <c r="K284" s="83">
        <f t="shared" si="108"/>
        <v>0</v>
      </c>
      <c r="L284" s="82"/>
      <c r="M284" s="82"/>
      <c r="N284" s="82"/>
      <c r="O284" s="84"/>
      <c r="P284" s="83">
        <f t="shared" si="107"/>
        <v>0</v>
      </c>
      <c r="Q284" s="82"/>
      <c r="R284" s="82"/>
      <c r="S284" s="82"/>
    </row>
    <row r="285" spans="1:19" ht="12.75" customHeight="1" x14ac:dyDescent="0.25">
      <c r="A285" s="58"/>
      <c r="B285" s="68"/>
      <c r="C285" s="67"/>
      <c r="D285" s="68" t="s">
        <v>198</v>
      </c>
      <c r="F285" s="83">
        <f t="shared" si="106"/>
        <v>156532419.34</v>
      </c>
      <c r="G285" s="82">
        <v>128446671.65000001</v>
      </c>
      <c r="H285" s="82">
        <v>16401349.530000001</v>
      </c>
      <c r="I285" s="82">
        <v>11684398.16</v>
      </c>
      <c r="K285" s="83">
        <f t="shared" si="108"/>
        <v>140379959.92000002</v>
      </c>
      <c r="L285" s="82">
        <v>112379585.31</v>
      </c>
      <c r="M285" s="82">
        <v>18035320.960000001</v>
      </c>
      <c r="N285" s="82">
        <v>9965053.6500000004</v>
      </c>
      <c r="O285" s="84"/>
      <c r="P285" s="83">
        <f t="shared" si="107"/>
        <v>103879505.59999999</v>
      </c>
      <c r="Q285" s="82">
        <v>88837296.719999999</v>
      </c>
      <c r="R285" s="82">
        <v>6825749.5800000001</v>
      </c>
      <c r="S285" s="82">
        <v>8216459.2999999998</v>
      </c>
    </row>
    <row r="286" spans="1:19" ht="12.75" customHeight="1" x14ac:dyDescent="0.25">
      <c r="B286" s="68"/>
      <c r="C286" s="68"/>
      <c r="D286" s="72" t="s">
        <v>199</v>
      </c>
      <c r="F286" s="83">
        <f t="shared" si="106"/>
        <v>-27212257.350000001</v>
      </c>
      <c r="G286" s="82">
        <v>-24017872.630000003</v>
      </c>
      <c r="H286" s="82">
        <v>-1663635.2699999998</v>
      </c>
      <c r="I286" s="82">
        <v>-1530749.4500000002</v>
      </c>
      <c r="K286" s="83">
        <f t="shared" si="108"/>
        <v>-18557674.900000002</v>
      </c>
      <c r="L286" s="82">
        <v>-16552771.700000003</v>
      </c>
      <c r="M286" s="82">
        <v>-947260.89999999991</v>
      </c>
      <c r="N286" s="82">
        <v>-1057642.3</v>
      </c>
      <c r="O286" s="84"/>
      <c r="P286" s="83">
        <f t="shared" si="107"/>
        <v>0</v>
      </c>
      <c r="Q286" s="82"/>
      <c r="R286" s="82"/>
      <c r="S286" s="82"/>
    </row>
    <row r="287" spans="1:19" ht="12.75" hidden="1" customHeight="1" x14ac:dyDescent="0.25">
      <c r="B287" s="68"/>
      <c r="C287" s="68"/>
      <c r="D287" s="72" t="s">
        <v>200</v>
      </c>
      <c r="F287" s="83">
        <f t="shared" si="106"/>
        <v>0</v>
      </c>
      <c r="G287" s="82"/>
      <c r="H287" s="82"/>
      <c r="I287" s="82"/>
      <c r="K287" s="83">
        <f t="shared" si="108"/>
        <v>0</v>
      </c>
      <c r="L287" s="82"/>
      <c r="M287" s="82"/>
      <c r="N287" s="82"/>
      <c r="O287" s="84"/>
      <c r="P287" s="83">
        <f t="shared" si="107"/>
        <v>0</v>
      </c>
      <c r="Q287" s="82"/>
      <c r="R287" s="82"/>
      <c r="S287" s="82"/>
    </row>
    <row r="288" spans="1:19" ht="12.75" customHeight="1" x14ac:dyDescent="0.25">
      <c r="A288" s="58"/>
      <c r="B288" s="67"/>
      <c r="C288" s="67" t="s">
        <v>201</v>
      </c>
      <c r="D288" s="68"/>
      <c r="F288" s="83"/>
      <c r="G288" s="82"/>
      <c r="H288" s="82"/>
      <c r="I288" s="82"/>
      <c r="K288" s="83"/>
      <c r="L288" s="83"/>
      <c r="M288" s="83"/>
      <c r="N288" s="83"/>
      <c r="O288" s="84"/>
      <c r="P288" s="83"/>
      <c r="Q288" s="83"/>
      <c r="R288" s="83"/>
      <c r="S288" s="83"/>
    </row>
    <row r="289" spans="1:19" ht="12.75" customHeight="1" x14ac:dyDescent="0.25">
      <c r="A289" s="58"/>
      <c r="B289" s="68"/>
      <c r="C289" s="68"/>
      <c r="D289" s="68" t="s">
        <v>202</v>
      </c>
      <c r="F289" s="83">
        <f t="shared" ref="F289:F309" si="109">G289+H289+I289</f>
        <v>415794810.05000001</v>
      </c>
      <c r="G289" s="82">
        <v>415598438.10000002</v>
      </c>
      <c r="H289" s="82">
        <v>196371.95</v>
      </c>
      <c r="I289" s="82">
        <v>0</v>
      </c>
      <c r="K289" s="83">
        <f t="shared" ref="K289:K309" si="110">L289+M289+N289</f>
        <v>415806021.27000004</v>
      </c>
      <c r="L289" s="82">
        <v>415609649.32000005</v>
      </c>
      <c r="M289" s="82">
        <v>196371.95</v>
      </c>
      <c r="N289" s="82">
        <v>0</v>
      </c>
      <c r="O289" s="84"/>
      <c r="P289" s="83">
        <f t="shared" ref="P289:P309" si="111">Q289+R289+S289</f>
        <v>329689103.17000002</v>
      </c>
      <c r="Q289" s="82">
        <v>329492731.22000003</v>
      </c>
      <c r="R289" s="82">
        <v>196371.95</v>
      </c>
      <c r="S289" s="82">
        <v>0</v>
      </c>
    </row>
    <row r="290" spans="1:19" ht="12.75" customHeight="1" x14ac:dyDescent="0.25">
      <c r="B290" s="68"/>
      <c r="C290" s="68"/>
      <c r="D290" s="72" t="s">
        <v>203</v>
      </c>
      <c r="F290" s="83">
        <f t="shared" si="109"/>
        <v>-86338784.900000021</v>
      </c>
      <c r="G290" s="82">
        <v>-86185183.890000015</v>
      </c>
      <c r="H290" s="82">
        <v>-153601.00999999983</v>
      </c>
      <c r="I290" s="82"/>
      <c r="K290" s="83">
        <f t="shared" si="110"/>
        <v>-71465782.380000025</v>
      </c>
      <c r="L290" s="82">
        <v>-71336320.480000019</v>
      </c>
      <c r="M290" s="82">
        <v>-129461.89999999983</v>
      </c>
      <c r="N290" s="82">
        <v>0</v>
      </c>
      <c r="O290" s="84"/>
      <c r="P290" s="83">
        <f t="shared" si="111"/>
        <v>-58753261.43</v>
      </c>
      <c r="Q290" s="82">
        <v>-58635018.810000002</v>
      </c>
      <c r="R290" s="82">
        <v>-118242.62</v>
      </c>
      <c r="S290" s="82">
        <v>0</v>
      </c>
    </row>
    <row r="291" spans="1:19" ht="12.75" hidden="1" customHeight="1" x14ac:dyDescent="0.25">
      <c r="B291" s="68"/>
      <c r="C291" s="68"/>
      <c r="D291" s="72" t="s">
        <v>204</v>
      </c>
      <c r="F291" s="83">
        <f t="shared" si="109"/>
        <v>0</v>
      </c>
      <c r="G291" s="82"/>
      <c r="H291" s="82"/>
      <c r="I291" s="82"/>
      <c r="K291" s="83">
        <f t="shared" si="110"/>
        <v>0</v>
      </c>
      <c r="L291" s="82"/>
      <c r="M291" s="82"/>
      <c r="N291" s="82">
        <v>0</v>
      </c>
      <c r="O291" s="84"/>
      <c r="P291" s="83">
        <f t="shared" si="111"/>
        <v>0</v>
      </c>
      <c r="Q291" s="82"/>
      <c r="R291" s="82"/>
      <c r="S291" s="82"/>
    </row>
    <row r="292" spans="1:19" ht="12.75" customHeight="1" x14ac:dyDescent="0.25">
      <c r="A292" s="58"/>
      <c r="B292" s="68"/>
      <c r="C292" s="68"/>
      <c r="D292" s="68" t="s">
        <v>205</v>
      </c>
      <c r="F292" s="83">
        <f t="shared" si="109"/>
        <v>40021524.18999999</v>
      </c>
      <c r="G292" s="82">
        <v>1780849.99</v>
      </c>
      <c r="H292" s="82">
        <v>38240674.199999988</v>
      </c>
      <c r="I292" s="82">
        <v>0</v>
      </c>
      <c r="K292" s="83">
        <f t="shared" si="110"/>
        <v>208530575.75999999</v>
      </c>
      <c r="L292" s="82">
        <v>1780849.99</v>
      </c>
      <c r="M292" s="82">
        <v>206749725.76999998</v>
      </c>
      <c r="N292" s="82">
        <v>0</v>
      </c>
      <c r="O292" s="84"/>
      <c r="P292" s="83">
        <f t="shared" si="111"/>
        <v>208530575.75999999</v>
      </c>
      <c r="Q292" s="82">
        <v>1780849.99</v>
      </c>
      <c r="R292" s="82">
        <v>206749725.76999998</v>
      </c>
      <c r="S292" s="82">
        <v>0</v>
      </c>
    </row>
    <row r="293" spans="1:19" ht="12.75" customHeight="1" x14ac:dyDescent="0.25">
      <c r="B293" s="68"/>
      <c r="C293" s="68"/>
      <c r="D293" s="72" t="s">
        <v>206</v>
      </c>
      <c r="F293" s="83">
        <f t="shared" si="109"/>
        <v>-8350328.2600000007</v>
      </c>
      <c r="G293" s="82">
        <v>-717568.27999999991</v>
      </c>
      <c r="H293" s="82">
        <v>-7632759.9800000004</v>
      </c>
      <c r="I293" s="82"/>
      <c r="K293" s="83">
        <f t="shared" si="110"/>
        <v>-29921021.570000015</v>
      </c>
      <c r="L293" s="82">
        <v>-636004.75999999989</v>
      </c>
      <c r="M293" s="82">
        <v>-29285016.810000014</v>
      </c>
      <c r="N293" s="82">
        <v>0</v>
      </c>
      <c r="O293" s="84"/>
      <c r="P293" s="83">
        <f t="shared" si="111"/>
        <v>-22298534.169999998</v>
      </c>
      <c r="Q293" s="82">
        <v>-554441.24</v>
      </c>
      <c r="R293" s="82">
        <v>-21744092.93</v>
      </c>
      <c r="S293" s="82">
        <v>0</v>
      </c>
    </row>
    <row r="294" spans="1:19" ht="12.75" hidden="1" customHeight="1" x14ac:dyDescent="0.25">
      <c r="B294" s="68"/>
      <c r="C294" s="68"/>
      <c r="D294" s="72" t="s">
        <v>207</v>
      </c>
      <c r="F294" s="83">
        <f t="shared" si="109"/>
        <v>0</v>
      </c>
      <c r="G294" s="82"/>
      <c r="H294" s="82"/>
      <c r="I294" s="82"/>
      <c r="K294" s="83">
        <f t="shared" si="110"/>
        <v>0</v>
      </c>
      <c r="L294" s="82"/>
      <c r="M294" s="82"/>
      <c r="N294" s="82"/>
      <c r="O294" s="84"/>
      <c r="P294" s="83">
        <f t="shared" si="111"/>
        <v>0</v>
      </c>
      <c r="Q294" s="82"/>
      <c r="R294" s="82"/>
      <c r="S294" s="82"/>
    </row>
    <row r="295" spans="1:19" ht="12.75" customHeight="1" x14ac:dyDescent="0.25">
      <c r="A295" s="58"/>
      <c r="B295" s="68"/>
      <c r="C295" s="68"/>
      <c r="D295" s="68" t="s">
        <v>208</v>
      </c>
      <c r="F295" s="83">
        <f t="shared" si="109"/>
        <v>10898983.619999999</v>
      </c>
      <c r="G295" s="82">
        <v>10751840.01</v>
      </c>
      <c r="H295" s="82">
        <v>0</v>
      </c>
      <c r="I295" s="82">
        <v>147143.60999999999</v>
      </c>
      <c r="K295" s="83">
        <f t="shared" si="110"/>
        <v>10898983.619999999</v>
      </c>
      <c r="L295" s="82">
        <v>10751840.01</v>
      </c>
      <c r="M295" s="82">
        <v>0</v>
      </c>
      <c r="N295" s="82">
        <v>147143.60999999999</v>
      </c>
      <c r="O295" s="84"/>
      <c r="P295" s="83">
        <f t="shared" si="111"/>
        <v>10751840.01</v>
      </c>
      <c r="Q295" s="82">
        <v>10751840.01</v>
      </c>
      <c r="R295" s="82">
        <v>0</v>
      </c>
      <c r="S295" s="82">
        <v>0</v>
      </c>
    </row>
    <row r="296" spans="1:19" ht="27.75" customHeight="1" x14ac:dyDescent="0.25">
      <c r="B296" s="68"/>
      <c r="C296" s="68"/>
      <c r="D296" s="607" t="s">
        <v>209</v>
      </c>
      <c r="E296" s="607"/>
      <c r="F296" s="83">
        <f t="shared" si="109"/>
        <v>-3641658.459999999</v>
      </c>
      <c r="G296" s="82">
        <v>-3496298.9699999988</v>
      </c>
      <c r="H296" s="82">
        <v>0</v>
      </c>
      <c r="I296" s="82">
        <v>-145359.49</v>
      </c>
      <c r="J296" s="359"/>
      <c r="K296" s="83">
        <f t="shared" si="110"/>
        <v>-2592937.0099999988</v>
      </c>
      <c r="L296" s="82">
        <v>-2592937.0099999988</v>
      </c>
      <c r="M296" s="82">
        <v>0</v>
      </c>
      <c r="N296" s="82">
        <v>0</v>
      </c>
      <c r="O296" s="84"/>
      <c r="P296" s="83">
        <f t="shared" si="111"/>
        <v>-2247457.13</v>
      </c>
      <c r="Q296" s="82">
        <v>-2247457.13</v>
      </c>
      <c r="R296" s="82">
        <v>0</v>
      </c>
      <c r="S296" s="82">
        <v>0</v>
      </c>
    </row>
    <row r="297" spans="1:19" ht="12.75" hidden="1" customHeight="1" x14ac:dyDescent="0.25">
      <c r="B297" s="68"/>
      <c r="C297" s="68"/>
      <c r="D297" s="72" t="s">
        <v>210</v>
      </c>
      <c r="F297" s="83">
        <f t="shared" si="109"/>
        <v>0</v>
      </c>
      <c r="G297" s="82"/>
      <c r="H297" s="82"/>
      <c r="I297" s="82"/>
      <c r="K297" s="83">
        <f t="shared" si="110"/>
        <v>0</v>
      </c>
      <c r="L297" s="82"/>
      <c r="M297" s="82">
        <v>0</v>
      </c>
      <c r="N297" s="82">
        <v>0</v>
      </c>
      <c r="O297" s="84"/>
      <c r="P297" s="83">
        <f t="shared" si="111"/>
        <v>0</v>
      </c>
      <c r="Q297" s="82"/>
      <c r="R297" s="82"/>
      <c r="S297" s="82"/>
    </row>
    <row r="298" spans="1:19" ht="12.75" customHeight="1" x14ac:dyDescent="0.25">
      <c r="A298" s="58"/>
      <c r="B298" s="68"/>
      <c r="C298" s="68"/>
      <c r="D298" s="68" t="s">
        <v>211</v>
      </c>
      <c r="F298" s="83">
        <f t="shared" si="109"/>
        <v>93052494.239999995</v>
      </c>
      <c r="G298" s="82">
        <v>93052494.239999995</v>
      </c>
      <c r="H298" s="82">
        <v>0</v>
      </c>
      <c r="I298" s="82">
        <v>0</v>
      </c>
      <c r="K298" s="83">
        <f t="shared" si="110"/>
        <v>93052494.239999995</v>
      </c>
      <c r="L298" s="82">
        <v>93052494.239999995</v>
      </c>
      <c r="M298" s="82">
        <v>0</v>
      </c>
      <c r="N298" s="82">
        <v>0</v>
      </c>
      <c r="O298" s="84"/>
      <c r="P298" s="83">
        <f t="shared" si="111"/>
        <v>120168602.63</v>
      </c>
      <c r="Q298" s="82">
        <v>120168602.63</v>
      </c>
      <c r="R298" s="82">
        <v>0</v>
      </c>
      <c r="S298" s="82">
        <v>0</v>
      </c>
    </row>
    <row r="299" spans="1:19" ht="12.75" customHeight="1" x14ac:dyDescent="0.25">
      <c r="B299" s="68"/>
      <c r="C299" s="68"/>
      <c r="D299" s="72" t="s">
        <v>212</v>
      </c>
      <c r="F299" s="83">
        <f t="shared" si="109"/>
        <v>-40215349.340000011</v>
      </c>
      <c r="G299" s="82">
        <v>-40215349.340000011</v>
      </c>
      <c r="H299" s="82">
        <v>0</v>
      </c>
      <c r="I299" s="82"/>
      <c r="K299" s="83">
        <f t="shared" si="110"/>
        <v>-32147067.950000014</v>
      </c>
      <c r="L299" s="82">
        <v>-32147067.950000014</v>
      </c>
      <c r="M299" s="82">
        <v>0</v>
      </c>
      <c r="N299" s="82">
        <v>0</v>
      </c>
      <c r="O299" s="84"/>
      <c r="P299" s="83">
        <f t="shared" si="111"/>
        <v>-36319020.369999997</v>
      </c>
      <c r="Q299" s="82">
        <v>-36319020.369999997</v>
      </c>
      <c r="R299" s="82">
        <v>0</v>
      </c>
      <c r="S299" s="82">
        <v>0</v>
      </c>
    </row>
    <row r="300" spans="1:19" ht="12.75" hidden="1" customHeight="1" x14ac:dyDescent="0.25">
      <c r="B300" s="68"/>
      <c r="C300" s="68"/>
      <c r="D300" s="72" t="s">
        <v>213</v>
      </c>
      <c r="F300" s="83">
        <f t="shared" si="109"/>
        <v>0</v>
      </c>
      <c r="G300" s="82"/>
      <c r="H300" s="82"/>
      <c r="I300" s="82"/>
      <c r="K300" s="83">
        <f t="shared" si="110"/>
        <v>0</v>
      </c>
      <c r="L300" s="82"/>
      <c r="M300" s="82">
        <v>0</v>
      </c>
      <c r="N300" s="82">
        <v>0</v>
      </c>
      <c r="O300" s="84"/>
      <c r="P300" s="83">
        <f t="shared" si="111"/>
        <v>0</v>
      </c>
      <c r="Q300" s="82"/>
      <c r="R300" s="82"/>
      <c r="S300" s="82"/>
    </row>
    <row r="301" spans="1:19" ht="12.75" customHeight="1" x14ac:dyDescent="0.25">
      <c r="A301" s="58"/>
      <c r="B301" s="68"/>
      <c r="C301" s="68"/>
      <c r="D301" s="68" t="s">
        <v>214</v>
      </c>
      <c r="F301" s="83">
        <f t="shared" si="109"/>
        <v>21850796.199999999</v>
      </c>
      <c r="G301" s="82">
        <v>21850796.199999999</v>
      </c>
      <c r="H301" s="82">
        <v>0</v>
      </c>
      <c r="I301" s="82">
        <v>0</v>
      </c>
      <c r="K301" s="83">
        <f t="shared" si="110"/>
        <v>21850796.199999999</v>
      </c>
      <c r="L301" s="82">
        <v>21850796.199999999</v>
      </c>
      <c r="M301" s="82">
        <v>0</v>
      </c>
      <c r="N301" s="82">
        <v>0</v>
      </c>
      <c r="O301" s="84"/>
      <c r="P301" s="83">
        <f t="shared" si="111"/>
        <v>21850796.199999999</v>
      </c>
      <c r="Q301" s="82">
        <v>21850796.199999999</v>
      </c>
      <c r="R301" s="82">
        <v>0</v>
      </c>
      <c r="S301" s="82">
        <v>0</v>
      </c>
    </row>
    <row r="302" spans="1:19" ht="12.75" customHeight="1" x14ac:dyDescent="0.25">
      <c r="B302" s="68"/>
      <c r="C302" s="68"/>
      <c r="D302" s="72" t="s">
        <v>215</v>
      </c>
      <c r="F302" s="83">
        <f t="shared" si="109"/>
        <v>-6362331.0300000012</v>
      </c>
      <c r="G302" s="82">
        <v>-6362331.0300000012</v>
      </c>
      <c r="H302" s="82">
        <v>0</v>
      </c>
      <c r="I302" s="82"/>
      <c r="K302" s="83">
        <f t="shared" si="110"/>
        <v>-5833488.1300000008</v>
      </c>
      <c r="L302" s="82">
        <v>-5833488.1300000008</v>
      </c>
      <c r="M302" s="82">
        <v>0</v>
      </c>
      <c r="N302" s="82">
        <v>0</v>
      </c>
      <c r="O302" s="84"/>
      <c r="P302" s="83">
        <f t="shared" si="111"/>
        <v>-5507968.8100000005</v>
      </c>
      <c r="Q302" s="82">
        <v>-5507968.8100000005</v>
      </c>
      <c r="R302" s="82">
        <v>0</v>
      </c>
      <c r="S302" s="82">
        <v>0</v>
      </c>
    </row>
    <row r="303" spans="1:19" ht="12.75" hidden="1" customHeight="1" x14ac:dyDescent="0.25">
      <c r="B303" s="68"/>
      <c r="C303" s="68"/>
      <c r="D303" s="72" t="s">
        <v>216</v>
      </c>
      <c r="F303" s="83">
        <f t="shared" si="109"/>
        <v>0</v>
      </c>
      <c r="G303" s="82"/>
      <c r="H303" s="82"/>
      <c r="I303" s="82"/>
      <c r="K303" s="83">
        <f t="shared" si="110"/>
        <v>0</v>
      </c>
      <c r="L303" s="82"/>
      <c r="M303" s="82"/>
      <c r="N303" s="82"/>
      <c r="O303" s="84"/>
      <c r="P303" s="83">
        <f t="shared" si="111"/>
        <v>0</v>
      </c>
      <c r="Q303" s="82"/>
      <c r="R303" s="82"/>
      <c r="S303" s="82"/>
    </row>
    <row r="304" spans="1:19" ht="12.75" hidden="1" customHeight="1" x14ac:dyDescent="0.25">
      <c r="A304" s="58"/>
      <c r="B304" s="68"/>
      <c r="C304" s="68"/>
      <c r="D304" s="68" t="s">
        <v>217</v>
      </c>
      <c r="F304" s="83">
        <f t="shared" si="109"/>
        <v>0</v>
      </c>
      <c r="G304" s="82"/>
      <c r="H304" s="82"/>
      <c r="I304" s="82"/>
      <c r="K304" s="83">
        <f t="shared" si="110"/>
        <v>0</v>
      </c>
      <c r="L304" s="82"/>
      <c r="M304" s="82"/>
      <c r="N304" s="82"/>
      <c r="O304" s="84"/>
      <c r="P304" s="83">
        <f t="shared" si="111"/>
        <v>0</v>
      </c>
      <c r="Q304" s="82"/>
      <c r="R304" s="82"/>
      <c r="S304" s="82"/>
    </row>
    <row r="305" spans="1:19" ht="12.75" hidden="1" customHeight="1" x14ac:dyDescent="0.25">
      <c r="B305" s="68"/>
      <c r="C305" s="68"/>
      <c r="D305" s="72" t="s">
        <v>218</v>
      </c>
      <c r="F305" s="83">
        <f t="shared" si="109"/>
        <v>0</v>
      </c>
      <c r="G305" s="82"/>
      <c r="H305" s="82"/>
      <c r="I305" s="82"/>
      <c r="K305" s="83">
        <f t="shared" si="110"/>
        <v>0</v>
      </c>
      <c r="L305" s="82"/>
      <c r="M305" s="82"/>
      <c r="N305" s="82"/>
      <c r="O305" s="84"/>
      <c r="P305" s="83">
        <f t="shared" si="111"/>
        <v>0</v>
      </c>
      <c r="Q305" s="82"/>
      <c r="R305" s="82"/>
      <c r="S305" s="82"/>
    </row>
    <row r="306" spans="1:19" ht="12.75" hidden="1" customHeight="1" x14ac:dyDescent="0.25">
      <c r="B306" s="68"/>
      <c r="C306" s="68"/>
      <c r="D306" s="72" t="s">
        <v>219</v>
      </c>
      <c r="F306" s="83">
        <f t="shared" si="109"/>
        <v>0</v>
      </c>
      <c r="G306" s="82"/>
      <c r="H306" s="82"/>
      <c r="I306" s="82"/>
      <c r="K306" s="83">
        <f t="shared" si="110"/>
        <v>0</v>
      </c>
      <c r="L306" s="82"/>
      <c r="M306" s="82"/>
      <c r="N306" s="82"/>
      <c r="O306" s="84"/>
      <c r="P306" s="83">
        <f t="shared" si="111"/>
        <v>0</v>
      </c>
      <c r="Q306" s="82"/>
      <c r="R306" s="82"/>
      <c r="S306" s="82"/>
    </row>
    <row r="307" spans="1:19" ht="12.75" customHeight="1" x14ac:dyDescent="0.25">
      <c r="A307" s="58"/>
      <c r="B307" s="68"/>
      <c r="C307" s="68"/>
      <c r="D307" s="68" t="s">
        <v>220</v>
      </c>
      <c r="F307" s="83">
        <f t="shared" si="109"/>
        <v>244429078.85999995</v>
      </c>
      <c r="G307" s="82">
        <v>239928854.38999996</v>
      </c>
      <c r="H307" s="82">
        <v>3131261.7700000005</v>
      </c>
      <c r="I307" s="82">
        <v>1368962.7</v>
      </c>
      <c r="K307" s="83">
        <f t="shared" si="110"/>
        <v>134041811.81999999</v>
      </c>
      <c r="L307" s="82">
        <v>130533282.95999999</v>
      </c>
      <c r="M307" s="82">
        <v>2139566.16</v>
      </c>
      <c r="N307" s="82">
        <v>1368962.7</v>
      </c>
      <c r="O307" s="82"/>
      <c r="P307" s="83">
        <f t="shared" si="111"/>
        <v>59364017.959999993</v>
      </c>
      <c r="Q307" s="82">
        <v>57224451.79999999</v>
      </c>
      <c r="R307" s="82">
        <v>2139566.16</v>
      </c>
      <c r="S307" s="82">
        <v>0</v>
      </c>
    </row>
    <row r="308" spans="1:19" ht="12.75" customHeight="1" x14ac:dyDescent="0.25">
      <c r="B308" s="68"/>
      <c r="C308" s="68"/>
      <c r="D308" s="72" t="s">
        <v>221</v>
      </c>
      <c r="F308" s="83">
        <f t="shared" si="109"/>
        <v>-22668314.91</v>
      </c>
      <c r="G308" s="82">
        <v>-20864292.510000002</v>
      </c>
      <c r="H308" s="82">
        <v>-1596396.9</v>
      </c>
      <c r="I308" s="82">
        <v>-207625.5</v>
      </c>
      <c r="K308" s="83">
        <f t="shared" si="110"/>
        <v>-13436083.020000001</v>
      </c>
      <c r="L308" s="82">
        <v>-12172465.130000001</v>
      </c>
      <c r="M308" s="82">
        <v>-1263617.8899999999</v>
      </c>
      <c r="N308" s="82">
        <v>0</v>
      </c>
      <c r="O308" s="84"/>
      <c r="P308" s="83">
        <f t="shared" si="111"/>
        <v>-9506376.9900000002</v>
      </c>
      <c r="Q308" s="82">
        <v>-8386094.54</v>
      </c>
      <c r="R308" s="82">
        <v>-1120282.45</v>
      </c>
      <c r="S308" s="82">
        <v>0</v>
      </c>
    </row>
    <row r="309" spans="1:19" ht="12.75" hidden="1" customHeight="1" x14ac:dyDescent="0.25">
      <c r="B309" s="68"/>
      <c r="C309" s="68"/>
      <c r="D309" s="72" t="s">
        <v>222</v>
      </c>
      <c r="F309" s="83">
        <f t="shared" si="109"/>
        <v>0</v>
      </c>
      <c r="G309" s="82"/>
      <c r="H309" s="82"/>
      <c r="I309" s="82"/>
      <c r="K309" s="83">
        <f t="shared" si="110"/>
        <v>0</v>
      </c>
      <c r="L309" s="82"/>
      <c r="M309" s="82"/>
      <c r="N309" s="82"/>
      <c r="O309" s="84"/>
      <c r="P309" s="83">
        <f t="shared" si="111"/>
        <v>0</v>
      </c>
      <c r="Q309" s="82"/>
      <c r="R309" s="82"/>
      <c r="S309" s="82"/>
    </row>
    <row r="310" spans="1:19" ht="12.75" customHeight="1" x14ac:dyDescent="0.25">
      <c r="A310" s="58"/>
      <c r="B310" s="67"/>
      <c r="C310" s="67" t="s">
        <v>223</v>
      </c>
      <c r="D310" s="68"/>
      <c r="F310" s="83"/>
      <c r="G310" s="82"/>
      <c r="H310" s="82"/>
      <c r="I310" s="82"/>
      <c r="K310" s="83"/>
      <c r="L310" s="83"/>
      <c r="M310" s="83"/>
      <c r="N310" s="83"/>
      <c r="O310" s="84"/>
      <c r="P310" s="83"/>
      <c r="Q310" s="83"/>
      <c r="R310" s="83"/>
      <c r="S310" s="83"/>
    </row>
    <row r="311" spans="1:19" ht="12.75" customHeight="1" x14ac:dyDescent="0.25">
      <c r="A311" s="58"/>
      <c r="B311" s="68"/>
      <c r="C311" s="68"/>
      <c r="D311" s="68" t="s">
        <v>224</v>
      </c>
      <c r="F311" s="83">
        <f t="shared" ref="F311:F355" si="112">G311+H311+I311</f>
        <v>295040</v>
      </c>
      <c r="G311" s="82">
        <v>295040</v>
      </c>
      <c r="H311" s="82">
        <v>0</v>
      </c>
      <c r="I311" s="82">
        <v>0</v>
      </c>
      <c r="K311" s="83">
        <f t="shared" ref="K311:K355" si="113">L311+M311+N311</f>
        <v>295040</v>
      </c>
      <c r="L311" s="82">
        <v>295040</v>
      </c>
      <c r="M311" s="82">
        <v>0</v>
      </c>
      <c r="N311" s="82">
        <v>0</v>
      </c>
      <c r="O311" s="84"/>
      <c r="P311" s="83">
        <f t="shared" ref="P311:P355" si="114">Q311+R311+S311</f>
        <v>295040</v>
      </c>
      <c r="Q311" s="82">
        <v>295040</v>
      </c>
      <c r="R311" s="82">
        <v>0</v>
      </c>
      <c r="S311" s="82">
        <v>0</v>
      </c>
    </row>
    <row r="312" spans="1:19" ht="12.75" customHeight="1" x14ac:dyDescent="0.25">
      <c r="B312" s="68"/>
      <c r="C312" s="68"/>
      <c r="D312" s="72" t="s">
        <v>225</v>
      </c>
      <c r="F312" s="83">
        <f t="shared" si="112"/>
        <v>-181845.78</v>
      </c>
      <c r="G312" s="82">
        <v>-181845.78</v>
      </c>
      <c r="H312" s="82"/>
      <c r="I312" s="82"/>
      <c r="K312" s="83">
        <f t="shared" si="113"/>
        <v>-181845.78</v>
      </c>
      <c r="L312" s="82">
        <v>-181845.78</v>
      </c>
      <c r="M312" s="82">
        <v>0</v>
      </c>
      <c r="N312" s="82">
        <v>0</v>
      </c>
      <c r="O312" s="84"/>
      <c r="P312" s="83">
        <f t="shared" si="114"/>
        <v>-181845.78</v>
      </c>
      <c r="Q312" s="82">
        <v>-181845.78</v>
      </c>
      <c r="R312" s="82">
        <v>0</v>
      </c>
      <c r="S312" s="82">
        <v>0</v>
      </c>
    </row>
    <row r="313" spans="1:19" ht="12.75" hidden="1" customHeight="1" x14ac:dyDescent="0.25">
      <c r="B313" s="68"/>
      <c r="C313" s="68"/>
      <c r="D313" s="72" t="s">
        <v>226</v>
      </c>
      <c r="F313" s="83">
        <f t="shared" si="112"/>
        <v>0</v>
      </c>
      <c r="G313" s="82"/>
      <c r="H313" s="82"/>
      <c r="I313" s="82"/>
      <c r="K313" s="83">
        <f t="shared" si="113"/>
        <v>0</v>
      </c>
      <c r="L313" s="82"/>
      <c r="M313" s="82"/>
      <c r="N313" s="82"/>
      <c r="O313" s="84"/>
      <c r="P313" s="83">
        <f t="shared" si="114"/>
        <v>0</v>
      </c>
      <c r="Q313" s="82"/>
      <c r="R313" s="82"/>
      <c r="S313" s="82"/>
    </row>
    <row r="314" spans="1:19" ht="12.75" customHeight="1" x14ac:dyDescent="0.25">
      <c r="A314" s="58"/>
      <c r="B314" s="68"/>
      <c r="C314" s="58"/>
      <c r="D314" s="68" t="s">
        <v>3</v>
      </c>
      <c r="F314" s="83">
        <f t="shared" si="112"/>
        <v>32129377.640000001</v>
      </c>
      <c r="G314" s="82">
        <v>30490964.870000001</v>
      </c>
      <c r="H314" s="82">
        <v>1043400.0000000009</v>
      </c>
      <c r="I314" s="82">
        <v>595012.77</v>
      </c>
      <c r="K314" s="83">
        <f t="shared" si="113"/>
        <v>37218301.109999999</v>
      </c>
      <c r="L314" s="82">
        <v>30030118.050000001</v>
      </c>
      <c r="M314" s="82">
        <v>6532918.0600000005</v>
      </c>
      <c r="N314" s="82">
        <v>655265</v>
      </c>
      <c r="O314" s="84"/>
      <c r="P314" s="83">
        <f t="shared" si="114"/>
        <v>31665948.840000004</v>
      </c>
      <c r="Q314" s="82">
        <v>26337020.780000001</v>
      </c>
      <c r="R314" s="82">
        <v>4959438.0600000005</v>
      </c>
      <c r="S314" s="82">
        <v>369490</v>
      </c>
    </row>
    <row r="315" spans="1:19" ht="12.75" customHeight="1" x14ac:dyDescent="0.25">
      <c r="B315" s="68"/>
      <c r="C315" s="68"/>
      <c r="D315" s="72" t="s">
        <v>227</v>
      </c>
      <c r="F315" s="83">
        <f t="shared" si="112"/>
        <v>-20035656.299999997</v>
      </c>
      <c r="G315" s="82">
        <v>-19520090.389999997</v>
      </c>
      <c r="H315" s="82">
        <v>-148358.95999999996</v>
      </c>
      <c r="I315" s="82">
        <v>-367206.94999999955</v>
      </c>
      <c r="K315" s="83">
        <f t="shared" si="113"/>
        <v>-22580392.369999994</v>
      </c>
      <c r="L315" s="82">
        <v>-18775779.709999997</v>
      </c>
      <c r="M315" s="82">
        <v>-3516433.179999995</v>
      </c>
      <c r="N315" s="82">
        <v>-288179.47999999952</v>
      </c>
      <c r="O315" s="84"/>
      <c r="P315" s="83">
        <f t="shared" si="114"/>
        <v>-19414350.550000001</v>
      </c>
      <c r="Q315" s="82">
        <v>-16276682.23</v>
      </c>
      <c r="R315" s="82">
        <v>-2928291.07</v>
      </c>
      <c r="S315" s="82">
        <v>-209377.25</v>
      </c>
    </row>
    <row r="316" spans="1:19" ht="12.75" hidden="1" customHeight="1" x14ac:dyDescent="0.25">
      <c r="B316" s="68"/>
      <c r="C316" s="68"/>
      <c r="D316" s="72" t="s">
        <v>228</v>
      </c>
      <c r="F316" s="83">
        <f t="shared" si="112"/>
        <v>0</v>
      </c>
      <c r="G316" s="82"/>
      <c r="H316" s="82"/>
      <c r="I316" s="82"/>
      <c r="K316" s="83">
        <f t="shared" si="113"/>
        <v>0</v>
      </c>
      <c r="L316" s="82"/>
      <c r="M316" s="82"/>
      <c r="N316" s="82"/>
      <c r="O316" s="84"/>
      <c r="P316" s="83">
        <f t="shared" si="114"/>
        <v>0</v>
      </c>
      <c r="Q316" s="82"/>
      <c r="R316" s="82"/>
      <c r="S316" s="82"/>
    </row>
    <row r="317" spans="1:19" ht="12.75" customHeight="1" x14ac:dyDescent="0.25">
      <c r="A317" s="58"/>
      <c r="B317" s="68"/>
      <c r="C317" s="68"/>
      <c r="D317" s="68" t="s">
        <v>229</v>
      </c>
      <c r="F317" s="83">
        <f t="shared" si="112"/>
        <v>59875298.069999993</v>
      </c>
      <c r="G317" s="82">
        <v>50676065.969999991</v>
      </c>
      <c r="H317" s="82">
        <v>6450800</v>
      </c>
      <c r="I317" s="82">
        <v>2748432.1</v>
      </c>
      <c r="K317" s="83">
        <f t="shared" si="113"/>
        <v>66141899.479999997</v>
      </c>
      <c r="L317" s="82">
        <v>48668264.379999995</v>
      </c>
      <c r="M317" s="82">
        <v>14022201</v>
      </c>
      <c r="N317" s="82">
        <v>3451434.1</v>
      </c>
      <c r="O317" s="84"/>
      <c r="P317" s="83">
        <f t="shared" si="114"/>
        <v>59990782.379999995</v>
      </c>
      <c r="Q317" s="82">
        <v>46284510.379999995</v>
      </c>
      <c r="R317" s="82">
        <v>12643101</v>
      </c>
      <c r="S317" s="82">
        <v>1063171</v>
      </c>
    </row>
    <row r="318" spans="1:19" ht="12.75" customHeight="1" x14ac:dyDescent="0.25">
      <c r="B318" s="68"/>
      <c r="C318" s="68"/>
      <c r="D318" s="72" t="s">
        <v>230</v>
      </c>
      <c r="F318" s="83">
        <f t="shared" si="112"/>
        <v>-39073020.509999998</v>
      </c>
      <c r="G318" s="82">
        <v>-35143599.529999994</v>
      </c>
      <c r="H318" s="82">
        <v>-2667050.5500000035</v>
      </c>
      <c r="I318" s="82">
        <v>-1262370.4300000002</v>
      </c>
      <c r="K318" s="83">
        <f t="shared" si="113"/>
        <v>-41554308.350000001</v>
      </c>
      <c r="L318" s="82">
        <v>-32856837.589999996</v>
      </c>
      <c r="M318" s="82">
        <v>-7966108.1700000027</v>
      </c>
      <c r="N318" s="82">
        <v>-731362.59000000008</v>
      </c>
      <c r="O318" s="84"/>
      <c r="P318" s="83">
        <f t="shared" si="114"/>
        <v>-36209080.359999999</v>
      </c>
      <c r="Q318" s="82">
        <v>-30403006.59</v>
      </c>
      <c r="R318" s="82">
        <v>-5377636.6799999997</v>
      </c>
      <c r="S318" s="82">
        <v>-428437.09</v>
      </c>
    </row>
    <row r="319" spans="1:19" ht="12.75" hidden="1" customHeight="1" x14ac:dyDescent="0.25">
      <c r="B319" s="68"/>
      <c r="C319" s="68"/>
      <c r="D319" s="72" t="s">
        <v>231</v>
      </c>
      <c r="F319" s="83">
        <f t="shared" si="112"/>
        <v>0</v>
      </c>
      <c r="G319" s="82"/>
      <c r="H319" s="82"/>
      <c r="I319" s="82"/>
      <c r="K319" s="83">
        <f t="shared" si="113"/>
        <v>0</v>
      </c>
      <c r="L319" s="82"/>
      <c r="M319" s="82"/>
      <c r="N319" s="82"/>
      <c r="O319" s="84"/>
      <c r="P319" s="83">
        <f t="shared" si="114"/>
        <v>0</v>
      </c>
      <c r="Q319" s="82"/>
      <c r="R319" s="82"/>
      <c r="S319" s="82"/>
    </row>
    <row r="320" spans="1:19" ht="12.75" customHeight="1" x14ac:dyDescent="0.25">
      <c r="A320" s="58"/>
      <c r="B320" s="68"/>
      <c r="C320" s="68"/>
      <c r="D320" s="68" t="s">
        <v>232</v>
      </c>
      <c r="F320" s="83">
        <f t="shared" si="112"/>
        <v>6770273.0000000009</v>
      </c>
      <c r="G320" s="82">
        <v>4818988.0000000009</v>
      </c>
      <c r="H320" s="82">
        <v>0</v>
      </c>
      <c r="I320" s="82">
        <v>1951285</v>
      </c>
      <c r="K320" s="83">
        <f t="shared" si="113"/>
        <v>5233229.6000000006</v>
      </c>
      <c r="L320" s="82">
        <v>5039229.6000000006</v>
      </c>
      <c r="M320" s="82">
        <v>0</v>
      </c>
      <c r="N320" s="82">
        <v>194000</v>
      </c>
      <c r="O320" s="84"/>
      <c r="P320" s="83">
        <f t="shared" si="114"/>
        <v>4627091.6000000006</v>
      </c>
      <c r="Q320" s="82">
        <v>4433091.6000000006</v>
      </c>
      <c r="R320" s="82">
        <v>0</v>
      </c>
      <c r="S320" s="82">
        <v>194000</v>
      </c>
    </row>
    <row r="321" spans="1:19" ht="12.75" customHeight="1" x14ac:dyDescent="0.25">
      <c r="B321" s="68"/>
      <c r="C321" s="68"/>
      <c r="D321" s="72" t="s">
        <v>233</v>
      </c>
      <c r="F321" s="83">
        <f t="shared" si="112"/>
        <v>-4316546.46</v>
      </c>
      <c r="G321" s="82">
        <v>-4137434.4200000004</v>
      </c>
      <c r="H321" s="82">
        <v>0</v>
      </c>
      <c r="I321" s="82">
        <v>-179112.03999999998</v>
      </c>
      <c r="K321" s="83">
        <f t="shared" si="113"/>
        <v>-827030.63000000012</v>
      </c>
      <c r="L321" s="82">
        <v>-764061.60000000009</v>
      </c>
      <c r="M321" s="82">
        <v>0</v>
      </c>
      <c r="N321" s="82">
        <v>-62969.03</v>
      </c>
      <c r="O321" s="84"/>
      <c r="P321" s="83">
        <f t="shared" si="114"/>
        <v>-750286.65999999992</v>
      </c>
      <c r="Q321" s="82">
        <v>-707283.42</v>
      </c>
      <c r="R321" s="82">
        <v>0</v>
      </c>
      <c r="S321" s="82">
        <v>-43003.239999999903</v>
      </c>
    </row>
    <row r="322" spans="1:19" ht="12.75" hidden="1" customHeight="1" x14ac:dyDescent="0.25">
      <c r="B322" s="68"/>
      <c r="C322" s="68"/>
      <c r="D322" s="72" t="s">
        <v>234</v>
      </c>
      <c r="F322" s="83">
        <f t="shared" si="112"/>
        <v>0</v>
      </c>
      <c r="G322" s="82"/>
      <c r="H322" s="82"/>
      <c r="I322" s="82"/>
      <c r="K322" s="83">
        <f t="shared" si="113"/>
        <v>0</v>
      </c>
      <c r="L322" s="82"/>
      <c r="M322" s="82">
        <v>0</v>
      </c>
      <c r="N322" s="82"/>
      <c r="O322" s="84"/>
      <c r="P322" s="83">
        <f t="shared" si="114"/>
        <v>0</v>
      </c>
      <c r="Q322" s="82"/>
      <c r="R322" s="82"/>
      <c r="S322" s="82"/>
    </row>
    <row r="323" spans="1:19" ht="12.75" customHeight="1" x14ac:dyDescent="0.25">
      <c r="A323" s="58"/>
      <c r="B323" s="68"/>
      <c r="C323" s="68"/>
      <c r="D323" s="68" t="s">
        <v>235</v>
      </c>
      <c r="F323" s="83">
        <f t="shared" si="112"/>
        <v>0</v>
      </c>
      <c r="G323" s="82"/>
      <c r="H323" s="82"/>
      <c r="I323" s="82"/>
      <c r="K323" s="83">
        <f t="shared" si="113"/>
        <v>19400</v>
      </c>
      <c r="L323" s="82">
        <v>19400</v>
      </c>
      <c r="M323" s="82">
        <v>0</v>
      </c>
      <c r="N323" s="82">
        <v>0</v>
      </c>
      <c r="O323" s="84"/>
      <c r="P323" s="83">
        <f t="shared" si="114"/>
        <v>19400</v>
      </c>
      <c r="Q323" s="82">
        <v>19400</v>
      </c>
      <c r="R323" s="82">
        <v>0</v>
      </c>
      <c r="S323" s="82">
        <v>0</v>
      </c>
    </row>
    <row r="324" spans="1:19" ht="12.75" customHeight="1" x14ac:dyDescent="0.25">
      <c r="B324" s="68"/>
      <c r="C324" s="68"/>
      <c r="D324" s="72" t="s">
        <v>236</v>
      </c>
      <c r="F324" s="83">
        <f t="shared" si="112"/>
        <v>0</v>
      </c>
      <c r="G324" s="82"/>
      <c r="H324" s="82"/>
      <c r="I324" s="82"/>
      <c r="K324" s="83">
        <f t="shared" si="113"/>
        <v>-13443</v>
      </c>
      <c r="L324" s="82">
        <v>-13443</v>
      </c>
      <c r="M324" s="82">
        <v>0</v>
      </c>
      <c r="N324" s="82">
        <v>0</v>
      </c>
      <c r="O324" s="84"/>
      <c r="P324" s="83">
        <f t="shared" si="114"/>
        <v>-13443</v>
      </c>
      <c r="Q324" s="82">
        <v>-13443</v>
      </c>
      <c r="R324" s="82">
        <v>0</v>
      </c>
      <c r="S324" s="82">
        <v>0</v>
      </c>
    </row>
    <row r="325" spans="1:19" ht="12.75" hidden="1" customHeight="1" x14ac:dyDescent="0.25">
      <c r="B325" s="68"/>
      <c r="C325" s="68"/>
      <c r="D325" s="72" t="s">
        <v>237</v>
      </c>
      <c r="F325" s="83">
        <f t="shared" si="112"/>
        <v>0</v>
      </c>
      <c r="G325" s="82"/>
      <c r="H325" s="82"/>
      <c r="I325" s="82"/>
      <c r="K325" s="83">
        <f t="shared" si="113"/>
        <v>0</v>
      </c>
      <c r="L325" s="82"/>
      <c r="M325" s="82"/>
      <c r="N325" s="82"/>
      <c r="O325" s="84"/>
      <c r="P325" s="83">
        <f t="shared" si="114"/>
        <v>0</v>
      </c>
      <c r="Q325" s="82"/>
      <c r="R325" s="82"/>
      <c r="S325" s="82"/>
    </row>
    <row r="326" spans="1:19" ht="12.75" hidden="1" customHeight="1" x14ac:dyDescent="0.25">
      <c r="A326" s="58"/>
      <c r="B326" s="68"/>
      <c r="C326" s="58"/>
      <c r="D326" s="68" t="s">
        <v>238</v>
      </c>
      <c r="F326" s="83">
        <f t="shared" si="112"/>
        <v>0</v>
      </c>
      <c r="G326" s="82"/>
      <c r="H326" s="82"/>
      <c r="I326" s="82"/>
      <c r="K326" s="83">
        <f t="shared" si="113"/>
        <v>0</v>
      </c>
      <c r="L326" s="82"/>
      <c r="M326" s="82"/>
      <c r="N326" s="82"/>
      <c r="O326" s="84"/>
      <c r="P326" s="83">
        <f t="shared" si="114"/>
        <v>0</v>
      </c>
      <c r="Q326" s="82"/>
      <c r="R326" s="82"/>
      <c r="S326" s="82"/>
    </row>
    <row r="327" spans="1:19" ht="12.75" hidden="1" customHeight="1" x14ac:dyDescent="0.25">
      <c r="B327" s="68"/>
      <c r="C327" s="68"/>
      <c r="D327" s="72" t="s">
        <v>239</v>
      </c>
      <c r="F327" s="83">
        <f t="shared" si="112"/>
        <v>0</v>
      </c>
      <c r="G327" s="82"/>
      <c r="H327" s="82"/>
      <c r="I327" s="82"/>
      <c r="K327" s="83">
        <f t="shared" si="113"/>
        <v>0</v>
      </c>
      <c r="L327" s="82"/>
      <c r="M327" s="82"/>
      <c r="N327" s="82"/>
      <c r="O327" s="84"/>
      <c r="P327" s="83">
        <f t="shared" si="114"/>
        <v>0</v>
      </c>
      <c r="Q327" s="82"/>
      <c r="R327" s="82"/>
      <c r="S327" s="82"/>
    </row>
    <row r="328" spans="1:19" ht="12.75" hidden="1" customHeight="1" x14ac:dyDescent="0.25">
      <c r="B328" s="68"/>
      <c r="C328" s="68"/>
      <c r="D328" s="72" t="s">
        <v>240</v>
      </c>
      <c r="F328" s="83">
        <f t="shared" si="112"/>
        <v>0</v>
      </c>
      <c r="G328" s="82"/>
      <c r="H328" s="82"/>
      <c r="I328" s="82"/>
      <c r="K328" s="83">
        <f t="shared" si="113"/>
        <v>0</v>
      </c>
      <c r="L328" s="82"/>
      <c r="M328" s="82"/>
      <c r="N328" s="82"/>
      <c r="O328" s="84"/>
      <c r="P328" s="83">
        <f t="shared" si="114"/>
        <v>0</v>
      </c>
      <c r="Q328" s="82"/>
      <c r="R328" s="82"/>
      <c r="S328" s="82"/>
    </row>
    <row r="329" spans="1:19" ht="12.75" customHeight="1" x14ac:dyDescent="0.25">
      <c r="A329" s="58"/>
      <c r="B329" s="68"/>
      <c r="C329" s="58"/>
      <c r="D329" s="68" t="s">
        <v>2</v>
      </c>
      <c r="F329" s="83">
        <f t="shared" si="112"/>
        <v>12440993.960000001</v>
      </c>
      <c r="G329" s="82">
        <v>11840991.17</v>
      </c>
      <c r="H329" s="82">
        <v>566902.79</v>
      </c>
      <c r="I329" s="82">
        <v>33100.000000000015</v>
      </c>
      <c r="K329" s="83">
        <f t="shared" si="113"/>
        <v>17150070.52</v>
      </c>
      <c r="L329" s="82">
        <v>16487059.960000001</v>
      </c>
      <c r="M329" s="82">
        <v>518032.79000000004</v>
      </c>
      <c r="N329" s="82">
        <v>144977.77000000002</v>
      </c>
      <c r="O329" s="84"/>
      <c r="P329" s="83">
        <f t="shared" si="114"/>
        <v>16812999.75</v>
      </c>
      <c r="Q329" s="82">
        <v>16275766.960000001</v>
      </c>
      <c r="R329" s="82">
        <v>518032.79000000004</v>
      </c>
      <c r="S329" s="82">
        <v>19200</v>
      </c>
    </row>
    <row r="330" spans="1:19" ht="12.75" customHeight="1" x14ac:dyDescent="0.25">
      <c r="B330" s="68"/>
      <c r="C330" s="68"/>
      <c r="D330" s="72" t="s">
        <v>241</v>
      </c>
      <c r="F330" s="83">
        <f t="shared" si="112"/>
        <v>-9680659.4600000046</v>
      </c>
      <c r="G330" s="82">
        <v>-9273486.8100000042</v>
      </c>
      <c r="H330" s="82">
        <v>-398809.40999999974</v>
      </c>
      <c r="I330" s="82">
        <v>-8363.24</v>
      </c>
      <c r="K330" s="83">
        <f t="shared" si="113"/>
        <v>-12011208.930000005</v>
      </c>
      <c r="L330" s="82">
        <v>-11748232.870000005</v>
      </c>
      <c r="M330" s="82">
        <v>-257252.83999999976</v>
      </c>
      <c r="N330" s="82">
        <v>-5723.22</v>
      </c>
      <c r="O330" s="84"/>
      <c r="P330" s="83">
        <f t="shared" si="114"/>
        <v>-11618801.99</v>
      </c>
      <c r="Q330" s="82">
        <v>-11375156.85</v>
      </c>
      <c r="R330" s="82">
        <v>-243645.14</v>
      </c>
      <c r="S330" s="82">
        <v>0</v>
      </c>
    </row>
    <row r="331" spans="1:19" ht="12.75" hidden="1" customHeight="1" x14ac:dyDescent="0.25">
      <c r="B331" s="68"/>
      <c r="C331" s="68"/>
      <c r="D331" s="72" t="s">
        <v>242</v>
      </c>
      <c r="F331" s="83">
        <f t="shared" si="112"/>
        <v>0</v>
      </c>
      <c r="G331" s="82"/>
      <c r="H331" s="82"/>
      <c r="I331" s="82"/>
      <c r="K331" s="83">
        <f t="shared" si="113"/>
        <v>0</v>
      </c>
      <c r="L331" s="82"/>
      <c r="M331" s="82"/>
      <c r="N331" s="82"/>
      <c r="O331" s="84"/>
      <c r="P331" s="83">
        <f t="shared" si="114"/>
        <v>0</v>
      </c>
      <c r="Q331" s="82"/>
      <c r="R331" s="82"/>
      <c r="S331" s="82">
        <v>0</v>
      </c>
    </row>
    <row r="332" spans="1:19" ht="12.75" customHeight="1" x14ac:dyDescent="0.25">
      <c r="A332" s="58"/>
      <c r="B332" s="68"/>
      <c r="C332" s="68"/>
      <c r="D332" s="68" t="s">
        <v>243</v>
      </c>
      <c r="F332" s="83">
        <f t="shared" si="112"/>
        <v>323232763.63999999</v>
      </c>
      <c r="G332" s="82">
        <v>321982763.63999999</v>
      </c>
      <c r="H332" s="82">
        <v>0</v>
      </c>
      <c r="I332" s="82">
        <v>1250000</v>
      </c>
      <c r="K332" s="83">
        <f t="shared" si="113"/>
        <v>247740263.63999999</v>
      </c>
      <c r="L332" s="82">
        <v>246490263.63999999</v>
      </c>
      <c r="M332" s="82">
        <v>0</v>
      </c>
      <c r="N332" s="82">
        <v>1250000</v>
      </c>
      <c r="O332" s="84"/>
      <c r="P332" s="83">
        <f t="shared" si="114"/>
        <v>213840263.63999999</v>
      </c>
      <c r="Q332" s="82">
        <v>212590263.63999999</v>
      </c>
      <c r="R332" s="82">
        <v>0</v>
      </c>
      <c r="S332" s="82">
        <v>1250000</v>
      </c>
    </row>
    <row r="333" spans="1:19" ht="12.75" customHeight="1" x14ac:dyDescent="0.25">
      <c r="B333" s="68"/>
      <c r="C333" s="68"/>
      <c r="D333" s="72" t="s">
        <v>244</v>
      </c>
      <c r="F333" s="83">
        <f t="shared" si="112"/>
        <v>-192786624.31999999</v>
      </c>
      <c r="G333" s="82">
        <v>-192401207.53</v>
      </c>
      <c r="H333" s="82">
        <v>0</v>
      </c>
      <c r="I333" s="82">
        <v>-385416.79000000004</v>
      </c>
      <c r="K333" s="83">
        <f t="shared" si="113"/>
        <v>-147857334.44999999</v>
      </c>
      <c r="L333" s="82">
        <v>-147609938.69999999</v>
      </c>
      <c r="M333" s="82">
        <v>0</v>
      </c>
      <c r="N333" s="82">
        <v>-247395.75</v>
      </c>
      <c r="O333" s="84"/>
      <c r="P333" s="83">
        <f t="shared" si="114"/>
        <v>-126199164.84999999</v>
      </c>
      <c r="Q333" s="82">
        <v>-126080414.89</v>
      </c>
      <c r="R333" s="82">
        <v>0</v>
      </c>
      <c r="S333" s="82">
        <v>-118749.96</v>
      </c>
    </row>
    <row r="334" spans="1:19" ht="12.75" hidden="1" customHeight="1" x14ac:dyDescent="0.25">
      <c r="B334" s="68"/>
      <c r="C334" s="68"/>
      <c r="D334" s="72" t="s">
        <v>245</v>
      </c>
      <c r="F334" s="83">
        <f t="shared" si="112"/>
        <v>0</v>
      </c>
      <c r="G334" s="82"/>
      <c r="H334" s="82">
        <v>0</v>
      </c>
      <c r="I334" s="82"/>
      <c r="K334" s="83">
        <f t="shared" si="113"/>
        <v>0</v>
      </c>
      <c r="L334" s="82"/>
      <c r="M334" s="82">
        <v>0</v>
      </c>
      <c r="N334" s="82"/>
      <c r="O334" s="84"/>
      <c r="P334" s="83">
        <f t="shared" si="114"/>
        <v>0</v>
      </c>
      <c r="Q334" s="82"/>
      <c r="R334" s="82">
        <v>0</v>
      </c>
      <c r="S334" s="82"/>
    </row>
    <row r="335" spans="1:19" ht="12.75" customHeight="1" x14ac:dyDescent="0.25">
      <c r="A335" s="58"/>
      <c r="B335" s="68"/>
      <c r="C335" s="76"/>
      <c r="D335" s="76" t="s">
        <v>246</v>
      </c>
      <c r="F335" s="83">
        <f t="shared" si="112"/>
        <v>5209287</v>
      </c>
      <c r="G335" s="82">
        <v>5209287</v>
      </c>
      <c r="H335" s="82">
        <v>0</v>
      </c>
      <c r="I335" s="82">
        <v>0</v>
      </c>
      <c r="K335" s="83">
        <f t="shared" si="113"/>
        <v>6030159.5</v>
      </c>
      <c r="L335" s="82">
        <v>6030159.5</v>
      </c>
      <c r="M335" s="82">
        <v>0</v>
      </c>
      <c r="N335" s="82">
        <v>0</v>
      </c>
      <c r="O335" s="84"/>
      <c r="P335" s="83">
        <f t="shared" si="114"/>
        <v>6030159.5</v>
      </c>
      <c r="Q335" s="82">
        <v>6030159.5</v>
      </c>
      <c r="R335" s="82">
        <v>0</v>
      </c>
      <c r="S335" s="82">
        <v>0</v>
      </c>
    </row>
    <row r="336" spans="1:19" ht="12.75" customHeight="1" x14ac:dyDescent="0.25">
      <c r="B336" s="68"/>
      <c r="C336" s="68"/>
      <c r="D336" s="72" t="s">
        <v>247</v>
      </c>
      <c r="F336" s="83">
        <f t="shared" si="112"/>
        <v>-4364732.4399999985</v>
      </c>
      <c r="G336" s="82">
        <v>-4364732.4399999985</v>
      </c>
      <c r="H336" s="82">
        <v>0</v>
      </c>
      <c r="I336" s="82">
        <v>0</v>
      </c>
      <c r="K336" s="83">
        <f t="shared" si="113"/>
        <v>-4230963.0999999978</v>
      </c>
      <c r="L336" s="82">
        <v>-4230963.0999999978</v>
      </c>
      <c r="M336" s="82">
        <v>0</v>
      </c>
      <c r="N336" s="82">
        <v>0</v>
      </c>
      <c r="O336" s="84"/>
      <c r="P336" s="83">
        <f t="shared" si="114"/>
        <v>-3989962.5</v>
      </c>
      <c r="Q336" s="82">
        <v>-3989962.5</v>
      </c>
      <c r="R336" s="82">
        <v>0</v>
      </c>
      <c r="S336" s="82">
        <v>0</v>
      </c>
    </row>
    <row r="337" spans="1:19" ht="12.75" hidden="1" customHeight="1" x14ac:dyDescent="0.25">
      <c r="B337" s="68"/>
      <c r="C337" s="68"/>
      <c r="D337" s="72" t="s">
        <v>248</v>
      </c>
      <c r="F337" s="83">
        <f t="shared" si="112"/>
        <v>0</v>
      </c>
      <c r="G337" s="82"/>
      <c r="H337" s="82">
        <v>0</v>
      </c>
      <c r="I337" s="82">
        <v>0</v>
      </c>
      <c r="K337" s="83">
        <f t="shared" si="113"/>
        <v>0</v>
      </c>
      <c r="L337" s="82"/>
      <c r="M337" s="82">
        <v>0</v>
      </c>
      <c r="N337" s="82">
        <v>0</v>
      </c>
      <c r="O337" s="84"/>
      <c r="P337" s="83">
        <f t="shared" si="114"/>
        <v>0</v>
      </c>
      <c r="Q337" s="82"/>
      <c r="R337" s="82">
        <v>0</v>
      </c>
      <c r="S337" s="82">
        <v>0</v>
      </c>
    </row>
    <row r="338" spans="1:19" ht="12.75" customHeight="1" x14ac:dyDescent="0.25">
      <c r="A338" s="58"/>
      <c r="B338" s="68"/>
      <c r="C338" s="68"/>
      <c r="D338" s="68" t="s">
        <v>249</v>
      </c>
      <c r="F338" s="83">
        <f t="shared" si="112"/>
        <v>336450</v>
      </c>
      <c r="G338" s="82">
        <v>336450</v>
      </c>
      <c r="H338" s="82">
        <v>0</v>
      </c>
      <c r="I338" s="82">
        <v>0</v>
      </c>
      <c r="K338" s="83">
        <f t="shared" si="113"/>
        <v>836331.48</v>
      </c>
      <c r="L338" s="82">
        <v>836331.48</v>
      </c>
      <c r="M338" s="82">
        <v>0</v>
      </c>
      <c r="N338" s="82">
        <v>0</v>
      </c>
      <c r="O338" s="84"/>
      <c r="P338" s="83">
        <f t="shared" si="114"/>
        <v>2404331.48</v>
      </c>
      <c r="Q338" s="82">
        <v>2404331.48</v>
      </c>
      <c r="R338" s="82">
        <v>0</v>
      </c>
      <c r="S338" s="82">
        <v>0</v>
      </c>
    </row>
    <row r="339" spans="1:19" ht="12.75" customHeight="1" x14ac:dyDescent="0.25">
      <c r="B339" s="68"/>
      <c r="C339" s="68"/>
      <c r="D339" s="72" t="s">
        <v>250</v>
      </c>
      <c r="F339" s="83">
        <f t="shared" si="112"/>
        <v>-308891.92000000004</v>
      </c>
      <c r="G339" s="82">
        <v>-308891.92000000004</v>
      </c>
      <c r="H339" s="82">
        <v>0</v>
      </c>
      <c r="I339" s="82">
        <v>0</v>
      </c>
      <c r="K339" s="83">
        <f t="shared" si="113"/>
        <v>-534109.82000000007</v>
      </c>
      <c r="L339" s="82">
        <v>-534109.82000000007</v>
      </c>
      <c r="M339" s="82">
        <v>0</v>
      </c>
      <c r="N339" s="82">
        <v>0</v>
      </c>
      <c r="O339" s="84"/>
      <c r="P339" s="83">
        <f t="shared" si="114"/>
        <v>-1806369.74</v>
      </c>
      <c r="Q339" s="82">
        <v>-1806369.74</v>
      </c>
      <c r="R339" s="82">
        <v>0</v>
      </c>
      <c r="S339" s="82">
        <v>0</v>
      </c>
    </row>
    <row r="340" spans="1:19" ht="12.75" hidden="1" customHeight="1" x14ac:dyDescent="0.25">
      <c r="B340" s="68"/>
      <c r="C340" s="68"/>
      <c r="D340" s="72" t="s">
        <v>251</v>
      </c>
      <c r="F340" s="83">
        <f t="shared" si="112"/>
        <v>0</v>
      </c>
      <c r="G340" s="82"/>
      <c r="H340" s="82">
        <v>0</v>
      </c>
      <c r="I340" s="82"/>
      <c r="K340" s="83">
        <f t="shared" si="113"/>
        <v>0</v>
      </c>
      <c r="L340" s="82"/>
      <c r="M340" s="82">
        <v>0</v>
      </c>
      <c r="N340" s="82"/>
      <c r="O340" s="84"/>
      <c r="P340" s="83">
        <f t="shared" si="114"/>
        <v>0</v>
      </c>
      <c r="Q340" s="82"/>
      <c r="R340" s="82"/>
      <c r="S340" s="82"/>
    </row>
    <row r="341" spans="1:19" ht="12.75" customHeight="1" x14ac:dyDescent="0.25">
      <c r="A341" s="58"/>
      <c r="B341" s="68"/>
      <c r="C341" s="68"/>
      <c r="D341" s="68" t="s">
        <v>252</v>
      </c>
      <c r="F341" s="83">
        <f t="shared" si="112"/>
        <v>15057383.560000001</v>
      </c>
      <c r="G341" s="82">
        <v>14926883.560000001</v>
      </c>
      <c r="H341" s="82">
        <v>0</v>
      </c>
      <c r="I341" s="82">
        <v>130500</v>
      </c>
      <c r="K341" s="83">
        <f t="shared" si="113"/>
        <v>6701284.6600000001</v>
      </c>
      <c r="L341" s="82">
        <v>6570784.6600000001</v>
      </c>
      <c r="M341" s="82">
        <v>0</v>
      </c>
      <c r="N341" s="82">
        <v>130500</v>
      </c>
      <c r="O341" s="84"/>
      <c r="P341" s="83">
        <f t="shared" si="114"/>
        <v>5253984.66</v>
      </c>
      <c r="Q341" s="82">
        <v>4646984.66</v>
      </c>
      <c r="R341" s="82">
        <v>0</v>
      </c>
      <c r="S341" s="82">
        <v>607000</v>
      </c>
    </row>
    <row r="342" spans="1:19" ht="12.75" customHeight="1" x14ac:dyDescent="0.25">
      <c r="B342" s="68"/>
      <c r="C342" s="68"/>
      <c r="D342" s="72" t="s">
        <v>253</v>
      </c>
      <c r="F342" s="83">
        <f t="shared" si="112"/>
        <v>-3242116.5999999992</v>
      </c>
      <c r="G342" s="82">
        <v>-3220320.7599999993</v>
      </c>
      <c r="H342" s="82">
        <v>0</v>
      </c>
      <c r="I342" s="82">
        <v>-21795.84</v>
      </c>
      <c r="K342" s="83">
        <f t="shared" si="113"/>
        <v>-2887786.7599999988</v>
      </c>
      <c r="L342" s="82">
        <v>-2879478.209999999</v>
      </c>
      <c r="M342" s="82">
        <v>0</v>
      </c>
      <c r="N342" s="82">
        <v>-8308.5499999999993</v>
      </c>
      <c r="O342" s="84"/>
      <c r="P342" s="83">
        <f t="shared" si="114"/>
        <v>-2625453.35</v>
      </c>
      <c r="Q342" s="82">
        <v>-2593343.33</v>
      </c>
      <c r="R342" s="82">
        <v>0</v>
      </c>
      <c r="S342" s="82">
        <v>-32110.02</v>
      </c>
    </row>
    <row r="343" spans="1:19" ht="12.75" hidden="1" customHeight="1" x14ac:dyDescent="0.25">
      <c r="B343" s="68"/>
      <c r="C343" s="68"/>
      <c r="D343" s="72" t="s">
        <v>254</v>
      </c>
      <c r="F343" s="83">
        <f t="shared" si="112"/>
        <v>0</v>
      </c>
      <c r="G343" s="82"/>
      <c r="H343" s="82">
        <v>0</v>
      </c>
      <c r="I343" s="82"/>
      <c r="K343" s="83">
        <f t="shared" si="113"/>
        <v>0</v>
      </c>
      <c r="L343" s="82"/>
      <c r="M343" s="82"/>
      <c r="N343" s="82"/>
      <c r="O343" s="84"/>
      <c r="P343" s="83">
        <f t="shared" si="114"/>
        <v>0</v>
      </c>
      <c r="Q343" s="82"/>
      <c r="R343" s="82"/>
      <c r="S343" s="82"/>
    </row>
    <row r="344" spans="1:19" ht="12.75" hidden="1" customHeight="1" x14ac:dyDescent="0.25">
      <c r="A344" s="58"/>
      <c r="B344" s="68"/>
      <c r="C344" s="68"/>
      <c r="D344" s="68" t="s">
        <v>255</v>
      </c>
      <c r="F344" s="83">
        <f t="shared" si="112"/>
        <v>0</v>
      </c>
      <c r="G344" s="82"/>
      <c r="H344" s="82">
        <v>0</v>
      </c>
      <c r="I344" s="82"/>
      <c r="K344" s="83">
        <f t="shared" si="113"/>
        <v>0</v>
      </c>
      <c r="L344" s="82"/>
      <c r="M344" s="82"/>
      <c r="N344" s="82"/>
      <c r="O344" s="84"/>
      <c r="P344" s="83">
        <f t="shared" si="114"/>
        <v>0</v>
      </c>
      <c r="Q344" s="82"/>
      <c r="R344" s="82"/>
      <c r="S344" s="82"/>
    </row>
    <row r="345" spans="1:19" ht="12.75" hidden="1" customHeight="1" x14ac:dyDescent="0.25">
      <c r="B345" s="68"/>
      <c r="C345" s="68"/>
      <c r="D345" s="72" t="s">
        <v>256</v>
      </c>
      <c r="F345" s="83">
        <f t="shared" si="112"/>
        <v>0</v>
      </c>
      <c r="G345" s="82"/>
      <c r="H345" s="82">
        <v>0</v>
      </c>
      <c r="I345" s="82"/>
      <c r="K345" s="83">
        <f t="shared" si="113"/>
        <v>0</v>
      </c>
      <c r="L345" s="82"/>
      <c r="M345" s="82"/>
      <c r="N345" s="82"/>
      <c r="O345" s="84"/>
      <c r="P345" s="83">
        <f t="shared" si="114"/>
        <v>0</v>
      </c>
      <c r="Q345" s="82"/>
      <c r="R345" s="82"/>
      <c r="S345" s="82"/>
    </row>
    <row r="346" spans="1:19" ht="12.75" hidden="1" customHeight="1" x14ac:dyDescent="0.25">
      <c r="B346" s="68"/>
      <c r="C346" s="68"/>
      <c r="D346" s="72" t="s">
        <v>257</v>
      </c>
      <c r="F346" s="83">
        <f t="shared" si="112"/>
        <v>0</v>
      </c>
      <c r="G346" s="82"/>
      <c r="H346" s="82">
        <v>0</v>
      </c>
      <c r="I346" s="82"/>
      <c r="K346" s="83">
        <f t="shared" si="113"/>
        <v>0</v>
      </c>
      <c r="L346" s="82"/>
      <c r="M346" s="82"/>
      <c r="N346" s="82"/>
      <c r="O346" s="84"/>
      <c r="P346" s="83">
        <f t="shared" si="114"/>
        <v>0</v>
      </c>
      <c r="Q346" s="82"/>
      <c r="R346" s="82"/>
      <c r="S346" s="82"/>
    </row>
    <row r="347" spans="1:19" ht="12.75" customHeight="1" x14ac:dyDescent="0.25">
      <c r="A347" s="58"/>
      <c r="B347" s="68"/>
      <c r="C347" s="68"/>
      <c r="D347" s="68" t="s">
        <v>0</v>
      </c>
      <c r="F347" s="83">
        <f t="shared" si="112"/>
        <v>3965905.0300000003</v>
      </c>
      <c r="G347" s="82">
        <v>3965905.0300000003</v>
      </c>
      <c r="H347" s="82">
        <v>0</v>
      </c>
      <c r="I347" s="82">
        <v>0</v>
      </c>
      <c r="K347" s="83">
        <f t="shared" si="113"/>
        <v>4993568.2300000004</v>
      </c>
      <c r="L347" s="82">
        <v>4254768.2300000004</v>
      </c>
      <c r="M347" s="82">
        <v>738800</v>
      </c>
      <c r="N347" s="82">
        <v>0</v>
      </c>
      <c r="O347" s="84"/>
      <c r="P347" s="83">
        <f t="shared" si="114"/>
        <v>4552918.2300000004</v>
      </c>
      <c r="Q347" s="82">
        <v>3814118.23</v>
      </c>
      <c r="R347" s="82">
        <v>738800</v>
      </c>
      <c r="S347" s="82">
        <v>0</v>
      </c>
    </row>
    <row r="348" spans="1:19" ht="12.75" customHeight="1" x14ac:dyDescent="0.25">
      <c r="B348" s="68"/>
      <c r="C348" s="68"/>
      <c r="D348" s="72" t="s">
        <v>258</v>
      </c>
      <c r="F348" s="83">
        <f t="shared" si="112"/>
        <v>-1443004.8399999996</v>
      </c>
      <c r="G348" s="82">
        <v>-1443004.8399999996</v>
      </c>
      <c r="H348" s="82">
        <v>0</v>
      </c>
      <c r="I348" s="82"/>
      <c r="K348" s="83">
        <f t="shared" si="113"/>
        <v>-1597740.1299999992</v>
      </c>
      <c r="L348" s="82">
        <v>-1260960.0799999996</v>
      </c>
      <c r="M348" s="82">
        <v>-336780.04999999952</v>
      </c>
      <c r="N348" s="82">
        <v>0</v>
      </c>
      <c r="O348" s="84"/>
      <c r="P348" s="83">
        <f t="shared" si="114"/>
        <v>-1239784.18</v>
      </c>
      <c r="Q348" s="82">
        <v>-957247.61</v>
      </c>
      <c r="R348" s="82">
        <v>-282536.57</v>
      </c>
      <c r="S348" s="82"/>
    </row>
    <row r="349" spans="1:19" ht="12.75" hidden="1" customHeight="1" x14ac:dyDescent="0.25">
      <c r="B349" s="68"/>
      <c r="C349" s="68"/>
      <c r="D349" s="72" t="s">
        <v>259</v>
      </c>
      <c r="F349" s="83">
        <f t="shared" si="112"/>
        <v>0</v>
      </c>
      <c r="G349" s="82"/>
      <c r="H349" s="82"/>
      <c r="I349" s="82"/>
      <c r="K349" s="83">
        <f t="shared" si="113"/>
        <v>0</v>
      </c>
      <c r="L349" s="82"/>
      <c r="M349" s="82"/>
      <c r="N349" s="82">
        <v>0</v>
      </c>
      <c r="O349" s="84"/>
      <c r="P349" s="83">
        <f t="shared" si="114"/>
        <v>0</v>
      </c>
      <c r="Q349" s="82"/>
      <c r="R349" s="82"/>
      <c r="S349" s="82"/>
    </row>
    <row r="350" spans="1:19" ht="12.75" customHeight="1" x14ac:dyDescent="0.25">
      <c r="A350" s="58"/>
      <c r="B350" s="68"/>
      <c r="C350" s="68"/>
      <c r="D350" s="68" t="s">
        <v>260</v>
      </c>
      <c r="F350" s="83">
        <f t="shared" si="112"/>
        <v>18228490.5</v>
      </c>
      <c r="G350" s="82">
        <v>17632710.5</v>
      </c>
      <c r="H350" s="82">
        <v>583800</v>
      </c>
      <c r="I350" s="82">
        <v>11980</v>
      </c>
      <c r="K350" s="83">
        <f t="shared" si="113"/>
        <v>18981645.84</v>
      </c>
      <c r="L350" s="82">
        <v>17860712.600000001</v>
      </c>
      <c r="M350" s="82">
        <v>1120933.24</v>
      </c>
      <c r="N350" s="82">
        <v>0</v>
      </c>
      <c r="O350" s="84"/>
      <c r="P350" s="83">
        <f t="shared" si="114"/>
        <v>16479570.84</v>
      </c>
      <c r="Q350" s="82">
        <v>15537837.6</v>
      </c>
      <c r="R350" s="82">
        <v>941733.24</v>
      </c>
      <c r="S350" s="82">
        <v>0</v>
      </c>
    </row>
    <row r="351" spans="1:19" ht="12.75" customHeight="1" x14ac:dyDescent="0.25">
      <c r="B351" s="68"/>
      <c r="C351" s="68"/>
      <c r="D351" s="72" t="s">
        <v>261</v>
      </c>
      <c r="F351" s="83">
        <f t="shared" si="112"/>
        <v>-11522294.690000001</v>
      </c>
      <c r="G351" s="82">
        <v>-11174845.360000001</v>
      </c>
      <c r="H351" s="82">
        <v>-347449.33</v>
      </c>
      <c r="I351" s="82"/>
      <c r="K351" s="83">
        <f t="shared" si="113"/>
        <v>-10831363.109999999</v>
      </c>
      <c r="L351" s="82">
        <v>-10144671.82</v>
      </c>
      <c r="M351" s="82">
        <v>-686691.29</v>
      </c>
      <c r="N351" s="82">
        <v>0</v>
      </c>
      <c r="O351" s="84"/>
      <c r="P351" s="83">
        <f t="shared" si="114"/>
        <v>-9813290.8000000007</v>
      </c>
      <c r="Q351" s="82">
        <v>-9179880.6600000001</v>
      </c>
      <c r="R351" s="82">
        <v>-633410.14</v>
      </c>
      <c r="S351" s="82">
        <v>0</v>
      </c>
    </row>
    <row r="352" spans="1:19" ht="12.75" hidden="1" customHeight="1" x14ac:dyDescent="0.25">
      <c r="B352" s="68"/>
      <c r="C352" s="68"/>
      <c r="D352" s="72" t="s">
        <v>262</v>
      </c>
      <c r="F352" s="83">
        <f t="shared" si="112"/>
        <v>0</v>
      </c>
      <c r="G352" s="82"/>
      <c r="H352" s="82"/>
      <c r="I352" s="82"/>
      <c r="K352" s="83">
        <f t="shared" si="113"/>
        <v>0</v>
      </c>
      <c r="L352" s="229"/>
      <c r="M352" s="82"/>
      <c r="N352" s="82"/>
      <c r="O352" s="84"/>
      <c r="P352" s="83">
        <f t="shared" si="114"/>
        <v>0</v>
      </c>
      <c r="Q352" s="82"/>
      <c r="R352" s="82"/>
      <c r="S352" s="82"/>
    </row>
    <row r="353" spans="1:19" ht="12.75" customHeight="1" x14ac:dyDescent="0.25">
      <c r="A353" s="58"/>
      <c r="B353" s="68"/>
      <c r="C353" s="68"/>
      <c r="D353" s="68" t="s">
        <v>263</v>
      </c>
      <c r="F353" s="83">
        <f t="shared" si="112"/>
        <v>20590783.350000001</v>
      </c>
      <c r="G353" s="82">
        <v>20330693.350000001</v>
      </c>
      <c r="H353" s="82">
        <v>102150</v>
      </c>
      <c r="I353" s="82">
        <v>157940</v>
      </c>
      <c r="K353" s="83">
        <f t="shared" si="113"/>
        <v>20158606.350000001</v>
      </c>
      <c r="L353" s="82">
        <v>19943076.350000001</v>
      </c>
      <c r="M353" s="82">
        <v>102150</v>
      </c>
      <c r="N353" s="82">
        <v>113380</v>
      </c>
      <c r="O353" s="84"/>
      <c r="P353" s="83">
        <f t="shared" si="114"/>
        <v>18768375.5</v>
      </c>
      <c r="Q353" s="82">
        <v>18552845.5</v>
      </c>
      <c r="R353" s="82">
        <v>102150</v>
      </c>
      <c r="S353" s="82">
        <v>113380</v>
      </c>
    </row>
    <row r="354" spans="1:19" ht="12.75" customHeight="1" x14ac:dyDescent="0.25">
      <c r="B354" s="68"/>
      <c r="C354" s="68"/>
      <c r="D354" s="72" t="s">
        <v>264</v>
      </c>
      <c r="F354" s="83">
        <f t="shared" si="112"/>
        <v>-11151062.739999993</v>
      </c>
      <c r="G354" s="82">
        <v>-11063836.079999993</v>
      </c>
      <c r="H354" s="82">
        <v>-37605.750000000022</v>
      </c>
      <c r="I354" s="82">
        <v>-49620.909999999996</v>
      </c>
      <c r="K354" s="83">
        <f t="shared" si="113"/>
        <v>-10586812.689999994</v>
      </c>
      <c r="L354" s="82">
        <v>-10530267.929999994</v>
      </c>
      <c r="M354" s="82">
        <v>-20187.240000000023</v>
      </c>
      <c r="N354" s="82">
        <v>-36357.519999999997</v>
      </c>
      <c r="O354" s="84"/>
      <c r="P354" s="83">
        <f t="shared" si="114"/>
        <v>-9194418.4299999997</v>
      </c>
      <c r="Q354" s="82">
        <v>-9152380.459999999</v>
      </c>
      <c r="R354" s="82">
        <v>-16980.990000000002</v>
      </c>
      <c r="S354" s="82">
        <v>-25056.98</v>
      </c>
    </row>
    <row r="355" spans="1:19" ht="12.75" hidden="1" customHeight="1" x14ac:dyDescent="0.25">
      <c r="B355" s="68"/>
      <c r="C355" s="68"/>
      <c r="D355" s="72" t="s">
        <v>265</v>
      </c>
      <c r="F355" s="83">
        <f t="shared" si="112"/>
        <v>0</v>
      </c>
      <c r="G355" s="82"/>
      <c r="H355" s="82"/>
      <c r="I355" s="82"/>
      <c r="K355" s="83">
        <f t="shared" si="113"/>
        <v>0</v>
      </c>
      <c r="L355" s="82"/>
      <c r="M355" s="82"/>
      <c r="N355" s="82"/>
      <c r="O355" s="84"/>
      <c r="P355" s="83">
        <f t="shared" si="114"/>
        <v>0</v>
      </c>
      <c r="Q355" s="82"/>
      <c r="R355" s="82"/>
      <c r="S355" s="82"/>
    </row>
    <row r="356" spans="1:19" ht="12.75" customHeight="1" x14ac:dyDescent="0.25">
      <c r="A356" s="58"/>
      <c r="B356" s="58"/>
      <c r="C356" s="67" t="s">
        <v>266</v>
      </c>
      <c r="D356" s="68"/>
      <c r="F356" s="83"/>
      <c r="G356" s="82"/>
      <c r="H356" s="82"/>
      <c r="I356" s="82"/>
      <c r="K356" s="83"/>
      <c r="L356" s="83"/>
      <c r="M356" s="83"/>
      <c r="N356" s="83"/>
      <c r="O356" s="84"/>
      <c r="P356" s="83"/>
      <c r="Q356" s="83"/>
      <c r="R356" s="83"/>
      <c r="S356" s="83"/>
    </row>
    <row r="357" spans="1:19" ht="12.75" customHeight="1" x14ac:dyDescent="0.25">
      <c r="A357" s="58"/>
      <c r="B357" s="68"/>
      <c r="C357" s="58"/>
      <c r="D357" s="68" t="s">
        <v>267</v>
      </c>
      <c r="F357" s="83">
        <f t="shared" ref="F357:F371" si="115">G357+H357+I357</f>
        <v>140963753.36999997</v>
      </c>
      <c r="G357" s="82">
        <v>140784253.36999997</v>
      </c>
      <c r="H357" s="82">
        <v>0</v>
      </c>
      <c r="I357" s="82">
        <v>179500</v>
      </c>
      <c r="K357" s="83">
        <f t="shared" ref="K357:K371" si="116">L357+M357+N357</f>
        <v>127810460.36999999</v>
      </c>
      <c r="L357" s="82">
        <v>119336630.36999999</v>
      </c>
      <c r="M357" s="82">
        <v>222700</v>
      </c>
      <c r="N357" s="82">
        <v>8251130</v>
      </c>
      <c r="O357" s="84"/>
      <c r="P357" s="83">
        <f t="shared" ref="P357:P371" si="117">Q357+R357+S357</f>
        <v>113956209.56999999</v>
      </c>
      <c r="Q357" s="82">
        <v>113233509.56999999</v>
      </c>
      <c r="R357" s="82">
        <v>222700</v>
      </c>
      <c r="S357" s="82">
        <v>500000</v>
      </c>
    </row>
    <row r="358" spans="1:19" ht="12.75" customHeight="1" x14ac:dyDescent="0.25">
      <c r="B358" s="68"/>
      <c r="C358" s="68"/>
      <c r="D358" s="72" t="s">
        <v>268</v>
      </c>
      <c r="F358" s="83">
        <f t="shared" si="115"/>
        <v>-88272097.159999996</v>
      </c>
      <c r="G358" s="82">
        <v>-88258912.659999996</v>
      </c>
      <c r="H358" s="82"/>
      <c r="I358" s="82">
        <v>-13184.5</v>
      </c>
      <c r="K358" s="83">
        <f t="shared" si="116"/>
        <v>-75601238.650000006</v>
      </c>
      <c r="L358" s="82">
        <v>-75127426.230000004</v>
      </c>
      <c r="M358" s="82">
        <v>-196553.03</v>
      </c>
      <c r="N358" s="82">
        <v>-277259.39</v>
      </c>
      <c r="O358" s="84"/>
      <c r="P358" s="83">
        <f t="shared" si="117"/>
        <v>-66247233.75</v>
      </c>
      <c r="Q358" s="82">
        <v>-65912139.170000002</v>
      </c>
      <c r="R358" s="82">
        <v>-196553.03</v>
      </c>
      <c r="S358" s="82">
        <v>-138541.54999999999</v>
      </c>
    </row>
    <row r="359" spans="1:19" ht="12.75" hidden="1" customHeight="1" x14ac:dyDescent="0.25">
      <c r="B359" s="68"/>
      <c r="C359" s="68"/>
      <c r="D359" s="72" t="s">
        <v>269</v>
      </c>
      <c r="F359" s="83">
        <f t="shared" si="115"/>
        <v>0</v>
      </c>
      <c r="G359" s="82"/>
      <c r="H359" s="82"/>
      <c r="I359" s="82"/>
      <c r="K359" s="83">
        <f t="shared" si="116"/>
        <v>0</v>
      </c>
      <c r="L359" s="82"/>
      <c r="M359" s="82"/>
      <c r="N359" s="82"/>
      <c r="O359" s="84"/>
      <c r="P359" s="83">
        <f t="shared" si="117"/>
        <v>0</v>
      </c>
      <c r="Q359" s="82"/>
      <c r="R359" s="82"/>
      <c r="S359" s="82"/>
    </row>
    <row r="360" spans="1:19" ht="12.75" hidden="1" customHeight="1" x14ac:dyDescent="0.25">
      <c r="A360" s="58"/>
      <c r="B360" s="68"/>
      <c r="C360" s="58"/>
      <c r="D360" s="68" t="s">
        <v>270</v>
      </c>
      <c r="F360" s="83">
        <f t="shared" si="115"/>
        <v>0</v>
      </c>
      <c r="G360" s="82"/>
      <c r="H360" s="82"/>
      <c r="I360" s="82"/>
      <c r="K360" s="83">
        <f t="shared" si="116"/>
        <v>0</v>
      </c>
      <c r="L360" s="82"/>
      <c r="M360" s="82"/>
      <c r="N360" s="82"/>
      <c r="O360" s="84"/>
      <c r="P360" s="83">
        <f t="shared" si="117"/>
        <v>0</v>
      </c>
      <c r="Q360" s="82"/>
      <c r="R360" s="82"/>
      <c r="S360" s="82"/>
    </row>
    <row r="361" spans="1:19" ht="12.75" hidden="1" customHeight="1" x14ac:dyDescent="0.25">
      <c r="B361" s="68"/>
      <c r="C361" s="68"/>
      <c r="D361" s="72" t="s">
        <v>271</v>
      </c>
      <c r="F361" s="83">
        <f t="shared" si="115"/>
        <v>0</v>
      </c>
      <c r="G361" s="82"/>
      <c r="H361" s="82"/>
      <c r="I361" s="82"/>
      <c r="K361" s="83">
        <f t="shared" si="116"/>
        <v>0</v>
      </c>
      <c r="L361" s="82"/>
      <c r="M361" s="82"/>
      <c r="N361" s="82"/>
      <c r="O361" s="84"/>
      <c r="P361" s="83">
        <f t="shared" si="117"/>
        <v>0</v>
      </c>
      <c r="Q361" s="82"/>
      <c r="R361" s="82"/>
      <c r="S361" s="82"/>
    </row>
    <row r="362" spans="1:19" ht="12.75" hidden="1" customHeight="1" x14ac:dyDescent="0.25">
      <c r="B362" s="68"/>
      <c r="C362" s="68"/>
      <c r="D362" s="72" t="s">
        <v>272</v>
      </c>
      <c r="F362" s="83">
        <f t="shared" si="115"/>
        <v>0</v>
      </c>
      <c r="G362" s="82"/>
      <c r="H362" s="82"/>
      <c r="I362" s="82"/>
      <c r="K362" s="83">
        <f t="shared" si="116"/>
        <v>0</v>
      </c>
      <c r="L362" s="82"/>
      <c r="M362" s="82"/>
      <c r="N362" s="82"/>
      <c r="O362" s="84"/>
      <c r="P362" s="83">
        <f t="shared" si="117"/>
        <v>0</v>
      </c>
      <c r="Q362" s="82"/>
      <c r="R362" s="82"/>
      <c r="S362" s="82"/>
    </row>
    <row r="363" spans="1:19" ht="12.75" hidden="1" customHeight="1" x14ac:dyDescent="0.25">
      <c r="A363" s="58"/>
      <c r="B363" s="68"/>
      <c r="C363" s="58"/>
      <c r="D363" s="68" t="s">
        <v>273</v>
      </c>
      <c r="F363" s="83">
        <f t="shared" si="115"/>
        <v>0</v>
      </c>
      <c r="G363" s="82"/>
      <c r="H363" s="82"/>
      <c r="I363" s="82"/>
      <c r="K363" s="83">
        <f t="shared" si="116"/>
        <v>0</v>
      </c>
      <c r="L363" s="82"/>
      <c r="M363" s="82"/>
      <c r="N363" s="82"/>
      <c r="O363" s="84"/>
      <c r="P363" s="83">
        <f t="shared" si="117"/>
        <v>0</v>
      </c>
      <c r="Q363" s="82"/>
      <c r="R363" s="82"/>
      <c r="S363" s="82"/>
    </row>
    <row r="364" spans="1:19" ht="12.75" hidden="1" customHeight="1" x14ac:dyDescent="0.25">
      <c r="B364" s="68"/>
      <c r="C364" s="68"/>
      <c r="D364" s="72" t="s">
        <v>274</v>
      </c>
      <c r="F364" s="83">
        <f t="shared" si="115"/>
        <v>0</v>
      </c>
      <c r="G364" s="82"/>
      <c r="H364" s="82"/>
      <c r="I364" s="82"/>
      <c r="K364" s="83">
        <f t="shared" si="116"/>
        <v>0</v>
      </c>
      <c r="L364" s="82"/>
      <c r="M364" s="82"/>
      <c r="N364" s="82"/>
      <c r="O364" s="84"/>
      <c r="P364" s="83">
        <f t="shared" si="117"/>
        <v>0</v>
      </c>
      <c r="Q364" s="82"/>
      <c r="R364" s="82"/>
      <c r="S364" s="82"/>
    </row>
    <row r="365" spans="1:19" ht="12.75" hidden="1" customHeight="1" x14ac:dyDescent="0.25">
      <c r="B365" s="68"/>
      <c r="C365" s="68"/>
      <c r="D365" s="72" t="s">
        <v>275</v>
      </c>
      <c r="F365" s="83">
        <f t="shared" si="115"/>
        <v>0</v>
      </c>
      <c r="G365" s="82"/>
      <c r="H365" s="82"/>
      <c r="I365" s="82"/>
      <c r="K365" s="83">
        <f t="shared" si="116"/>
        <v>0</v>
      </c>
      <c r="L365" s="82"/>
      <c r="M365" s="82"/>
      <c r="N365" s="82"/>
      <c r="O365" s="84"/>
      <c r="P365" s="83">
        <f t="shared" si="117"/>
        <v>0</v>
      </c>
      <c r="Q365" s="82"/>
      <c r="R365" s="82"/>
      <c r="S365" s="82"/>
    </row>
    <row r="366" spans="1:19" ht="12.75" customHeight="1" x14ac:dyDescent="0.25">
      <c r="A366" s="58"/>
      <c r="B366" s="68"/>
      <c r="C366" s="58"/>
      <c r="D366" s="68" t="s">
        <v>276</v>
      </c>
      <c r="F366" s="83">
        <f t="shared" si="115"/>
        <v>4477503.4000000004</v>
      </c>
      <c r="G366" s="82">
        <v>3692899.9</v>
      </c>
      <c r="H366" s="82">
        <v>0</v>
      </c>
      <c r="I366" s="82">
        <v>784603.5</v>
      </c>
      <c r="K366" s="83">
        <f t="shared" si="116"/>
        <v>6371013.1799999997</v>
      </c>
      <c r="L366" s="82">
        <v>5086609.68</v>
      </c>
      <c r="M366" s="82">
        <v>0</v>
      </c>
      <c r="N366" s="82">
        <v>1284403.5</v>
      </c>
      <c r="O366" s="84"/>
      <c r="P366" s="83">
        <f t="shared" si="117"/>
        <v>5751463.1799999997</v>
      </c>
      <c r="Q366" s="82">
        <v>4966859.68</v>
      </c>
      <c r="R366" s="82">
        <v>0</v>
      </c>
      <c r="S366" s="82">
        <v>784603.5</v>
      </c>
    </row>
    <row r="367" spans="1:19" ht="12.75" customHeight="1" x14ac:dyDescent="0.25">
      <c r="B367" s="68"/>
      <c r="C367" s="68"/>
      <c r="D367" s="72" t="s">
        <v>277</v>
      </c>
      <c r="F367" s="83">
        <f t="shared" si="115"/>
        <v>-2754117.6700000009</v>
      </c>
      <c r="G367" s="82">
        <v>-2407376.1500000008</v>
      </c>
      <c r="H367" s="82"/>
      <c r="I367" s="82">
        <v>-346741.52</v>
      </c>
      <c r="K367" s="83">
        <f t="shared" si="116"/>
        <v>-3865875.49</v>
      </c>
      <c r="L367" s="82">
        <v>-3585029.0000000005</v>
      </c>
      <c r="M367" s="82">
        <v>0</v>
      </c>
      <c r="N367" s="82">
        <v>-280846.49</v>
      </c>
      <c r="O367" s="84"/>
      <c r="P367" s="83">
        <f t="shared" si="117"/>
        <v>-3326008.19</v>
      </c>
      <c r="Q367" s="82">
        <v>-3135526.1</v>
      </c>
      <c r="R367" s="82">
        <v>0</v>
      </c>
      <c r="S367" s="82">
        <v>-190482.09</v>
      </c>
    </row>
    <row r="368" spans="1:19" ht="12.75" hidden="1" customHeight="1" x14ac:dyDescent="0.25">
      <c r="B368" s="68"/>
      <c r="C368" s="68"/>
      <c r="D368" s="72" t="s">
        <v>278</v>
      </c>
      <c r="F368" s="83">
        <f t="shared" si="115"/>
        <v>0</v>
      </c>
      <c r="G368" s="82"/>
      <c r="H368" s="82"/>
      <c r="I368" s="82"/>
      <c r="K368" s="83">
        <f t="shared" si="116"/>
        <v>0</v>
      </c>
      <c r="L368" s="82"/>
      <c r="M368" s="82"/>
      <c r="N368" s="82"/>
      <c r="O368" s="84"/>
      <c r="P368" s="83">
        <f t="shared" si="117"/>
        <v>0</v>
      </c>
      <c r="Q368" s="82"/>
      <c r="R368" s="82"/>
      <c r="S368" s="82"/>
    </row>
    <row r="369" spans="1:19" ht="12.75" customHeight="1" x14ac:dyDescent="0.25">
      <c r="A369" s="58"/>
      <c r="B369" s="68"/>
      <c r="C369" s="58"/>
      <c r="D369" s="68" t="s">
        <v>279</v>
      </c>
      <c r="F369" s="83">
        <f t="shared" si="115"/>
        <v>397370</v>
      </c>
      <c r="G369" s="82">
        <v>19370</v>
      </c>
      <c r="H369" s="82">
        <v>0</v>
      </c>
      <c r="I369" s="82">
        <v>378000</v>
      </c>
      <c r="K369" s="83">
        <f t="shared" si="116"/>
        <v>1147139.99</v>
      </c>
      <c r="L369" s="82">
        <v>769139.99</v>
      </c>
      <c r="M369" s="82">
        <v>0</v>
      </c>
      <c r="N369" s="82">
        <v>378000</v>
      </c>
      <c r="O369" s="84"/>
      <c r="P369" s="83">
        <f t="shared" si="117"/>
        <v>1147139.99</v>
      </c>
      <c r="Q369" s="82">
        <v>769139.99</v>
      </c>
      <c r="R369" s="82">
        <v>0</v>
      </c>
      <c r="S369" s="82">
        <v>378000</v>
      </c>
    </row>
    <row r="370" spans="1:19" ht="28.15" customHeight="1" x14ac:dyDescent="0.25">
      <c r="B370" s="68"/>
      <c r="C370" s="68"/>
      <c r="D370" s="607" t="s">
        <v>280</v>
      </c>
      <c r="E370" s="607"/>
      <c r="F370" s="83">
        <f t="shared" si="115"/>
        <v>-183949.8</v>
      </c>
      <c r="G370" s="82">
        <v>-16999.8</v>
      </c>
      <c r="H370" s="82">
        <v>0</v>
      </c>
      <c r="I370" s="82">
        <v>-166950</v>
      </c>
      <c r="J370" s="359"/>
      <c r="K370" s="83">
        <f t="shared" si="116"/>
        <v>-771181.92</v>
      </c>
      <c r="L370" s="82">
        <v>-651481.92000000004</v>
      </c>
      <c r="M370" s="82">
        <v>0</v>
      </c>
      <c r="N370" s="82">
        <v>-119700</v>
      </c>
      <c r="O370" s="84"/>
      <c r="P370" s="83">
        <f t="shared" si="117"/>
        <v>-735271.92</v>
      </c>
      <c r="Q370" s="82">
        <v>-651481.92000000004</v>
      </c>
      <c r="R370" s="82">
        <v>0</v>
      </c>
      <c r="S370" s="82">
        <v>-83790</v>
      </c>
    </row>
    <row r="371" spans="1:19" ht="12.75" hidden="1" customHeight="1" x14ac:dyDescent="0.25">
      <c r="B371" s="68"/>
      <c r="C371" s="68"/>
      <c r="D371" s="72" t="s">
        <v>281</v>
      </c>
      <c r="F371" s="83">
        <f t="shared" si="115"/>
        <v>0</v>
      </c>
      <c r="G371" s="82"/>
      <c r="H371" s="82"/>
      <c r="I371" s="82"/>
      <c r="K371" s="83">
        <f t="shared" si="116"/>
        <v>0</v>
      </c>
      <c r="L371" s="82"/>
      <c r="M371" s="82"/>
      <c r="N371" s="82"/>
      <c r="O371" s="84"/>
      <c r="P371" s="83">
        <f t="shared" si="117"/>
        <v>0</v>
      </c>
      <c r="Q371" s="82"/>
      <c r="R371" s="82"/>
      <c r="S371" s="82"/>
    </row>
    <row r="372" spans="1:19" ht="12.75" customHeight="1" x14ac:dyDescent="0.25">
      <c r="A372" s="58"/>
      <c r="B372" s="58"/>
      <c r="C372" s="67" t="s">
        <v>282</v>
      </c>
      <c r="D372" s="68"/>
      <c r="F372" s="83"/>
      <c r="G372" s="82"/>
      <c r="H372" s="82"/>
      <c r="I372" s="82"/>
      <c r="K372" s="83"/>
      <c r="L372" s="82"/>
      <c r="M372" s="82"/>
      <c r="N372" s="82"/>
      <c r="O372" s="84"/>
      <c r="P372" s="83"/>
      <c r="Q372" s="82"/>
      <c r="R372" s="82"/>
      <c r="S372" s="82"/>
    </row>
    <row r="373" spans="1:19" ht="12.75" customHeight="1" x14ac:dyDescent="0.25">
      <c r="A373" s="58"/>
      <c r="B373" s="68"/>
      <c r="C373" s="58"/>
      <c r="D373" s="68" t="s">
        <v>283</v>
      </c>
      <c r="F373" s="83">
        <f t="shared" ref="F373:F378" si="118">G373+H373+I373</f>
        <v>22885703.140000001</v>
      </c>
      <c r="G373" s="82">
        <v>22004881.140000001</v>
      </c>
      <c r="H373" s="82">
        <v>255641</v>
      </c>
      <c r="I373" s="82">
        <v>625181</v>
      </c>
      <c r="K373" s="83">
        <f t="shared" ref="K373:K378" si="119">L373+M373+N373</f>
        <v>25691944.77</v>
      </c>
      <c r="L373" s="82">
        <v>24732248.77</v>
      </c>
      <c r="M373" s="82">
        <v>334515</v>
      </c>
      <c r="N373" s="82">
        <v>625181</v>
      </c>
      <c r="O373" s="84"/>
      <c r="P373" s="83">
        <f t="shared" ref="P373:P378" si="120">Q373+R373+S373</f>
        <v>22461746.52</v>
      </c>
      <c r="Q373" s="82">
        <v>21670848.52</v>
      </c>
      <c r="R373" s="82">
        <v>334515</v>
      </c>
      <c r="S373" s="82">
        <v>456383</v>
      </c>
    </row>
    <row r="374" spans="1:19" ht="12.75" customHeight="1" x14ac:dyDescent="0.25">
      <c r="B374" s="68"/>
      <c r="C374" s="68"/>
      <c r="D374" s="72" t="s">
        <v>284</v>
      </c>
      <c r="F374" s="83">
        <f t="shared" si="118"/>
        <v>-11313113.120000005</v>
      </c>
      <c r="G374" s="82">
        <v>-10872552.590000005</v>
      </c>
      <c r="H374" s="82">
        <v>-199352.11000000007</v>
      </c>
      <c r="I374" s="82">
        <v>-241208.42</v>
      </c>
      <c r="K374" s="83">
        <f t="shared" si="119"/>
        <v>-13375975.530000003</v>
      </c>
      <c r="L374" s="82">
        <v>-12918097.320000004</v>
      </c>
      <c r="M374" s="82">
        <v>-290987.76000000007</v>
      </c>
      <c r="N374" s="82">
        <v>-166890.45000000001</v>
      </c>
      <c r="O374" s="84"/>
      <c r="P374" s="83">
        <f t="shared" si="120"/>
        <v>-12459256.25</v>
      </c>
      <c r="Q374" s="82">
        <v>-12067148.200000001</v>
      </c>
      <c r="R374" s="82">
        <v>-284977.44</v>
      </c>
      <c r="S374" s="82">
        <v>-107130.61</v>
      </c>
    </row>
    <row r="375" spans="1:19" ht="12.75" hidden="1" customHeight="1" x14ac:dyDescent="0.25">
      <c r="B375" s="68"/>
      <c r="C375" s="68"/>
      <c r="D375" s="72" t="s">
        <v>285</v>
      </c>
      <c r="F375" s="83">
        <f t="shared" si="118"/>
        <v>0</v>
      </c>
      <c r="G375" s="82"/>
      <c r="H375" s="82"/>
      <c r="I375" s="82"/>
      <c r="K375" s="83">
        <f t="shared" si="119"/>
        <v>0</v>
      </c>
      <c r="L375" s="82"/>
      <c r="M375" s="82"/>
      <c r="N375" s="82"/>
      <c r="O375" s="84"/>
      <c r="P375" s="83">
        <f t="shared" si="120"/>
        <v>0</v>
      </c>
      <c r="Q375" s="82"/>
      <c r="R375" s="82"/>
      <c r="S375" s="82"/>
    </row>
    <row r="376" spans="1:19" ht="12.75" customHeight="1" x14ac:dyDescent="0.25">
      <c r="A376" s="58"/>
      <c r="B376" s="68"/>
      <c r="C376" s="58"/>
      <c r="D376" s="68" t="s">
        <v>286</v>
      </c>
      <c r="F376" s="83">
        <f t="shared" si="118"/>
        <v>2653061</v>
      </c>
      <c r="G376" s="82">
        <v>0</v>
      </c>
      <c r="H376" s="82">
        <v>2638481</v>
      </c>
      <c r="I376" s="82">
        <v>14580</v>
      </c>
      <c r="K376" s="83">
        <f t="shared" si="119"/>
        <v>6556340.75</v>
      </c>
      <c r="L376" s="82">
        <v>3903279.75</v>
      </c>
      <c r="M376" s="82">
        <v>2638481</v>
      </c>
      <c r="N376" s="82">
        <v>14580</v>
      </c>
      <c r="O376" s="84"/>
      <c r="P376" s="83">
        <f t="shared" si="120"/>
        <v>6556340.75</v>
      </c>
      <c r="Q376" s="82">
        <v>3903279.75</v>
      </c>
      <c r="R376" s="82">
        <v>2638481</v>
      </c>
      <c r="S376" s="82">
        <v>14580</v>
      </c>
    </row>
    <row r="377" spans="1:19" ht="12.75" customHeight="1" x14ac:dyDescent="0.25">
      <c r="B377" s="68"/>
      <c r="C377" s="68"/>
      <c r="D377" s="72" t="s">
        <v>287</v>
      </c>
      <c r="F377" s="83">
        <f t="shared" si="118"/>
        <v>-2452003.5299999998</v>
      </c>
      <c r="G377" s="82">
        <v>0</v>
      </c>
      <c r="H377" s="82">
        <v>-2446232.2799999998</v>
      </c>
      <c r="I377" s="82">
        <v>-5771.25</v>
      </c>
      <c r="K377" s="83">
        <f t="shared" si="119"/>
        <v>-5489491.2600000035</v>
      </c>
      <c r="L377" s="82">
        <v>-3037487.7300000042</v>
      </c>
      <c r="M377" s="82">
        <v>-2446232.2799999998</v>
      </c>
      <c r="N377" s="82">
        <v>-5771.25</v>
      </c>
      <c r="O377" s="84"/>
      <c r="P377" s="83">
        <f t="shared" si="120"/>
        <v>-5486028.5099999998</v>
      </c>
      <c r="Q377" s="82">
        <v>-3037487.73</v>
      </c>
      <c r="R377" s="82">
        <v>-2446232.2799999998</v>
      </c>
      <c r="S377" s="82">
        <v>-2308.5</v>
      </c>
    </row>
    <row r="378" spans="1:19" ht="12.75" hidden="1" customHeight="1" x14ac:dyDescent="0.25">
      <c r="B378" s="68"/>
      <c r="C378" s="68"/>
      <c r="D378" s="72" t="s">
        <v>288</v>
      </c>
      <c r="F378" s="83">
        <f t="shared" si="118"/>
        <v>0</v>
      </c>
      <c r="G378" s="82"/>
      <c r="H378" s="82"/>
      <c r="I378" s="82"/>
      <c r="K378" s="83">
        <f t="shared" si="119"/>
        <v>0</v>
      </c>
      <c r="L378" s="82"/>
      <c r="M378" s="82"/>
      <c r="N378" s="82"/>
      <c r="O378" s="84"/>
      <c r="P378" s="83">
        <f t="shared" si="120"/>
        <v>0</v>
      </c>
      <c r="Q378" s="82"/>
      <c r="R378" s="82"/>
      <c r="S378" s="82"/>
    </row>
    <row r="379" spans="1:19" ht="12.75" hidden="1" customHeight="1" x14ac:dyDescent="0.25">
      <c r="A379" s="58"/>
      <c r="B379" s="67"/>
      <c r="C379" s="67" t="s">
        <v>289</v>
      </c>
      <c r="D379" s="68"/>
      <c r="F379" s="83"/>
      <c r="G379" s="82"/>
      <c r="H379" s="82"/>
      <c r="I379" s="82"/>
      <c r="K379" s="83"/>
      <c r="L379" s="83"/>
      <c r="M379" s="83"/>
      <c r="N379" s="83"/>
      <c r="O379" s="84"/>
      <c r="P379" s="83"/>
      <c r="Q379" s="83"/>
      <c r="R379" s="83"/>
      <c r="S379" s="83"/>
    </row>
    <row r="380" spans="1:19" ht="12.75" hidden="1" customHeight="1" x14ac:dyDescent="0.25">
      <c r="A380" s="58"/>
      <c r="B380" s="68"/>
      <c r="D380" s="68" t="s">
        <v>290</v>
      </c>
      <c r="F380" s="83">
        <f t="shared" ref="F380:F393" si="121">G380+H380+I380</f>
        <v>0</v>
      </c>
      <c r="G380" s="82"/>
      <c r="H380" s="82"/>
      <c r="I380" s="82"/>
      <c r="K380" s="83">
        <f t="shared" ref="K380:K393" si="122">L380+M380+N380</f>
        <v>0</v>
      </c>
      <c r="L380" s="82"/>
      <c r="M380" s="82"/>
      <c r="N380" s="82"/>
      <c r="O380" s="84"/>
      <c r="P380" s="83">
        <f t="shared" ref="P380:P393" si="123">Q380+R380+S380</f>
        <v>0</v>
      </c>
      <c r="Q380" s="82"/>
      <c r="R380" s="82"/>
      <c r="S380" s="82"/>
    </row>
    <row r="381" spans="1:19" ht="12.75" hidden="1" customHeight="1" x14ac:dyDescent="0.25">
      <c r="B381" s="68"/>
      <c r="C381" s="68"/>
      <c r="D381" s="72" t="s">
        <v>291</v>
      </c>
      <c r="F381" s="83">
        <f t="shared" si="121"/>
        <v>0</v>
      </c>
      <c r="G381" s="82"/>
      <c r="H381" s="82"/>
      <c r="I381" s="82"/>
      <c r="K381" s="83">
        <f t="shared" si="122"/>
        <v>0</v>
      </c>
      <c r="L381" s="82"/>
      <c r="M381" s="82"/>
      <c r="N381" s="82"/>
      <c r="O381" s="84"/>
      <c r="P381" s="83">
        <f t="shared" si="123"/>
        <v>0</v>
      </c>
      <c r="Q381" s="82"/>
      <c r="R381" s="82"/>
      <c r="S381" s="82"/>
    </row>
    <row r="382" spans="1:19" ht="12.75" hidden="1" customHeight="1" x14ac:dyDescent="0.25">
      <c r="A382" s="58"/>
      <c r="B382" s="68"/>
      <c r="D382" s="68" t="s">
        <v>292</v>
      </c>
      <c r="F382" s="83">
        <f t="shared" si="121"/>
        <v>0</v>
      </c>
      <c r="G382" s="82"/>
      <c r="H382" s="82"/>
      <c r="I382" s="82"/>
      <c r="K382" s="83">
        <f t="shared" si="122"/>
        <v>0</v>
      </c>
      <c r="L382" s="82"/>
      <c r="M382" s="82"/>
      <c r="N382" s="82"/>
      <c r="O382" s="84"/>
      <c r="P382" s="83">
        <f t="shared" si="123"/>
        <v>0</v>
      </c>
      <c r="Q382" s="82"/>
      <c r="R382" s="82"/>
      <c r="S382" s="82"/>
    </row>
    <row r="383" spans="1:19" ht="12.75" hidden="1" customHeight="1" x14ac:dyDescent="0.25">
      <c r="B383" s="68"/>
      <c r="C383" s="68"/>
      <c r="D383" s="72" t="s">
        <v>293</v>
      </c>
      <c r="F383" s="83">
        <f t="shared" si="121"/>
        <v>0</v>
      </c>
      <c r="G383" s="82"/>
      <c r="H383" s="82"/>
      <c r="I383" s="82"/>
      <c r="K383" s="83">
        <f t="shared" si="122"/>
        <v>0</v>
      </c>
      <c r="L383" s="82"/>
      <c r="M383" s="82"/>
      <c r="N383" s="82"/>
      <c r="O383" s="84"/>
      <c r="P383" s="83">
        <f t="shared" si="123"/>
        <v>0</v>
      </c>
      <c r="Q383" s="82"/>
      <c r="R383" s="82"/>
      <c r="S383" s="82"/>
    </row>
    <row r="384" spans="1:19" ht="12.75" hidden="1" customHeight="1" x14ac:dyDescent="0.25">
      <c r="B384" s="68"/>
      <c r="C384" s="68"/>
      <c r="D384" s="72" t="s">
        <v>294</v>
      </c>
      <c r="F384" s="83">
        <f t="shared" si="121"/>
        <v>0</v>
      </c>
      <c r="G384" s="82"/>
      <c r="H384" s="82"/>
      <c r="I384" s="82"/>
      <c r="K384" s="83">
        <f t="shared" si="122"/>
        <v>0</v>
      </c>
      <c r="L384" s="82"/>
      <c r="M384" s="82"/>
      <c r="N384" s="82"/>
      <c r="O384" s="84"/>
      <c r="P384" s="83">
        <f t="shared" si="123"/>
        <v>0</v>
      </c>
      <c r="Q384" s="82"/>
      <c r="R384" s="82"/>
      <c r="S384" s="82"/>
    </row>
    <row r="385" spans="1:19" ht="12.75" hidden="1" customHeight="1" x14ac:dyDescent="0.25">
      <c r="A385" s="58"/>
      <c r="B385" s="68"/>
      <c r="D385" s="68" t="s">
        <v>295</v>
      </c>
      <c r="F385" s="83">
        <f t="shared" si="121"/>
        <v>0</v>
      </c>
      <c r="G385" s="82"/>
      <c r="H385" s="82"/>
      <c r="I385" s="82"/>
      <c r="K385" s="83">
        <f t="shared" si="122"/>
        <v>0</v>
      </c>
      <c r="L385" s="82"/>
      <c r="M385" s="82"/>
      <c r="N385" s="82"/>
      <c r="O385" s="84"/>
      <c r="P385" s="83">
        <f t="shared" si="123"/>
        <v>0</v>
      </c>
      <c r="Q385" s="82"/>
      <c r="R385" s="82"/>
      <c r="S385" s="82"/>
    </row>
    <row r="386" spans="1:19" ht="12.75" hidden="1" customHeight="1" x14ac:dyDescent="0.25">
      <c r="B386" s="68"/>
      <c r="C386" s="68"/>
      <c r="D386" s="72" t="s">
        <v>296</v>
      </c>
      <c r="F386" s="83">
        <f t="shared" si="121"/>
        <v>0</v>
      </c>
      <c r="G386" s="82"/>
      <c r="H386" s="82"/>
      <c r="I386" s="82"/>
      <c r="K386" s="83">
        <f t="shared" si="122"/>
        <v>0</v>
      </c>
      <c r="L386" s="82"/>
      <c r="M386" s="82"/>
      <c r="N386" s="82"/>
      <c r="O386" s="84"/>
      <c r="P386" s="83">
        <f t="shared" si="123"/>
        <v>0</v>
      </c>
      <c r="Q386" s="82"/>
      <c r="R386" s="82"/>
      <c r="S386" s="82"/>
    </row>
    <row r="387" spans="1:19" ht="12.75" hidden="1" customHeight="1" x14ac:dyDescent="0.25">
      <c r="B387" s="68"/>
      <c r="C387" s="68"/>
      <c r="D387" s="72" t="s">
        <v>297</v>
      </c>
      <c r="F387" s="83">
        <f t="shared" si="121"/>
        <v>0</v>
      </c>
      <c r="G387" s="82"/>
      <c r="H387" s="82"/>
      <c r="I387" s="82"/>
      <c r="K387" s="83">
        <f t="shared" si="122"/>
        <v>0</v>
      </c>
      <c r="L387" s="82"/>
      <c r="M387" s="82"/>
      <c r="N387" s="82"/>
      <c r="O387" s="84"/>
      <c r="P387" s="83">
        <f t="shared" si="123"/>
        <v>0</v>
      </c>
      <c r="Q387" s="82"/>
      <c r="R387" s="82"/>
      <c r="S387" s="82"/>
    </row>
    <row r="388" spans="1:19" ht="12.75" hidden="1" customHeight="1" x14ac:dyDescent="0.25">
      <c r="A388" s="58"/>
      <c r="B388" s="68"/>
      <c r="D388" s="68" t="s">
        <v>298</v>
      </c>
      <c r="F388" s="83">
        <f t="shared" si="121"/>
        <v>0</v>
      </c>
      <c r="G388" s="82"/>
      <c r="H388" s="82"/>
      <c r="I388" s="82"/>
      <c r="K388" s="83">
        <f t="shared" si="122"/>
        <v>0</v>
      </c>
      <c r="L388" s="82"/>
      <c r="M388" s="82"/>
      <c r="N388" s="82"/>
      <c r="O388" s="84"/>
      <c r="P388" s="83">
        <f t="shared" si="123"/>
        <v>0</v>
      </c>
      <c r="Q388" s="82"/>
      <c r="R388" s="82"/>
      <c r="S388" s="82"/>
    </row>
    <row r="389" spans="1:19" ht="12.75" hidden="1" customHeight="1" x14ac:dyDescent="0.25">
      <c r="B389" s="68"/>
      <c r="C389" s="68"/>
      <c r="D389" s="72" t="s">
        <v>299</v>
      </c>
      <c r="F389" s="83">
        <f t="shared" si="121"/>
        <v>0</v>
      </c>
      <c r="G389" s="82"/>
      <c r="H389" s="82"/>
      <c r="I389" s="82"/>
      <c r="K389" s="83">
        <f t="shared" si="122"/>
        <v>0</v>
      </c>
      <c r="L389" s="82"/>
      <c r="M389" s="82"/>
      <c r="N389" s="82"/>
      <c r="O389" s="84"/>
      <c r="P389" s="83">
        <f t="shared" si="123"/>
        <v>0</v>
      </c>
      <c r="Q389" s="82"/>
      <c r="R389" s="82"/>
      <c r="S389" s="82"/>
    </row>
    <row r="390" spans="1:19" ht="12.75" hidden="1" customHeight="1" x14ac:dyDescent="0.25">
      <c r="B390" s="68"/>
      <c r="C390" s="68"/>
      <c r="D390" s="72" t="s">
        <v>300</v>
      </c>
      <c r="F390" s="83">
        <f t="shared" si="121"/>
        <v>0</v>
      </c>
      <c r="G390" s="82"/>
      <c r="H390" s="82"/>
      <c r="I390" s="82"/>
      <c r="K390" s="83">
        <f t="shared" si="122"/>
        <v>0</v>
      </c>
      <c r="L390" s="82"/>
      <c r="M390" s="82"/>
      <c r="N390" s="82"/>
      <c r="O390" s="84"/>
      <c r="P390" s="83">
        <f t="shared" si="123"/>
        <v>0</v>
      </c>
      <c r="Q390" s="82"/>
      <c r="R390" s="82"/>
      <c r="S390" s="82"/>
    </row>
    <row r="391" spans="1:19" ht="12.75" hidden="1" customHeight="1" x14ac:dyDescent="0.25">
      <c r="A391" s="58"/>
      <c r="B391" s="68"/>
      <c r="D391" s="68" t="s">
        <v>301</v>
      </c>
      <c r="F391" s="83">
        <f t="shared" si="121"/>
        <v>0</v>
      </c>
      <c r="G391" s="82"/>
      <c r="H391" s="82"/>
      <c r="I391" s="82"/>
      <c r="K391" s="83">
        <f t="shared" si="122"/>
        <v>0</v>
      </c>
      <c r="L391" s="82"/>
      <c r="M391" s="82"/>
      <c r="N391" s="82"/>
      <c r="O391" s="84"/>
      <c r="P391" s="83">
        <f t="shared" si="123"/>
        <v>0</v>
      </c>
      <c r="Q391" s="82"/>
      <c r="R391" s="82"/>
      <c r="S391" s="82"/>
    </row>
    <row r="392" spans="1:19" ht="12.75" hidden="1" customHeight="1" x14ac:dyDescent="0.25">
      <c r="B392" s="68"/>
      <c r="C392" s="68"/>
      <c r="D392" s="72" t="s">
        <v>302</v>
      </c>
      <c r="F392" s="83">
        <f t="shared" si="121"/>
        <v>0</v>
      </c>
      <c r="G392" s="82"/>
      <c r="H392" s="82"/>
      <c r="I392" s="82"/>
      <c r="K392" s="83">
        <f t="shared" si="122"/>
        <v>0</v>
      </c>
      <c r="L392" s="82"/>
      <c r="M392" s="82"/>
      <c r="N392" s="82"/>
      <c r="O392" s="84"/>
      <c r="P392" s="83">
        <f t="shared" si="123"/>
        <v>0</v>
      </c>
      <c r="Q392" s="82"/>
      <c r="R392" s="82"/>
      <c r="S392" s="82"/>
    </row>
    <row r="393" spans="1:19" ht="12.75" hidden="1" customHeight="1" x14ac:dyDescent="0.25">
      <c r="B393" s="68"/>
      <c r="C393" s="68"/>
      <c r="D393" s="72" t="s">
        <v>303</v>
      </c>
      <c r="F393" s="83">
        <f t="shared" si="121"/>
        <v>0</v>
      </c>
      <c r="G393" s="82"/>
      <c r="H393" s="82"/>
      <c r="I393" s="82"/>
      <c r="K393" s="83">
        <f t="shared" si="122"/>
        <v>0</v>
      </c>
      <c r="L393" s="82"/>
      <c r="M393" s="82"/>
      <c r="N393" s="82"/>
      <c r="O393" s="84"/>
      <c r="P393" s="83">
        <f t="shared" si="123"/>
        <v>0</v>
      </c>
      <c r="Q393" s="82"/>
      <c r="R393" s="82"/>
      <c r="S393" s="82"/>
    </row>
    <row r="394" spans="1:19" ht="12.75" hidden="1" customHeight="1" x14ac:dyDescent="0.25">
      <c r="A394" s="58"/>
      <c r="B394" s="67"/>
      <c r="C394" s="67" t="s">
        <v>304</v>
      </c>
      <c r="D394" s="68"/>
      <c r="F394" s="83"/>
      <c r="G394" s="82"/>
      <c r="H394" s="82"/>
      <c r="I394" s="82"/>
      <c r="K394" s="83"/>
      <c r="L394" s="83"/>
      <c r="M394" s="83"/>
      <c r="N394" s="83"/>
      <c r="O394" s="84"/>
      <c r="P394" s="83"/>
      <c r="Q394" s="83"/>
      <c r="R394" s="83"/>
      <c r="S394" s="83"/>
    </row>
    <row r="395" spans="1:19" ht="12.75" hidden="1" customHeight="1" x14ac:dyDescent="0.25">
      <c r="A395" s="58"/>
      <c r="B395" s="68"/>
      <c r="C395" s="68"/>
      <c r="D395" s="68" t="s">
        <v>305</v>
      </c>
      <c r="F395" s="83">
        <f t="shared" ref="F395:F403" si="124">G395+H395+I395</f>
        <v>0</v>
      </c>
      <c r="G395" s="82"/>
      <c r="H395" s="82"/>
      <c r="I395" s="82"/>
      <c r="K395" s="83">
        <f t="shared" ref="K395:K403" si="125">L395+M395+N395</f>
        <v>0</v>
      </c>
      <c r="L395" s="82"/>
      <c r="M395" s="82"/>
      <c r="N395" s="82"/>
      <c r="O395" s="84"/>
      <c r="P395" s="83">
        <f t="shared" ref="P395:P403" si="126">Q395+R395+S395</f>
        <v>0</v>
      </c>
      <c r="Q395" s="82"/>
      <c r="R395" s="82"/>
      <c r="S395" s="82"/>
    </row>
    <row r="396" spans="1:19" ht="12.75" hidden="1" customHeight="1" x14ac:dyDescent="0.25">
      <c r="A396" s="58"/>
      <c r="B396" s="68"/>
      <c r="C396" s="68"/>
      <c r="D396" s="72" t="s">
        <v>306</v>
      </c>
      <c r="F396" s="83">
        <f t="shared" si="124"/>
        <v>0</v>
      </c>
      <c r="G396" s="82"/>
      <c r="H396" s="82"/>
      <c r="I396" s="82"/>
      <c r="K396" s="83">
        <f t="shared" si="125"/>
        <v>0</v>
      </c>
      <c r="L396" s="82"/>
      <c r="M396" s="82"/>
      <c r="N396" s="82"/>
      <c r="O396" s="84"/>
      <c r="P396" s="83">
        <f t="shared" si="126"/>
        <v>0</v>
      </c>
      <c r="Q396" s="82"/>
      <c r="R396" s="82"/>
      <c r="S396" s="82"/>
    </row>
    <row r="397" spans="1:19" ht="12.75" hidden="1" customHeight="1" x14ac:dyDescent="0.25">
      <c r="A397" s="58"/>
      <c r="B397" s="68"/>
      <c r="C397" s="68"/>
      <c r="D397" s="72" t="s">
        <v>307</v>
      </c>
      <c r="F397" s="83">
        <f t="shared" si="124"/>
        <v>0</v>
      </c>
      <c r="G397" s="82"/>
      <c r="H397" s="82"/>
      <c r="I397" s="82"/>
      <c r="K397" s="83">
        <f t="shared" si="125"/>
        <v>0</v>
      </c>
      <c r="L397" s="82"/>
      <c r="M397" s="82"/>
      <c r="N397" s="82"/>
      <c r="O397" s="84"/>
      <c r="P397" s="83">
        <f t="shared" si="126"/>
        <v>0</v>
      </c>
      <c r="Q397" s="82"/>
      <c r="R397" s="82"/>
      <c r="S397" s="82"/>
    </row>
    <row r="398" spans="1:19" ht="12.75" hidden="1" customHeight="1" x14ac:dyDescent="0.25">
      <c r="A398" s="58"/>
      <c r="B398" s="68"/>
      <c r="C398" s="68"/>
      <c r="D398" s="68" t="s">
        <v>308</v>
      </c>
      <c r="F398" s="83">
        <f t="shared" si="124"/>
        <v>0</v>
      </c>
      <c r="G398" s="82"/>
      <c r="H398" s="82"/>
      <c r="I398" s="82"/>
      <c r="K398" s="83">
        <f t="shared" si="125"/>
        <v>0</v>
      </c>
      <c r="L398" s="82"/>
      <c r="M398" s="82"/>
      <c r="N398" s="82"/>
      <c r="O398" s="84"/>
      <c r="P398" s="83">
        <f t="shared" si="126"/>
        <v>0</v>
      </c>
      <c r="Q398" s="82"/>
      <c r="R398" s="82"/>
      <c r="S398" s="82"/>
    </row>
    <row r="399" spans="1:19" ht="12.75" hidden="1" customHeight="1" x14ac:dyDescent="0.25">
      <c r="A399" s="58"/>
      <c r="B399" s="68"/>
      <c r="C399" s="68"/>
      <c r="D399" s="72" t="s">
        <v>309</v>
      </c>
      <c r="F399" s="83">
        <f t="shared" si="124"/>
        <v>0</v>
      </c>
      <c r="G399" s="82"/>
      <c r="H399" s="82"/>
      <c r="I399" s="82"/>
      <c r="K399" s="83">
        <f t="shared" si="125"/>
        <v>0</v>
      </c>
      <c r="L399" s="82"/>
      <c r="M399" s="82"/>
      <c r="N399" s="82"/>
      <c r="O399" s="84"/>
      <c r="P399" s="83">
        <f t="shared" si="126"/>
        <v>0</v>
      </c>
      <c r="Q399" s="82"/>
      <c r="R399" s="82"/>
      <c r="S399" s="82"/>
    </row>
    <row r="400" spans="1:19" ht="12.75" hidden="1" customHeight="1" x14ac:dyDescent="0.25">
      <c r="A400" s="58"/>
      <c r="B400" s="68"/>
      <c r="C400" s="68"/>
      <c r="D400" s="72" t="s">
        <v>310</v>
      </c>
      <c r="F400" s="83">
        <f t="shared" si="124"/>
        <v>0</v>
      </c>
      <c r="G400" s="82"/>
      <c r="H400" s="82"/>
      <c r="I400" s="82"/>
      <c r="K400" s="83">
        <f t="shared" si="125"/>
        <v>0</v>
      </c>
      <c r="L400" s="82"/>
      <c r="M400" s="82"/>
      <c r="N400" s="82"/>
      <c r="O400" s="84"/>
      <c r="P400" s="83">
        <f t="shared" si="126"/>
        <v>0</v>
      </c>
      <c r="Q400" s="82"/>
      <c r="R400" s="82"/>
      <c r="S400" s="82"/>
    </row>
    <row r="401" spans="1:19" ht="12.75" hidden="1" customHeight="1" x14ac:dyDescent="0.25">
      <c r="A401" s="58"/>
      <c r="B401" s="68"/>
      <c r="D401" s="68" t="s">
        <v>311</v>
      </c>
      <c r="F401" s="83">
        <f t="shared" si="124"/>
        <v>0</v>
      </c>
      <c r="G401" s="82"/>
      <c r="H401" s="82"/>
      <c r="I401" s="82"/>
      <c r="K401" s="83">
        <f t="shared" si="125"/>
        <v>0</v>
      </c>
      <c r="L401" s="82"/>
      <c r="M401" s="82"/>
      <c r="N401" s="82"/>
      <c r="O401" s="84"/>
      <c r="P401" s="83">
        <f t="shared" si="126"/>
        <v>0</v>
      </c>
      <c r="Q401" s="82"/>
      <c r="R401" s="82"/>
      <c r="S401" s="82"/>
    </row>
    <row r="402" spans="1:19" ht="12.75" hidden="1" customHeight="1" x14ac:dyDescent="0.25">
      <c r="B402" s="68"/>
      <c r="C402" s="68"/>
      <c r="D402" s="72" t="s">
        <v>312</v>
      </c>
      <c r="F402" s="83">
        <f t="shared" si="124"/>
        <v>0</v>
      </c>
      <c r="G402" s="82"/>
      <c r="H402" s="82"/>
      <c r="I402" s="82"/>
      <c r="K402" s="83">
        <f t="shared" si="125"/>
        <v>0</v>
      </c>
      <c r="L402" s="82"/>
      <c r="M402" s="82"/>
      <c r="N402" s="82"/>
      <c r="O402" s="84"/>
      <c r="P402" s="83">
        <f t="shared" si="126"/>
        <v>0</v>
      </c>
      <c r="Q402" s="82"/>
      <c r="R402" s="82"/>
      <c r="S402" s="82"/>
    </row>
    <row r="403" spans="1:19" ht="12.75" hidden="1" customHeight="1" x14ac:dyDescent="0.25">
      <c r="B403" s="68"/>
      <c r="C403" s="68"/>
      <c r="D403" s="72" t="s">
        <v>313</v>
      </c>
      <c r="F403" s="83">
        <f t="shared" si="124"/>
        <v>0</v>
      </c>
      <c r="G403" s="82"/>
      <c r="H403" s="82"/>
      <c r="I403" s="82"/>
      <c r="K403" s="83">
        <f t="shared" si="125"/>
        <v>0</v>
      </c>
      <c r="L403" s="82"/>
      <c r="M403" s="82"/>
      <c r="N403" s="82"/>
      <c r="O403" s="84"/>
      <c r="P403" s="83">
        <f t="shared" si="126"/>
        <v>0</v>
      </c>
      <c r="Q403" s="82"/>
      <c r="R403" s="82"/>
      <c r="S403" s="82"/>
    </row>
    <row r="404" spans="1:19" ht="12.75" customHeight="1" x14ac:dyDescent="0.25">
      <c r="B404" s="58"/>
      <c r="C404" s="67" t="s">
        <v>314</v>
      </c>
      <c r="D404" s="67"/>
      <c r="F404" s="83"/>
      <c r="G404" s="82"/>
      <c r="H404" s="82"/>
      <c r="I404" s="82"/>
      <c r="K404" s="83"/>
      <c r="L404" s="82"/>
      <c r="M404" s="82"/>
      <c r="N404" s="82"/>
      <c r="O404" s="84"/>
      <c r="P404" s="83"/>
      <c r="Q404" s="82"/>
      <c r="R404" s="82"/>
      <c r="S404" s="82"/>
    </row>
    <row r="405" spans="1:19" x14ac:dyDescent="0.25">
      <c r="B405" s="68"/>
      <c r="C405" s="68"/>
      <c r="D405" s="68" t="s">
        <v>315</v>
      </c>
      <c r="F405" s="83">
        <f>G405+H405+I405</f>
        <v>1409337.41</v>
      </c>
      <c r="G405" s="82">
        <v>0</v>
      </c>
      <c r="H405" s="82">
        <v>0</v>
      </c>
      <c r="I405" s="82">
        <v>1409337.41</v>
      </c>
      <c r="K405" s="83">
        <f t="shared" ref="K405:K409" si="127">L405+M405+N405</f>
        <v>1582037.41</v>
      </c>
      <c r="L405" s="82">
        <v>172700</v>
      </c>
      <c r="M405" s="82">
        <v>0</v>
      </c>
      <c r="N405" s="82">
        <v>1409337.41</v>
      </c>
      <c r="O405" s="84"/>
      <c r="P405" s="83">
        <f t="shared" ref="P405:P409" si="128">Q405+R405+S405</f>
        <v>172700</v>
      </c>
      <c r="Q405" s="82">
        <v>172700</v>
      </c>
      <c r="R405" s="82">
        <v>0</v>
      </c>
      <c r="S405" s="82">
        <v>0</v>
      </c>
    </row>
    <row r="406" spans="1:19" ht="12.75" customHeight="1" x14ac:dyDescent="0.25">
      <c r="B406" s="68"/>
      <c r="C406" s="68"/>
      <c r="D406" s="68" t="s">
        <v>316</v>
      </c>
      <c r="F406" s="83">
        <f>G406+H406+I406</f>
        <v>262637061.46999994</v>
      </c>
      <c r="G406" s="82">
        <v>243737311.41999996</v>
      </c>
      <c r="H406" s="82">
        <v>11152449.879999999</v>
      </c>
      <c r="I406" s="82">
        <v>7747300.1699999757</v>
      </c>
      <c r="K406" s="83">
        <f t="shared" si="127"/>
        <v>171075831.39999995</v>
      </c>
      <c r="L406" s="82">
        <v>152096970.28999996</v>
      </c>
      <c r="M406" s="82">
        <v>11152449.879999999</v>
      </c>
      <c r="N406" s="82">
        <v>7826411.2300000004</v>
      </c>
      <c r="O406" s="84"/>
      <c r="P406" s="83">
        <f t="shared" si="128"/>
        <v>251060063.72999996</v>
      </c>
      <c r="Q406" s="82">
        <v>224323108.62999994</v>
      </c>
      <c r="R406" s="82">
        <v>7147378.3899999997</v>
      </c>
      <c r="S406" s="82">
        <v>19589576.710000031</v>
      </c>
    </row>
    <row r="407" spans="1:19" ht="29.25" customHeight="1" x14ac:dyDescent="0.25">
      <c r="B407" s="68"/>
      <c r="C407" s="68"/>
      <c r="D407" s="611" t="s">
        <v>317</v>
      </c>
      <c r="E407" s="611"/>
      <c r="F407" s="92">
        <f>G407+H407+I407</f>
        <v>31029988.84</v>
      </c>
      <c r="G407" s="82">
        <v>13124659.380000003</v>
      </c>
      <c r="H407" s="82">
        <v>17762863.799999997</v>
      </c>
      <c r="I407" s="82">
        <v>142465.65999999992</v>
      </c>
      <c r="J407" s="360"/>
      <c r="K407" s="92">
        <f t="shared" si="127"/>
        <v>116828083.99999997</v>
      </c>
      <c r="L407" s="82">
        <v>108635448.23999998</v>
      </c>
      <c r="M407" s="82">
        <v>8050170.0999999996</v>
      </c>
      <c r="N407" s="82">
        <v>142465.65999999992</v>
      </c>
      <c r="O407" s="93"/>
      <c r="P407" s="92">
        <f t="shared" si="128"/>
        <v>105642843.82999998</v>
      </c>
      <c r="Q407" s="82">
        <v>100811048.95999999</v>
      </c>
      <c r="R407" s="82">
        <v>4696204.0699999928</v>
      </c>
      <c r="S407" s="82">
        <v>135590.79999999999</v>
      </c>
    </row>
    <row r="408" spans="1:19" ht="12.75" hidden="1" customHeight="1" x14ac:dyDescent="0.25">
      <c r="B408" s="68"/>
      <c r="C408" s="68"/>
      <c r="D408" s="68" t="s">
        <v>318</v>
      </c>
      <c r="F408" s="83">
        <f>G408+H408+I408</f>
        <v>0</v>
      </c>
      <c r="G408" s="82"/>
      <c r="H408" s="82"/>
      <c r="I408" s="82"/>
      <c r="K408" s="83">
        <f t="shared" si="127"/>
        <v>0</v>
      </c>
      <c r="L408" s="82"/>
      <c r="M408" s="82"/>
      <c r="N408" s="82"/>
      <c r="O408" s="84"/>
      <c r="P408" s="83">
        <f t="shared" si="128"/>
        <v>0</v>
      </c>
      <c r="Q408" s="82"/>
      <c r="R408" s="82"/>
      <c r="S408" s="82"/>
    </row>
    <row r="409" spans="1:19" ht="12.75" hidden="1" customHeight="1" x14ac:dyDescent="0.25">
      <c r="B409" s="68"/>
      <c r="C409" s="68"/>
      <c r="D409" s="68" t="s">
        <v>319</v>
      </c>
      <c r="F409" s="83">
        <f>G409+H409+I409</f>
        <v>0</v>
      </c>
      <c r="G409" s="82"/>
      <c r="H409" s="82"/>
      <c r="I409" s="82"/>
      <c r="K409" s="83">
        <f t="shared" si="127"/>
        <v>0</v>
      </c>
      <c r="L409" s="82"/>
      <c r="M409" s="82"/>
      <c r="N409" s="82"/>
      <c r="O409" s="84"/>
      <c r="P409" s="83">
        <f t="shared" si="128"/>
        <v>0</v>
      </c>
      <c r="Q409" s="82"/>
      <c r="R409" s="82"/>
      <c r="S409" s="82"/>
    </row>
    <row r="410" spans="1:19" ht="12.75" hidden="1" customHeight="1" x14ac:dyDescent="0.25">
      <c r="A410" s="67"/>
      <c r="B410" s="67"/>
      <c r="C410" s="67" t="s">
        <v>320</v>
      </c>
      <c r="D410" s="68"/>
      <c r="F410" s="83"/>
      <c r="G410" s="82"/>
      <c r="H410" s="82"/>
      <c r="I410" s="82"/>
      <c r="K410" s="83"/>
      <c r="L410" s="83"/>
      <c r="M410" s="83"/>
      <c r="N410" s="83"/>
      <c r="O410" s="84"/>
      <c r="P410" s="83"/>
      <c r="Q410" s="83"/>
      <c r="R410" s="83"/>
      <c r="S410" s="83"/>
    </row>
    <row r="411" spans="1:19" ht="12.75" hidden="1" customHeight="1" x14ac:dyDescent="0.25">
      <c r="B411" s="58"/>
      <c r="C411" s="68"/>
      <c r="D411" s="68" t="s">
        <v>320</v>
      </c>
      <c r="F411" s="83">
        <f>G411+H411+I411</f>
        <v>0</v>
      </c>
      <c r="G411" s="82"/>
      <c r="H411" s="82"/>
      <c r="I411" s="82"/>
      <c r="K411" s="83">
        <f t="shared" ref="K411:K413" si="129">L411+M411+N411</f>
        <v>0</v>
      </c>
      <c r="L411" s="82"/>
      <c r="M411" s="82"/>
      <c r="N411" s="82"/>
      <c r="O411" s="84"/>
      <c r="P411" s="83">
        <f t="shared" ref="P411:P413" si="130">Q411+R411+S411</f>
        <v>0</v>
      </c>
      <c r="Q411" s="82"/>
      <c r="R411" s="82"/>
      <c r="S411" s="82"/>
    </row>
    <row r="412" spans="1:19" ht="12.75" hidden="1" customHeight="1" x14ac:dyDescent="0.25">
      <c r="B412" s="68"/>
      <c r="C412" s="68"/>
      <c r="D412" s="72" t="s">
        <v>321</v>
      </c>
      <c r="F412" s="83">
        <f>G412+H412+I412</f>
        <v>0</v>
      </c>
      <c r="G412" s="82"/>
      <c r="H412" s="82"/>
      <c r="I412" s="82"/>
      <c r="K412" s="83">
        <f t="shared" si="129"/>
        <v>0</v>
      </c>
      <c r="L412" s="82"/>
      <c r="M412" s="82"/>
      <c r="N412" s="82"/>
      <c r="O412" s="84"/>
      <c r="P412" s="83">
        <f t="shared" si="130"/>
        <v>0</v>
      </c>
      <c r="Q412" s="82"/>
      <c r="R412" s="82"/>
      <c r="S412" s="82"/>
    </row>
    <row r="413" spans="1:19" ht="12.75" hidden="1" customHeight="1" x14ac:dyDescent="0.25">
      <c r="B413" s="68"/>
      <c r="C413" s="68"/>
      <c r="D413" s="72" t="s">
        <v>322</v>
      </c>
      <c r="F413" s="83">
        <f>G413+H413+I413</f>
        <v>0</v>
      </c>
      <c r="G413" s="82"/>
      <c r="H413" s="82"/>
      <c r="I413" s="82"/>
      <c r="K413" s="83">
        <f t="shared" si="129"/>
        <v>0</v>
      </c>
      <c r="L413" s="82"/>
      <c r="M413" s="82"/>
      <c r="N413" s="82"/>
      <c r="O413" s="84"/>
      <c r="P413" s="83">
        <f t="shared" si="130"/>
        <v>0</v>
      </c>
      <c r="Q413" s="82"/>
      <c r="R413" s="82"/>
      <c r="S413" s="82"/>
    </row>
    <row r="414" spans="1:19" ht="12.75" customHeight="1" x14ac:dyDescent="0.25">
      <c r="A414" s="67"/>
      <c r="B414" s="67"/>
      <c r="C414" s="67" t="s">
        <v>323</v>
      </c>
      <c r="D414" s="68"/>
      <c r="F414" s="83"/>
      <c r="G414" s="82"/>
      <c r="H414" s="82"/>
      <c r="I414" s="82"/>
      <c r="K414" s="83"/>
      <c r="L414" s="82"/>
      <c r="M414" s="82"/>
      <c r="N414" s="82"/>
      <c r="O414" s="84"/>
      <c r="P414" s="83"/>
      <c r="Q414" s="82"/>
      <c r="R414" s="82"/>
      <c r="S414" s="82"/>
    </row>
    <row r="415" spans="1:19" ht="12.75" hidden="1" customHeight="1" x14ac:dyDescent="0.25">
      <c r="B415" s="58"/>
      <c r="C415" s="68"/>
      <c r="D415" s="68" t="s">
        <v>324</v>
      </c>
      <c r="F415" s="83">
        <f t="shared" ref="F415:F420" si="131">G415+H415+I415</f>
        <v>0</v>
      </c>
      <c r="G415" s="82"/>
      <c r="H415" s="82"/>
      <c r="I415" s="82"/>
      <c r="K415" s="83">
        <f>L415+M415+N415</f>
        <v>0</v>
      </c>
      <c r="L415" s="82"/>
      <c r="M415" s="82"/>
      <c r="N415" s="82"/>
      <c r="O415" s="84"/>
      <c r="P415" s="83">
        <f>Q415+R415+S415</f>
        <v>0</v>
      </c>
      <c r="Q415" s="82"/>
      <c r="R415" s="82"/>
      <c r="S415" s="82"/>
    </row>
    <row r="416" spans="1:19" ht="12.75" hidden="1" customHeight="1" x14ac:dyDescent="0.25">
      <c r="B416" s="68"/>
      <c r="C416" s="68"/>
      <c r="D416" s="72" t="s">
        <v>325</v>
      </c>
      <c r="F416" s="83">
        <f t="shared" si="131"/>
        <v>0</v>
      </c>
      <c r="G416" s="82"/>
      <c r="H416" s="82"/>
      <c r="I416" s="82"/>
      <c r="K416" s="83">
        <f t="shared" ref="K416:K420" si="132">L416+M416+N416</f>
        <v>0</v>
      </c>
      <c r="L416" s="82"/>
      <c r="M416" s="82"/>
      <c r="N416" s="82"/>
      <c r="O416" s="84"/>
      <c r="P416" s="83">
        <f t="shared" ref="P416:P420" si="133">Q416+R416+S416</f>
        <v>0</v>
      </c>
      <c r="Q416" s="82"/>
      <c r="R416" s="82"/>
      <c r="S416" s="82"/>
    </row>
    <row r="417" spans="1:21" ht="12.75" hidden="1" customHeight="1" x14ac:dyDescent="0.25">
      <c r="B417" s="68"/>
      <c r="C417" s="68"/>
      <c r="D417" s="72" t="s">
        <v>326</v>
      </c>
      <c r="F417" s="83">
        <f t="shared" si="131"/>
        <v>0</v>
      </c>
      <c r="G417" s="82"/>
      <c r="H417" s="82"/>
      <c r="I417" s="82"/>
      <c r="K417" s="83">
        <f t="shared" si="132"/>
        <v>0</v>
      </c>
      <c r="L417" s="82"/>
      <c r="M417" s="82"/>
      <c r="N417" s="82"/>
      <c r="O417" s="84"/>
      <c r="P417" s="83">
        <f t="shared" si="133"/>
        <v>0</v>
      </c>
      <c r="Q417" s="82"/>
      <c r="R417" s="82"/>
      <c r="S417" s="82"/>
    </row>
    <row r="418" spans="1:21" ht="12.75" customHeight="1" x14ac:dyDescent="0.25">
      <c r="B418" s="58"/>
      <c r="C418" s="68"/>
      <c r="D418" s="68" t="s">
        <v>323</v>
      </c>
      <c r="F418" s="83">
        <f t="shared" si="131"/>
        <v>53484995.280000001</v>
      </c>
      <c r="G418" s="82">
        <v>52780546.280000001</v>
      </c>
      <c r="H418" s="82">
        <v>15980</v>
      </c>
      <c r="I418" s="82">
        <v>688469</v>
      </c>
      <c r="K418" s="83">
        <f t="shared" si="132"/>
        <v>53125131.920000002</v>
      </c>
      <c r="L418" s="82">
        <v>51991353.920000002</v>
      </c>
      <c r="M418" s="82">
        <v>795309</v>
      </c>
      <c r="N418" s="82">
        <v>338469</v>
      </c>
      <c r="O418" s="84"/>
      <c r="P418" s="83">
        <f t="shared" si="133"/>
        <v>20317611.919999998</v>
      </c>
      <c r="Q418" s="82">
        <v>19204583.919999998</v>
      </c>
      <c r="R418" s="82">
        <v>690309</v>
      </c>
      <c r="S418" s="82">
        <v>422719</v>
      </c>
    </row>
    <row r="419" spans="1:21" ht="25.5" customHeight="1" x14ac:dyDescent="0.25">
      <c r="B419" s="68"/>
      <c r="C419" s="68"/>
      <c r="D419" s="607" t="s">
        <v>327</v>
      </c>
      <c r="E419" s="607"/>
      <c r="F419" s="83">
        <f t="shared" si="131"/>
        <v>-24918334.489999995</v>
      </c>
      <c r="G419" s="82">
        <v>-24641886.099999998</v>
      </c>
      <c r="H419" s="82">
        <v>-759.05999999999767</v>
      </c>
      <c r="I419" s="82">
        <v>-275689.33</v>
      </c>
      <c r="J419" s="359"/>
      <c r="K419" s="83">
        <f t="shared" si="132"/>
        <v>-17814924.780000001</v>
      </c>
      <c r="L419" s="82">
        <v>-17398041.350000001</v>
      </c>
      <c r="M419" s="82">
        <v>-257338.31000000008</v>
      </c>
      <c r="N419" s="82">
        <v>-159545.12</v>
      </c>
      <c r="O419" s="94"/>
      <c r="P419" s="83">
        <f t="shared" si="133"/>
        <v>-9892131.4100000001</v>
      </c>
      <c r="Q419" s="82">
        <v>-9544632.4399999995</v>
      </c>
      <c r="R419" s="82">
        <v>-213578.21</v>
      </c>
      <c r="S419" s="82">
        <v>-133920.76</v>
      </c>
    </row>
    <row r="420" spans="1:21" ht="12.75" customHeight="1" x14ac:dyDescent="0.25">
      <c r="B420" s="68"/>
      <c r="C420" s="68"/>
      <c r="D420" s="72" t="s">
        <v>328</v>
      </c>
      <c r="F420" s="83">
        <f t="shared" si="131"/>
        <v>0</v>
      </c>
      <c r="G420" s="82"/>
      <c r="H420" s="82"/>
      <c r="I420" s="82"/>
      <c r="K420" s="83">
        <f t="shared" si="132"/>
        <v>0</v>
      </c>
      <c r="L420" s="82"/>
      <c r="M420" s="82"/>
      <c r="N420" s="82"/>
      <c r="O420" s="84"/>
      <c r="P420" s="83">
        <f t="shared" si="133"/>
        <v>0</v>
      </c>
      <c r="Q420" s="82"/>
      <c r="R420" s="82"/>
      <c r="S420" s="82"/>
    </row>
    <row r="421" spans="1:21" ht="12.75" customHeight="1" x14ac:dyDescent="0.25">
      <c r="B421" s="58"/>
      <c r="C421" s="68"/>
      <c r="D421" s="67" t="s">
        <v>329</v>
      </c>
      <c r="F421" s="90">
        <f t="shared" ref="F421:I421" si="134">SUM(F248:F420)</f>
        <v>2432709771.2600002</v>
      </c>
      <c r="G421" s="90">
        <f t="shared" si="134"/>
        <v>2181938332.3800001</v>
      </c>
      <c r="H421" s="90">
        <f t="shared" si="134"/>
        <v>93360680.809999987</v>
      </c>
      <c r="I421" s="90">
        <f t="shared" si="134"/>
        <v>157410758.06999996</v>
      </c>
      <c r="K421" s="90">
        <f t="shared" ref="K421:N421" si="135">SUM(K248:K420)</f>
        <v>2209279606.349999</v>
      </c>
      <c r="L421" s="90">
        <f t="shared" si="135"/>
        <v>1905742487.8299997</v>
      </c>
      <c r="M421" s="90">
        <f t="shared" si="135"/>
        <v>232583689.83999994</v>
      </c>
      <c r="N421" s="90">
        <f t="shared" si="135"/>
        <v>70953428.679999992</v>
      </c>
      <c r="O421" s="84"/>
      <c r="P421" s="90">
        <f t="shared" ref="P421:S421" si="136">SUM(P248:P420)</f>
        <v>2011531411.9299996</v>
      </c>
      <c r="Q421" s="90">
        <f t="shared" si="136"/>
        <v>1696136228.98</v>
      </c>
      <c r="R421" s="90">
        <f t="shared" si="136"/>
        <v>223535000.36999997</v>
      </c>
      <c r="S421" s="90">
        <f t="shared" si="136"/>
        <v>91860182.580000013</v>
      </c>
      <c r="U421" s="59">
        <f>+K421-P421</f>
        <v>197748194.41999936</v>
      </c>
    </row>
    <row r="422" spans="1:21" ht="12.75" customHeight="1" x14ac:dyDescent="0.25">
      <c r="B422" s="67" t="s">
        <v>330</v>
      </c>
      <c r="C422" s="67"/>
      <c r="D422" s="67"/>
      <c r="F422" s="83"/>
      <c r="G422" s="83"/>
      <c r="H422" s="83"/>
      <c r="I422" s="83"/>
      <c r="K422" s="83"/>
      <c r="L422" s="83"/>
      <c r="M422" s="83"/>
      <c r="N422" s="83"/>
      <c r="O422" s="84"/>
      <c r="P422" s="83"/>
      <c r="Q422" s="83"/>
      <c r="R422" s="83"/>
      <c r="S422" s="83"/>
    </row>
    <row r="423" spans="1:21" ht="12.75" customHeight="1" x14ac:dyDescent="0.25">
      <c r="B423" s="68"/>
      <c r="C423" s="67" t="s">
        <v>331</v>
      </c>
      <c r="D423" s="68"/>
      <c r="F423" s="83"/>
      <c r="G423" s="83"/>
      <c r="H423" s="83"/>
      <c r="I423" s="83"/>
      <c r="K423" s="83"/>
      <c r="L423" s="83"/>
      <c r="M423" s="83"/>
      <c r="N423" s="83"/>
      <c r="O423" s="84"/>
      <c r="P423" s="83"/>
      <c r="Q423" s="83"/>
      <c r="R423" s="83"/>
      <c r="S423" s="83"/>
    </row>
    <row r="424" spans="1:21" ht="12.75" customHeight="1" x14ac:dyDescent="0.25">
      <c r="B424" s="68"/>
      <c r="C424" s="68"/>
      <c r="D424" s="68" t="s">
        <v>332</v>
      </c>
      <c r="F424" s="83">
        <f>G424+H424+I424</f>
        <v>124150</v>
      </c>
      <c r="G424" s="82">
        <v>124150</v>
      </c>
      <c r="H424" s="82">
        <v>0</v>
      </c>
      <c r="I424" s="82">
        <v>0</v>
      </c>
      <c r="K424" s="83">
        <f t="shared" ref="K424:K427" si="137">L424+M424+N424</f>
        <v>124150</v>
      </c>
      <c r="L424" s="89">
        <v>124150</v>
      </c>
      <c r="M424" s="82">
        <v>0</v>
      </c>
      <c r="N424" s="82">
        <v>0</v>
      </c>
      <c r="O424" s="84"/>
      <c r="P424" s="83">
        <f t="shared" ref="P424:P427" si="138">Q424+R424+S424</f>
        <v>624150</v>
      </c>
      <c r="Q424" s="89">
        <v>124150</v>
      </c>
      <c r="R424" s="82">
        <v>0</v>
      </c>
      <c r="S424" s="82">
        <v>500000</v>
      </c>
    </row>
    <row r="425" spans="1:21" ht="12.75" hidden="1" customHeight="1" x14ac:dyDescent="0.25">
      <c r="B425" s="68"/>
      <c r="C425" s="68"/>
      <c r="D425" s="68" t="s">
        <v>333</v>
      </c>
      <c r="F425" s="83">
        <f>G425+H425+I425</f>
        <v>0</v>
      </c>
      <c r="G425" s="82"/>
      <c r="H425" s="82"/>
      <c r="I425" s="82"/>
      <c r="K425" s="83">
        <f t="shared" si="137"/>
        <v>0</v>
      </c>
      <c r="L425" s="82"/>
      <c r="M425" s="82"/>
      <c r="N425" s="82"/>
      <c r="O425" s="84"/>
      <c r="P425" s="83">
        <f t="shared" si="138"/>
        <v>0</v>
      </c>
      <c r="Q425" s="82"/>
      <c r="R425" s="82"/>
      <c r="S425" s="82"/>
    </row>
    <row r="426" spans="1:21" ht="12.75" hidden="1" customHeight="1" x14ac:dyDescent="0.25">
      <c r="B426" s="68"/>
      <c r="C426" s="68"/>
      <c r="D426" s="68" t="s">
        <v>334</v>
      </c>
      <c r="F426" s="83">
        <f>G426+H426+I426</f>
        <v>0</v>
      </c>
      <c r="G426" s="82"/>
      <c r="H426" s="82"/>
      <c r="I426" s="82"/>
      <c r="K426" s="83">
        <f t="shared" si="137"/>
        <v>0</v>
      </c>
      <c r="L426" s="82"/>
      <c r="M426" s="82"/>
      <c r="N426" s="82"/>
      <c r="O426" s="84"/>
      <c r="P426" s="83">
        <f t="shared" si="138"/>
        <v>0</v>
      </c>
      <c r="Q426" s="82"/>
      <c r="R426" s="82"/>
      <c r="S426" s="82"/>
    </row>
    <row r="427" spans="1:21" ht="12.75" hidden="1" customHeight="1" x14ac:dyDescent="0.25">
      <c r="B427" s="68"/>
      <c r="C427" s="68"/>
      <c r="D427" s="68" t="s">
        <v>335</v>
      </c>
      <c r="F427" s="83">
        <f>G427+H427+I427</f>
        <v>0</v>
      </c>
      <c r="G427" s="82"/>
      <c r="H427" s="82"/>
      <c r="I427" s="82"/>
      <c r="K427" s="83">
        <f t="shared" si="137"/>
        <v>0</v>
      </c>
      <c r="L427" s="82"/>
      <c r="M427" s="82"/>
      <c r="N427" s="82"/>
      <c r="O427" s="84"/>
      <c r="P427" s="83">
        <f t="shared" si="138"/>
        <v>0</v>
      </c>
      <c r="Q427" s="82"/>
      <c r="R427" s="82"/>
      <c r="S427" s="82"/>
    </row>
    <row r="428" spans="1:21" ht="12.75" customHeight="1" x14ac:dyDescent="0.25">
      <c r="A428" s="67"/>
      <c r="B428" s="67"/>
      <c r="C428" s="58"/>
      <c r="D428" s="67" t="s">
        <v>336</v>
      </c>
      <c r="F428" s="90">
        <f t="shared" ref="F428:I428" si="139">SUM(F424:F427)</f>
        <v>124150</v>
      </c>
      <c r="G428" s="90">
        <f t="shared" si="139"/>
        <v>124150</v>
      </c>
      <c r="H428" s="90">
        <f t="shared" si="139"/>
        <v>0</v>
      </c>
      <c r="I428" s="90">
        <f t="shared" si="139"/>
        <v>0</v>
      </c>
      <c r="K428" s="90">
        <f t="shared" ref="K428:N428" si="140">SUM(K424:K427)</f>
        <v>124150</v>
      </c>
      <c r="L428" s="90">
        <f t="shared" si="140"/>
        <v>124150</v>
      </c>
      <c r="M428" s="90">
        <f t="shared" si="140"/>
        <v>0</v>
      </c>
      <c r="N428" s="90">
        <f t="shared" si="140"/>
        <v>0</v>
      </c>
      <c r="O428" s="84"/>
      <c r="P428" s="90">
        <f t="shared" ref="P428:S428" si="141">SUM(P424:P427)</f>
        <v>624150</v>
      </c>
      <c r="Q428" s="90">
        <f t="shared" si="141"/>
        <v>124150</v>
      </c>
      <c r="R428" s="90">
        <f t="shared" si="141"/>
        <v>0</v>
      </c>
      <c r="S428" s="90">
        <f t="shared" si="141"/>
        <v>500000</v>
      </c>
    </row>
    <row r="429" spans="1:21" ht="12.75" customHeight="1" x14ac:dyDescent="0.25">
      <c r="B429" s="67" t="s">
        <v>337</v>
      </c>
      <c r="C429" s="67"/>
      <c r="D429" s="67"/>
      <c r="F429" s="83"/>
      <c r="G429" s="83"/>
      <c r="H429" s="83"/>
      <c r="I429" s="83"/>
      <c r="K429" s="83"/>
      <c r="L429" s="83"/>
      <c r="M429" s="83"/>
      <c r="N429" s="83"/>
      <c r="O429" s="84"/>
      <c r="P429" s="83"/>
      <c r="Q429" s="83"/>
      <c r="R429" s="83"/>
      <c r="S429" s="83"/>
    </row>
    <row r="430" spans="1:21" ht="12.75" customHeight="1" x14ac:dyDescent="0.25">
      <c r="B430" s="68"/>
      <c r="C430" s="67" t="s">
        <v>338</v>
      </c>
      <c r="D430" s="68"/>
      <c r="F430" s="83"/>
      <c r="G430" s="83"/>
      <c r="H430" s="83"/>
      <c r="I430" s="83"/>
      <c r="K430" s="83"/>
      <c r="L430" s="83"/>
      <c r="M430" s="83"/>
      <c r="N430" s="83"/>
      <c r="O430" s="84"/>
      <c r="P430" s="83"/>
      <c r="Q430" s="83"/>
      <c r="R430" s="83"/>
      <c r="S430" s="83"/>
    </row>
    <row r="431" spans="1:21" ht="12.75" hidden="1" customHeight="1" x14ac:dyDescent="0.25">
      <c r="B431" s="68"/>
      <c r="C431" s="68"/>
      <c r="D431" s="68" t="s">
        <v>339</v>
      </c>
      <c r="F431" s="83">
        <f t="shared" ref="F431:F439" si="142">G431+H431+I431</f>
        <v>0</v>
      </c>
      <c r="G431" s="82"/>
      <c r="H431" s="82"/>
      <c r="I431" s="82"/>
      <c r="K431" s="83">
        <f t="shared" ref="K431:K439" si="143">L431+M431+N431</f>
        <v>0</v>
      </c>
      <c r="L431" s="82"/>
      <c r="M431" s="82"/>
      <c r="N431" s="82"/>
      <c r="O431" s="84"/>
      <c r="P431" s="83">
        <f t="shared" ref="P431:P439" si="144">Q431+R431+S431</f>
        <v>0</v>
      </c>
      <c r="Q431" s="82"/>
      <c r="R431" s="82"/>
      <c r="S431" s="82"/>
    </row>
    <row r="432" spans="1:21" ht="12.75" hidden="1" customHeight="1" x14ac:dyDescent="0.25">
      <c r="B432" s="68"/>
      <c r="C432" s="68"/>
      <c r="D432" s="72" t="s">
        <v>340</v>
      </c>
      <c r="F432" s="83">
        <f t="shared" si="142"/>
        <v>0</v>
      </c>
      <c r="G432" s="82"/>
      <c r="H432" s="82"/>
      <c r="I432" s="82"/>
      <c r="K432" s="83">
        <f t="shared" si="143"/>
        <v>0</v>
      </c>
      <c r="L432" s="82"/>
      <c r="M432" s="82"/>
      <c r="N432" s="82"/>
      <c r="O432" s="84"/>
      <c r="P432" s="83">
        <f t="shared" si="144"/>
        <v>0</v>
      </c>
      <c r="Q432" s="82"/>
      <c r="R432" s="82"/>
      <c r="S432" s="82"/>
    </row>
    <row r="433" spans="1:21" ht="12.75" hidden="1" customHeight="1" x14ac:dyDescent="0.25">
      <c r="B433" s="68"/>
      <c r="C433" s="68"/>
      <c r="D433" s="72" t="s">
        <v>341</v>
      </c>
      <c r="F433" s="83">
        <f t="shared" si="142"/>
        <v>0</v>
      </c>
      <c r="G433" s="82"/>
      <c r="H433" s="82"/>
      <c r="I433" s="82"/>
      <c r="K433" s="83">
        <f t="shared" si="143"/>
        <v>0</v>
      </c>
      <c r="L433" s="82"/>
      <c r="M433" s="82"/>
      <c r="N433" s="82"/>
      <c r="O433" s="84"/>
      <c r="P433" s="83">
        <f t="shared" si="144"/>
        <v>0</v>
      </c>
      <c r="Q433" s="82"/>
      <c r="R433" s="82"/>
      <c r="S433" s="82"/>
    </row>
    <row r="434" spans="1:21" ht="12.75" customHeight="1" x14ac:dyDescent="0.25">
      <c r="B434" s="68"/>
      <c r="C434" s="68"/>
      <c r="D434" s="68" t="s">
        <v>342</v>
      </c>
      <c r="F434" s="83">
        <f t="shared" si="142"/>
        <v>2072352</v>
      </c>
      <c r="G434" s="82">
        <v>2072352</v>
      </c>
      <c r="H434" s="82">
        <v>0</v>
      </c>
      <c r="I434" s="82">
        <v>0</v>
      </c>
      <c r="K434" s="83">
        <f t="shared" si="143"/>
        <v>2072352</v>
      </c>
      <c r="L434" s="82">
        <v>2072352</v>
      </c>
      <c r="M434" s="82">
        <v>0</v>
      </c>
      <c r="N434" s="82">
        <v>0</v>
      </c>
      <c r="O434" s="95"/>
      <c r="P434" s="83">
        <f t="shared" si="144"/>
        <v>2072352</v>
      </c>
      <c r="Q434" s="82">
        <v>2072352</v>
      </c>
      <c r="R434" s="82">
        <v>0</v>
      </c>
      <c r="S434" s="82">
        <v>0</v>
      </c>
    </row>
    <row r="435" spans="1:21" ht="12.75" customHeight="1" x14ac:dyDescent="0.25">
      <c r="B435" s="68"/>
      <c r="C435" s="68"/>
      <c r="D435" s="72" t="s">
        <v>343</v>
      </c>
      <c r="F435" s="83">
        <f t="shared" si="142"/>
        <v>-1641678.9699999997</v>
      </c>
      <c r="G435" s="82">
        <v>-1641678.9699999997</v>
      </c>
      <c r="H435" s="82">
        <v>0</v>
      </c>
      <c r="I435" s="82">
        <v>0</v>
      </c>
      <c r="K435" s="83">
        <f t="shared" si="143"/>
        <v>-1292726.5499999998</v>
      </c>
      <c r="L435" s="82">
        <v>-1292726.5499999998</v>
      </c>
      <c r="M435" s="82">
        <v>0</v>
      </c>
      <c r="N435" s="82">
        <v>0</v>
      </c>
      <c r="O435" s="84"/>
      <c r="P435" s="83">
        <f t="shared" si="144"/>
        <v>-914987.55</v>
      </c>
      <c r="Q435" s="82">
        <v>-914987.55</v>
      </c>
      <c r="R435" s="82">
        <v>0</v>
      </c>
      <c r="S435" s="82">
        <v>0</v>
      </c>
    </row>
    <row r="436" spans="1:21" ht="12.75" hidden="1" customHeight="1" x14ac:dyDescent="0.25">
      <c r="B436" s="68"/>
      <c r="C436" s="68"/>
      <c r="D436" s="72" t="s">
        <v>344</v>
      </c>
      <c r="F436" s="83">
        <f t="shared" si="142"/>
        <v>0</v>
      </c>
      <c r="G436" s="82"/>
      <c r="H436" s="82"/>
      <c r="I436" s="82"/>
      <c r="K436" s="83">
        <f t="shared" si="143"/>
        <v>0</v>
      </c>
      <c r="L436" s="82"/>
      <c r="M436" s="82"/>
      <c r="N436" s="82"/>
      <c r="O436" s="84"/>
      <c r="P436" s="83">
        <f t="shared" si="144"/>
        <v>0</v>
      </c>
      <c r="Q436" s="82"/>
      <c r="R436" s="82"/>
      <c r="S436" s="82"/>
    </row>
    <row r="437" spans="1:21" ht="12.75" hidden="1" customHeight="1" x14ac:dyDescent="0.25">
      <c r="B437" s="68"/>
      <c r="C437" s="68"/>
      <c r="D437" s="68" t="s">
        <v>345</v>
      </c>
      <c r="F437" s="83">
        <f t="shared" si="142"/>
        <v>0</v>
      </c>
      <c r="G437" s="82"/>
      <c r="H437" s="82"/>
      <c r="I437" s="82"/>
      <c r="K437" s="83">
        <f t="shared" si="143"/>
        <v>0</v>
      </c>
      <c r="L437" s="82"/>
      <c r="M437" s="82"/>
      <c r="N437" s="82"/>
      <c r="O437" s="84"/>
      <c r="P437" s="83">
        <f t="shared" si="144"/>
        <v>0</v>
      </c>
      <c r="Q437" s="82"/>
      <c r="R437" s="82"/>
      <c r="S437" s="82"/>
    </row>
    <row r="438" spans="1:21" ht="12.75" hidden="1" customHeight="1" x14ac:dyDescent="0.25">
      <c r="B438" s="68"/>
      <c r="C438" s="68"/>
      <c r="D438" s="72" t="s">
        <v>346</v>
      </c>
      <c r="F438" s="83">
        <f t="shared" si="142"/>
        <v>0</v>
      </c>
      <c r="G438" s="82"/>
      <c r="H438" s="82"/>
      <c r="I438" s="82"/>
      <c r="K438" s="83">
        <f t="shared" si="143"/>
        <v>0</v>
      </c>
      <c r="L438" s="82"/>
      <c r="M438" s="82"/>
      <c r="N438" s="82"/>
      <c r="O438" s="84"/>
      <c r="P438" s="83">
        <f t="shared" si="144"/>
        <v>0</v>
      </c>
      <c r="Q438" s="82"/>
      <c r="R438" s="82"/>
      <c r="S438" s="82"/>
    </row>
    <row r="439" spans="1:21" ht="12.75" hidden="1" customHeight="1" x14ac:dyDescent="0.25">
      <c r="B439" s="68"/>
      <c r="C439" s="68"/>
      <c r="D439" s="72" t="s">
        <v>347</v>
      </c>
      <c r="F439" s="83">
        <f t="shared" si="142"/>
        <v>0</v>
      </c>
      <c r="G439" s="82"/>
      <c r="H439" s="82"/>
      <c r="I439" s="82"/>
      <c r="K439" s="83">
        <f t="shared" si="143"/>
        <v>0</v>
      </c>
      <c r="L439" s="82"/>
      <c r="M439" s="82"/>
      <c r="N439" s="82"/>
      <c r="O439" s="84"/>
      <c r="P439" s="83">
        <f t="shared" si="144"/>
        <v>0</v>
      </c>
      <c r="Q439" s="82"/>
      <c r="R439" s="82"/>
      <c r="S439" s="82"/>
    </row>
    <row r="440" spans="1:21" ht="12.75" hidden="1" customHeight="1" x14ac:dyDescent="0.25">
      <c r="B440" s="68"/>
      <c r="C440" s="67" t="s">
        <v>348</v>
      </c>
      <c r="D440" s="68"/>
      <c r="F440" s="83"/>
      <c r="G440" s="83"/>
      <c r="H440" s="83"/>
      <c r="I440" s="83"/>
      <c r="K440" s="83"/>
      <c r="L440" s="83"/>
      <c r="M440" s="83"/>
      <c r="N440" s="83"/>
      <c r="O440" s="84"/>
      <c r="P440" s="83"/>
      <c r="Q440" s="83"/>
      <c r="R440" s="83"/>
      <c r="S440" s="83"/>
    </row>
    <row r="441" spans="1:21" ht="12.75" hidden="1" customHeight="1" x14ac:dyDescent="0.25">
      <c r="B441" s="68"/>
      <c r="C441" s="68"/>
      <c r="D441" s="68" t="s">
        <v>348</v>
      </c>
      <c r="F441" s="83">
        <f>G441+H441+I441</f>
        <v>0</v>
      </c>
      <c r="G441" s="82"/>
      <c r="H441" s="82"/>
      <c r="I441" s="82"/>
      <c r="K441" s="83">
        <f>L441+M441+N441</f>
        <v>0</v>
      </c>
      <c r="L441" s="82"/>
      <c r="M441" s="82"/>
      <c r="N441" s="82"/>
      <c r="O441" s="84"/>
      <c r="P441" s="83">
        <f>Q441+R441+S441</f>
        <v>0</v>
      </c>
      <c r="Q441" s="82"/>
      <c r="R441" s="82"/>
      <c r="S441" s="82"/>
    </row>
    <row r="442" spans="1:21" ht="12.75" customHeight="1" x14ac:dyDescent="0.25">
      <c r="B442" s="68"/>
      <c r="C442" s="68"/>
      <c r="D442" s="67" t="s">
        <v>349</v>
      </c>
      <c r="F442" s="90">
        <f t="shared" ref="F442:I442" si="145">SUM(F431:F441)</f>
        <v>430673.03000000026</v>
      </c>
      <c r="G442" s="90">
        <f t="shared" si="145"/>
        <v>430673.03000000026</v>
      </c>
      <c r="H442" s="90">
        <f t="shared" si="145"/>
        <v>0</v>
      </c>
      <c r="I442" s="90">
        <f t="shared" si="145"/>
        <v>0</v>
      </c>
      <c r="K442" s="90">
        <f t="shared" ref="K442:N442" si="146">SUM(K431:K441)</f>
        <v>779625.45000000019</v>
      </c>
      <c r="L442" s="90">
        <f t="shared" si="146"/>
        <v>779625.45000000019</v>
      </c>
      <c r="M442" s="90">
        <f t="shared" si="146"/>
        <v>0</v>
      </c>
      <c r="N442" s="90">
        <f t="shared" si="146"/>
        <v>0</v>
      </c>
      <c r="O442" s="84"/>
      <c r="P442" s="90">
        <f t="shared" ref="P442" si="147">SUM(P431:P441)</f>
        <v>1157364.45</v>
      </c>
      <c r="Q442" s="90">
        <f t="shared" ref="Q442:S442" si="148">SUM(Q431:Q441)</f>
        <v>1157364.45</v>
      </c>
      <c r="R442" s="90">
        <f t="shared" si="148"/>
        <v>0</v>
      </c>
      <c r="S442" s="90">
        <f t="shared" si="148"/>
        <v>0</v>
      </c>
    </row>
    <row r="443" spans="1:21" ht="12.75" customHeight="1" x14ac:dyDescent="0.25">
      <c r="A443" s="77" t="s">
        <v>350</v>
      </c>
      <c r="B443" s="68"/>
      <c r="C443" s="68"/>
      <c r="D443" s="68"/>
      <c r="F443" s="90">
        <f>+F183+F236+F245+F421+F428+F442</f>
        <v>2455671453.5900006</v>
      </c>
      <c r="G443" s="90">
        <f t="shared" ref="G443:I443" si="149">+G183+G236+G245+G421+G428+G442</f>
        <v>2204900014.7100005</v>
      </c>
      <c r="H443" s="90">
        <f t="shared" si="149"/>
        <v>93360680.809999987</v>
      </c>
      <c r="I443" s="90">
        <f t="shared" si="149"/>
        <v>157410758.06999996</v>
      </c>
      <c r="K443" s="90">
        <f>+K183+K236+K245+K421+K428+K442</f>
        <v>2233564888.1799989</v>
      </c>
      <c r="L443" s="90">
        <f t="shared" ref="L443:N443" si="150">+L183+L236+L245+L421+L428+L442</f>
        <v>1930027769.6599998</v>
      </c>
      <c r="M443" s="90">
        <f t="shared" si="150"/>
        <v>232583689.83999994</v>
      </c>
      <c r="N443" s="90">
        <f t="shared" si="150"/>
        <v>70953428.679999992</v>
      </c>
      <c r="O443" s="84"/>
      <c r="P443" s="90">
        <f t="shared" ref="P443:S443" si="151">+P183+P236+P245+P421+P428+P442</f>
        <v>2013312926.3799996</v>
      </c>
      <c r="Q443" s="90">
        <f t="shared" si="151"/>
        <v>1697417743.4300001</v>
      </c>
      <c r="R443" s="90">
        <f t="shared" si="151"/>
        <v>223535000.36999997</v>
      </c>
      <c r="S443" s="90">
        <f t="shared" si="151"/>
        <v>92360182.580000013</v>
      </c>
      <c r="U443" s="59">
        <f>+K443-P443</f>
        <v>220251961.79999924</v>
      </c>
    </row>
    <row r="444" spans="1:21" ht="12.75" customHeight="1" thickBot="1" x14ac:dyDescent="0.3">
      <c r="A444" s="67" t="s">
        <v>351</v>
      </c>
      <c r="B444" s="68"/>
      <c r="C444" s="68"/>
      <c r="D444" s="68"/>
      <c r="F444" s="97">
        <f t="shared" ref="F444:I444" si="152">+F153+F443</f>
        <v>4183070288.9000006</v>
      </c>
      <c r="G444" s="97">
        <f t="shared" si="152"/>
        <v>3299873423.0100002</v>
      </c>
      <c r="H444" s="97">
        <f t="shared" si="152"/>
        <v>181740071.41999999</v>
      </c>
      <c r="I444" s="97">
        <f t="shared" si="152"/>
        <v>701456794.47000015</v>
      </c>
      <c r="K444" s="97">
        <f t="shared" ref="K444:N444" si="153">+K153+K443</f>
        <v>3769522746.8099985</v>
      </c>
      <c r="L444" s="97">
        <f t="shared" si="153"/>
        <v>3166828287.9399996</v>
      </c>
      <c r="M444" s="97">
        <f t="shared" si="153"/>
        <v>319957264.01999998</v>
      </c>
      <c r="N444" s="97">
        <f t="shared" si="153"/>
        <v>282737194.84999996</v>
      </c>
      <c r="O444" s="84"/>
      <c r="P444" s="97">
        <f t="shared" ref="P444:S444" si="154">+P153+P443</f>
        <v>3390480333.8799992</v>
      </c>
      <c r="Q444" s="97">
        <f t="shared" si="154"/>
        <v>2904485734.9499998</v>
      </c>
      <c r="R444" s="97">
        <f t="shared" si="154"/>
        <v>296594710.68999994</v>
      </c>
      <c r="S444" s="97">
        <f t="shared" si="154"/>
        <v>189399888.23999995</v>
      </c>
      <c r="U444" s="59">
        <f>+K444-P444</f>
        <v>379042412.92999935</v>
      </c>
    </row>
    <row r="445" spans="1:21" ht="12.75" customHeight="1" thickTop="1" x14ac:dyDescent="0.25">
      <c r="A445" s="67"/>
      <c r="B445" s="68"/>
      <c r="C445" s="68"/>
      <c r="D445" s="68"/>
      <c r="K445" s="83"/>
      <c r="L445" s="82"/>
      <c r="M445" s="82"/>
      <c r="N445" s="82"/>
      <c r="O445" s="84"/>
      <c r="P445" s="83"/>
      <c r="Q445" s="82"/>
      <c r="R445" s="82"/>
      <c r="S445" s="82"/>
    </row>
    <row r="446" spans="1:21" ht="12.75" customHeight="1" x14ac:dyDescent="0.25">
      <c r="A446" s="67" t="s">
        <v>352</v>
      </c>
      <c r="B446" s="67"/>
      <c r="C446" s="67"/>
      <c r="D446" s="68"/>
      <c r="K446" s="83"/>
      <c r="L446" s="83"/>
      <c r="M446" s="83"/>
      <c r="N446" s="83"/>
      <c r="O446" s="84"/>
      <c r="P446" s="83"/>
      <c r="Q446" s="83"/>
      <c r="R446" s="83"/>
      <c r="S446" s="83"/>
    </row>
    <row r="447" spans="1:21" ht="12.75" customHeight="1" x14ac:dyDescent="0.25">
      <c r="A447" s="67"/>
      <c r="B447" s="67" t="s">
        <v>353</v>
      </c>
      <c r="C447" s="67"/>
      <c r="D447" s="68"/>
      <c r="K447" s="83"/>
      <c r="L447" s="83"/>
      <c r="M447" s="83"/>
      <c r="N447" s="83"/>
      <c r="O447" s="84"/>
      <c r="P447" s="83"/>
      <c r="Q447" s="83"/>
      <c r="R447" s="83"/>
      <c r="S447" s="83"/>
    </row>
    <row r="448" spans="1:21" ht="12.75" customHeight="1" x14ac:dyDescent="0.25">
      <c r="A448" s="67"/>
      <c r="B448" s="67"/>
      <c r="C448" s="67" t="s">
        <v>354</v>
      </c>
      <c r="D448" s="68"/>
      <c r="K448" s="83"/>
      <c r="L448" s="83"/>
      <c r="M448" s="83"/>
      <c r="N448" s="83"/>
      <c r="O448" s="84"/>
      <c r="P448" s="83"/>
      <c r="Q448" s="83"/>
      <c r="R448" s="83"/>
      <c r="S448" s="83"/>
    </row>
    <row r="449" spans="1:19" ht="12.75" customHeight="1" x14ac:dyDescent="0.25">
      <c r="A449" s="67"/>
      <c r="B449" s="67"/>
      <c r="C449" s="67"/>
      <c r="D449" s="67" t="s">
        <v>355</v>
      </c>
      <c r="K449" s="83"/>
      <c r="L449" s="83"/>
      <c r="M449" s="83"/>
      <c r="N449" s="83"/>
      <c r="O449" s="84"/>
      <c r="P449" s="83"/>
      <c r="Q449" s="83"/>
      <c r="R449" s="83"/>
      <c r="S449" s="83"/>
    </row>
    <row r="450" spans="1:19" ht="12.75" customHeight="1" x14ac:dyDescent="0.25">
      <c r="B450" s="68"/>
      <c r="C450" s="68"/>
      <c r="D450" s="58"/>
      <c r="E450" s="69" t="s">
        <v>356</v>
      </c>
      <c r="F450" s="83">
        <f t="shared" ref="F450:F460" si="155">G450+H450+I450</f>
        <v>90186826.260000005</v>
      </c>
      <c r="G450" s="82">
        <v>78264384.24000001</v>
      </c>
      <c r="H450" s="82">
        <v>6065717.5599999987</v>
      </c>
      <c r="I450" s="82">
        <v>5856724.459999999</v>
      </c>
      <c r="K450" s="83">
        <f t="shared" ref="K450:K460" si="156">L450+M450+N450</f>
        <v>82917715.160000011</v>
      </c>
      <c r="L450" s="82">
        <v>65806233.770000011</v>
      </c>
      <c r="M450" s="82">
        <v>7377757.6399999997</v>
      </c>
      <c r="N450" s="82">
        <v>9733723.75</v>
      </c>
      <c r="O450" s="84"/>
      <c r="P450" s="83">
        <f t="shared" ref="P450:P460" si="157">Q450+R450+S450</f>
        <v>37129127.989999995</v>
      </c>
      <c r="Q450" s="82">
        <v>34423166.889999993</v>
      </c>
      <c r="R450" s="82">
        <v>2705961.0999999996</v>
      </c>
      <c r="S450" s="82">
        <v>0</v>
      </c>
    </row>
    <row r="451" spans="1:19" ht="12.75" customHeight="1" x14ac:dyDescent="0.25">
      <c r="B451" s="68"/>
      <c r="C451" s="68"/>
      <c r="D451" s="58"/>
      <c r="E451" s="69" t="s">
        <v>357</v>
      </c>
      <c r="F451" s="83">
        <f t="shared" si="155"/>
        <v>6605251.4699999979</v>
      </c>
      <c r="G451" s="82">
        <v>6469277.0699999984</v>
      </c>
      <c r="H451" s="82">
        <v>135438.04999999999</v>
      </c>
      <c r="I451" s="82">
        <v>536.35000000000036</v>
      </c>
      <c r="K451" s="83">
        <f t="shared" si="156"/>
        <v>13629228.689999998</v>
      </c>
      <c r="L451" s="89">
        <v>13493254.289999997</v>
      </c>
      <c r="M451" s="89">
        <v>135438.04999999999</v>
      </c>
      <c r="N451" s="89">
        <v>536.35000000000036</v>
      </c>
      <c r="O451" s="84"/>
      <c r="P451" s="83">
        <f t="shared" si="157"/>
        <v>9799819.2099999841</v>
      </c>
      <c r="Q451" s="89">
        <v>9663844.8099999838</v>
      </c>
      <c r="R451" s="89">
        <v>135438.04999999999</v>
      </c>
      <c r="S451" s="89">
        <v>536.35000000000036</v>
      </c>
    </row>
    <row r="452" spans="1:19" ht="12.75" hidden="1" customHeight="1" x14ac:dyDescent="0.25">
      <c r="B452" s="68"/>
      <c r="C452" s="68"/>
      <c r="D452" s="58"/>
      <c r="E452" s="69" t="s">
        <v>358</v>
      </c>
      <c r="F452" s="83">
        <f t="shared" si="155"/>
        <v>0</v>
      </c>
      <c r="G452" s="85"/>
      <c r="H452" s="89"/>
      <c r="I452" s="89"/>
      <c r="K452" s="83">
        <f t="shared" si="156"/>
        <v>0</v>
      </c>
      <c r="L452" s="85"/>
      <c r="M452" s="89"/>
      <c r="N452" s="89"/>
      <c r="O452" s="84"/>
      <c r="P452" s="83">
        <f t="shared" si="157"/>
        <v>0</v>
      </c>
      <c r="Q452" s="85"/>
      <c r="R452" s="89"/>
      <c r="S452" s="89"/>
    </row>
    <row r="453" spans="1:19" ht="12.75" hidden="1" customHeight="1" x14ac:dyDescent="0.25">
      <c r="B453" s="68"/>
      <c r="C453" s="68"/>
      <c r="D453" s="58"/>
      <c r="E453" s="69" t="s">
        <v>359</v>
      </c>
      <c r="F453" s="83">
        <f t="shared" si="155"/>
        <v>0</v>
      </c>
      <c r="G453" s="89"/>
      <c r="H453" s="89"/>
      <c r="I453" s="89"/>
      <c r="K453" s="83">
        <f t="shared" si="156"/>
        <v>0</v>
      </c>
      <c r="L453" s="89"/>
      <c r="M453" s="89"/>
      <c r="N453" s="89"/>
      <c r="O453" s="84"/>
      <c r="P453" s="83">
        <f t="shared" si="157"/>
        <v>0</v>
      </c>
      <c r="Q453" s="89"/>
      <c r="R453" s="89"/>
      <c r="S453" s="89"/>
    </row>
    <row r="454" spans="1:19" ht="12.75" hidden="1" customHeight="1" x14ac:dyDescent="0.25">
      <c r="B454" s="68"/>
      <c r="C454" s="68"/>
      <c r="D454" s="58"/>
      <c r="E454" s="69" t="s">
        <v>360</v>
      </c>
      <c r="F454" s="83">
        <f t="shared" si="155"/>
        <v>0</v>
      </c>
      <c r="G454" s="89"/>
      <c r="H454" s="89"/>
      <c r="I454" s="89"/>
      <c r="K454" s="83">
        <f t="shared" si="156"/>
        <v>0</v>
      </c>
      <c r="L454" s="89"/>
      <c r="M454" s="89"/>
      <c r="N454" s="89"/>
      <c r="O454" s="84"/>
      <c r="P454" s="83">
        <f t="shared" si="157"/>
        <v>0</v>
      </c>
      <c r="Q454" s="89"/>
      <c r="R454" s="89"/>
      <c r="S454" s="89"/>
    </row>
    <row r="455" spans="1:19" ht="12.75" hidden="1" customHeight="1" x14ac:dyDescent="0.25">
      <c r="B455" s="68"/>
      <c r="C455" s="68"/>
      <c r="D455" s="58"/>
      <c r="E455" s="69" t="s">
        <v>361</v>
      </c>
      <c r="F455" s="83">
        <f t="shared" si="155"/>
        <v>0</v>
      </c>
      <c r="G455" s="89"/>
      <c r="H455" s="89"/>
      <c r="I455" s="89"/>
      <c r="K455" s="83">
        <f t="shared" si="156"/>
        <v>0</v>
      </c>
      <c r="L455" s="89"/>
      <c r="M455" s="89"/>
      <c r="N455" s="89"/>
      <c r="O455" s="84"/>
      <c r="P455" s="83">
        <f t="shared" si="157"/>
        <v>0</v>
      </c>
      <c r="Q455" s="89"/>
      <c r="R455" s="89"/>
      <c r="S455" s="89"/>
    </row>
    <row r="456" spans="1:19" ht="12.75" hidden="1" customHeight="1" x14ac:dyDescent="0.25">
      <c r="B456" s="68"/>
      <c r="C456" s="68"/>
      <c r="D456" s="58"/>
      <c r="E456" s="69" t="s">
        <v>362</v>
      </c>
      <c r="F456" s="83">
        <f t="shared" si="155"/>
        <v>0</v>
      </c>
      <c r="G456" s="89"/>
      <c r="H456" s="89"/>
      <c r="I456" s="89"/>
      <c r="K456" s="83">
        <f t="shared" si="156"/>
        <v>0</v>
      </c>
      <c r="L456" s="89"/>
      <c r="M456" s="89"/>
      <c r="N456" s="89"/>
      <c r="O456" s="84"/>
      <c r="P456" s="83">
        <f t="shared" si="157"/>
        <v>0</v>
      </c>
      <c r="Q456" s="89"/>
      <c r="R456" s="89"/>
      <c r="S456" s="89"/>
    </row>
    <row r="457" spans="1:19" ht="12.75" hidden="1" customHeight="1" x14ac:dyDescent="0.25">
      <c r="B457" s="68"/>
      <c r="C457" s="68"/>
      <c r="D457" s="58"/>
      <c r="E457" s="69" t="s">
        <v>363</v>
      </c>
      <c r="F457" s="83">
        <f t="shared" si="155"/>
        <v>0</v>
      </c>
      <c r="G457" s="89"/>
      <c r="H457" s="89"/>
      <c r="I457" s="89"/>
      <c r="K457" s="83">
        <f t="shared" si="156"/>
        <v>0</v>
      </c>
      <c r="L457" s="89"/>
      <c r="M457" s="89"/>
      <c r="N457" s="89"/>
      <c r="O457" s="84"/>
      <c r="P457" s="83">
        <f t="shared" si="157"/>
        <v>0</v>
      </c>
      <c r="Q457" s="89"/>
      <c r="R457" s="89"/>
      <c r="S457" s="89"/>
    </row>
    <row r="458" spans="1:19" ht="12.75" hidden="1" customHeight="1" x14ac:dyDescent="0.25">
      <c r="B458" s="68"/>
      <c r="C458" s="68"/>
      <c r="D458" s="58"/>
      <c r="E458" s="69" t="s">
        <v>364</v>
      </c>
      <c r="F458" s="83">
        <f t="shared" si="155"/>
        <v>0</v>
      </c>
      <c r="G458" s="89"/>
      <c r="H458" s="89"/>
      <c r="I458" s="89"/>
      <c r="K458" s="83">
        <f t="shared" si="156"/>
        <v>0</v>
      </c>
      <c r="L458" s="89"/>
      <c r="M458" s="89"/>
      <c r="N458" s="89"/>
      <c r="O458" s="84"/>
      <c r="P458" s="83">
        <f t="shared" si="157"/>
        <v>0</v>
      </c>
      <c r="Q458" s="89"/>
      <c r="R458" s="89"/>
      <c r="S458" s="89"/>
    </row>
    <row r="459" spans="1:19" ht="12.75" hidden="1" customHeight="1" x14ac:dyDescent="0.25">
      <c r="B459" s="68"/>
      <c r="C459" s="68"/>
      <c r="D459" s="58"/>
      <c r="E459" s="69" t="s">
        <v>365</v>
      </c>
      <c r="F459" s="83">
        <f t="shared" si="155"/>
        <v>0</v>
      </c>
      <c r="G459" s="89"/>
      <c r="H459" s="89"/>
      <c r="I459" s="89"/>
      <c r="K459" s="83">
        <f t="shared" si="156"/>
        <v>0</v>
      </c>
      <c r="L459" s="89"/>
      <c r="M459" s="89"/>
      <c r="N459" s="89"/>
      <c r="O459" s="84"/>
      <c r="P459" s="83">
        <f t="shared" si="157"/>
        <v>0</v>
      </c>
      <c r="Q459" s="89"/>
      <c r="R459" s="89"/>
      <c r="S459" s="89"/>
    </row>
    <row r="460" spans="1:19" ht="15.75" hidden="1" customHeight="1" x14ac:dyDescent="0.25">
      <c r="B460" s="68"/>
      <c r="C460" s="68"/>
      <c r="D460" s="58"/>
      <c r="E460" s="69" t="s">
        <v>366</v>
      </c>
      <c r="F460" s="83">
        <f t="shared" si="155"/>
        <v>0</v>
      </c>
      <c r="G460" s="82"/>
      <c r="H460" s="82"/>
      <c r="I460" s="82"/>
      <c r="K460" s="83">
        <f t="shared" si="156"/>
        <v>0</v>
      </c>
      <c r="L460" s="82"/>
      <c r="M460" s="82"/>
      <c r="N460" s="82"/>
      <c r="O460" s="84"/>
      <c r="P460" s="83">
        <f t="shared" si="157"/>
        <v>0</v>
      </c>
      <c r="Q460" s="82"/>
      <c r="R460" s="82"/>
      <c r="S460" s="82"/>
    </row>
    <row r="461" spans="1:19" ht="12.75" customHeight="1" x14ac:dyDescent="0.25">
      <c r="B461" s="68"/>
      <c r="C461" s="68"/>
      <c r="D461" s="58"/>
      <c r="E461" s="78" t="s">
        <v>367</v>
      </c>
      <c r="F461" s="90">
        <f t="shared" ref="F461:I461" si="158">SUM(F450:F460)</f>
        <v>96792077.730000004</v>
      </c>
      <c r="G461" s="90">
        <f t="shared" si="158"/>
        <v>84733661.310000002</v>
      </c>
      <c r="H461" s="90">
        <f t="shared" si="158"/>
        <v>6201155.6099999985</v>
      </c>
      <c r="I461" s="90">
        <f t="shared" si="158"/>
        <v>5857260.8099999987</v>
      </c>
      <c r="J461" s="78"/>
      <c r="K461" s="90">
        <f t="shared" ref="K461:N461" si="159">SUM(K450:K460)</f>
        <v>96546943.850000009</v>
      </c>
      <c r="L461" s="90">
        <f t="shared" si="159"/>
        <v>79299488.060000002</v>
      </c>
      <c r="M461" s="90">
        <f t="shared" si="159"/>
        <v>7513195.6899999995</v>
      </c>
      <c r="N461" s="90">
        <f t="shared" si="159"/>
        <v>9734260.0999999996</v>
      </c>
      <c r="O461" s="84"/>
      <c r="P461" s="90">
        <f t="shared" ref="P461:S461" si="160">SUM(P450:P460)</f>
        <v>46928947.199999981</v>
      </c>
      <c r="Q461" s="90">
        <f t="shared" si="160"/>
        <v>44087011.699999973</v>
      </c>
      <c r="R461" s="90">
        <f t="shared" si="160"/>
        <v>2841399.1499999994</v>
      </c>
      <c r="S461" s="90">
        <f t="shared" si="160"/>
        <v>536.35000000000036</v>
      </c>
    </row>
    <row r="462" spans="1:19" ht="12.75" customHeight="1" x14ac:dyDescent="0.25">
      <c r="B462" s="68"/>
      <c r="C462" s="58"/>
      <c r="D462" s="67" t="s">
        <v>368</v>
      </c>
      <c r="F462" s="83"/>
      <c r="G462" s="83"/>
      <c r="H462" s="83"/>
      <c r="I462" s="83"/>
      <c r="K462" s="83"/>
      <c r="L462" s="83"/>
      <c r="M462" s="83"/>
      <c r="N462" s="83"/>
      <c r="O462" s="84"/>
      <c r="P462" s="83"/>
      <c r="Q462" s="83"/>
      <c r="R462" s="83"/>
      <c r="S462" s="83"/>
    </row>
    <row r="463" spans="1:19" ht="12.75" hidden="1" customHeight="1" x14ac:dyDescent="0.25">
      <c r="B463" s="68"/>
      <c r="C463" s="58"/>
      <c r="D463" s="68"/>
      <c r="E463" s="69" t="s">
        <v>369</v>
      </c>
      <c r="F463" s="83">
        <f>G463+H463+I463</f>
        <v>0</v>
      </c>
      <c r="G463" s="82"/>
      <c r="H463" s="82"/>
      <c r="I463" s="82"/>
      <c r="K463" s="83">
        <f t="shared" ref="K463:K467" si="161">L463+M463+N463</f>
        <v>0</v>
      </c>
      <c r="L463" s="82"/>
      <c r="M463" s="82"/>
      <c r="N463" s="82"/>
      <c r="O463" s="84"/>
      <c r="P463" s="83">
        <f t="shared" ref="P463:P467" si="162">Q463+R463+S463</f>
        <v>0</v>
      </c>
      <c r="Q463" s="82"/>
      <c r="R463" s="82"/>
      <c r="S463" s="82"/>
    </row>
    <row r="464" spans="1:19" ht="12.75" hidden="1" customHeight="1" x14ac:dyDescent="0.25">
      <c r="B464" s="68"/>
      <c r="C464" s="58"/>
      <c r="D464" s="68"/>
      <c r="E464" s="69" t="s">
        <v>370</v>
      </c>
      <c r="F464" s="83">
        <f>G464+H464+I464</f>
        <v>0</v>
      </c>
      <c r="G464" s="82"/>
      <c r="H464" s="82"/>
      <c r="I464" s="82"/>
      <c r="K464" s="83">
        <f t="shared" si="161"/>
        <v>0</v>
      </c>
      <c r="L464" s="82"/>
      <c r="M464" s="82"/>
      <c r="N464" s="82"/>
      <c r="O464" s="84"/>
      <c r="P464" s="83">
        <f t="shared" si="162"/>
        <v>0</v>
      </c>
      <c r="Q464" s="82"/>
      <c r="R464" s="82"/>
      <c r="S464" s="82"/>
    </row>
    <row r="465" spans="1:19" ht="12.75" hidden="1" customHeight="1" x14ac:dyDescent="0.25">
      <c r="B465" s="68"/>
      <c r="C465" s="58"/>
      <c r="D465" s="68"/>
      <c r="E465" s="69" t="s">
        <v>371</v>
      </c>
      <c r="F465" s="83">
        <f>G465+H465+I465</f>
        <v>0</v>
      </c>
      <c r="G465" s="82"/>
      <c r="H465" s="82"/>
      <c r="I465" s="82"/>
      <c r="K465" s="83">
        <f t="shared" si="161"/>
        <v>0</v>
      </c>
      <c r="L465" s="82"/>
      <c r="M465" s="82"/>
      <c r="N465" s="82"/>
      <c r="O465" s="84"/>
      <c r="P465" s="83">
        <f t="shared" si="162"/>
        <v>0</v>
      </c>
      <c r="Q465" s="82"/>
      <c r="R465" s="82"/>
      <c r="S465" s="82"/>
    </row>
    <row r="466" spans="1:19" ht="12.75" customHeight="1" x14ac:dyDescent="0.25">
      <c r="A466" s="58"/>
      <c r="B466" s="68"/>
      <c r="C466" s="58"/>
      <c r="D466" s="68"/>
      <c r="E466" s="69" t="s">
        <v>372</v>
      </c>
      <c r="F466" s="83">
        <f>G466+H466+I466</f>
        <v>31193321.510000002</v>
      </c>
      <c r="G466" s="82">
        <v>31193321.510000002</v>
      </c>
      <c r="H466" s="82">
        <v>0</v>
      </c>
      <c r="I466" s="82">
        <v>0</v>
      </c>
      <c r="K466" s="83">
        <f t="shared" si="161"/>
        <v>82403706.839999989</v>
      </c>
      <c r="L466" s="89">
        <v>82403706.839999989</v>
      </c>
      <c r="M466" s="82">
        <v>0</v>
      </c>
      <c r="N466" s="82">
        <v>0</v>
      </c>
      <c r="O466" s="84"/>
      <c r="P466" s="83">
        <f t="shared" si="162"/>
        <v>34808698.390000023</v>
      </c>
      <c r="Q466" s="89">
        <v>34268262.340000018</v>
      </c>
      <c r="R466" s="82">
        <v>540436.05000000156</v>
      </c>
      <c r="S466" s="82"/>
    </row>
    <row r="467" spans="1:19" ht="12.75" hidden="1" customHeight="1" x14ac:dyDescent="0.25">
      <c r="A467" s="58"/>
      <c r="B467" s="68"/>
      <c r="C467" s="58"/>
      <c r="D467" s="68"/>
      <c r="E467" s="69" t="s">
        <v>373</v>
      </c>
      <c r="F467" s="83">
        <f>G467+H467+I467</f>
        <v>0</v>
      </c>
      <c r="G467" s="82"/>
      <c r="H467" s="82"/>
      <c r="I467" s="82"/>
      <c r="K467" s="83">
        <f t="shared" si="161"/>
        <v>0</v>
      </c>
      <c r="L467" s="82"/>
      <c r="M467" s="82"/>
      <c r="N467" s="82"/>
      <c r="O467" s="84"/>
      <c r="P467" s="83">
        <f t="shared" si="162"/>
        <v>0</v>
      </c>
      <c r="Q467" s="82"/>
      <c r="R467" s="82"/>
      <c r="S467" s="82"/>
    </row>
    <row r="468" spans="1:19" ht="12.75" customHeight="1" x14ac:dyDescent="0.25">
      <c r="A468" s="58"/>
      <c r="B468" s="68"/>
      <c r="C468" s="58"/>
      <c r="D468" s="68"/>
      <c r="E468" s="78" t="s">
        <v>374</v>
      </c>
      <c r="F468" s="90">
        <f t="shared" ref="F468:I468" si="163">SUM(F463:F467)</f>
        <v>31193321.510000002</v>
      </c>
      <c r="G468" s="90">
        <f t="shared" si="163"/>
        <v>31193321.510000002</v>
      </c>
      <c r="H468" s="90">
        <f t="shared" si="163"/>
        <v>0</v>
      </c>
      <c r="I468" s="90">
        <f t="shared" si="163"/>
        <v>0</v>
      </c>
      <c r="J468" s="78"/>
      <c r="K468" s="90">
        <f t="shared" ref="K468:N468" si="164">SUM(K463:K467)</f>
        <v>82403706.839999989</v>
      </c>
      <c r="L468" s="90">
        <f t="shared" si="164"/>
        <v>82403706.839999989</v>
      </c>
      <c r="M468" s="90">
        <f t="shared" si="164"/>
        <v>0</v>
      </c>
      <c r="N468" s="90">
        <f t="shared" si="164"/>
        <v>0</v>
      </c>
      <c r="O468" s="84"/>
      <c r="P468" s="90">
        <f t="shared" ref="P468:S468" si="165">SUM(P463:P467)</f>
        <v>34808698.390000023</v>
      </c>
      <c r="Q468" s="90">
        <f t="shared" si="165"/>
        <v>34268262.340000018</v>
      </c>
      <c r="R468" s="90">
        <f t="shared" si="165"/>
        <v>540436.05000000156</v>
      </c>
      <c r="S468" s="90">
        <f t="shared" si="165"/>
        <v>0</v>
      </c>
    </row>
    <row r="469" spans="1:19" ht="12.75" customHeight="1" x14ac:dyDescent="0.25">
      <c r="A469" s="58"/>
      <c r="B469" s="68"/>
      <c r="C469" s="58"/>
      <c r="D469" s="77" t="s">
        <v>375</v>
      </c>
      <c r="E469" s="79"/>
      <c r="F469" s="90">
        <f>+F461+F468</f>
        <v>127985399.24000001</v>
      </c>
      <c r="G469" s="90">
        <f t="shared" ref="G469:I469" si="166">+G461+G468</f>
        <v>115926982.82000001</v>
      </c>
      <c r="H469" s="90">
        <f t="shared" si="166"/>
        <v>6201155.6099999985</v>
      </c>
      <c r="I469" s="90">
        <f t="shared" si="166"/>
        <v>5857260.8099999987</v>
      </c>
      <c r="J469" s="79"/>
      <c r="K469" s="90">
        <f>+K461+K468</f>
        <v>178950650.69</v>
      </c>
      <c r="L469" s="90">
        <f t="shared" ref="L469:N469" si="167">+L461+L468</f>
        <v>161703194.89999998</v>
      </c>
      <c r="M469" s="90">
        <f t="shared" si="167"/>
        <v>7513195.6899999995</v>
      </c>
      <c r="N469" s="90">
        <f t="shared" si="167"/>
        <v>9734260.0999999996</v>
      </c>
      <c r="O469" s="84"/>
      <c r="P469" s="90">
        <f t="shared" ref="P469:S469" si="168">+P461+P468</f>
        <v>81737645.590000004</v>
      </c>
      <c r="Q469" s="90">
        <f t="shared" si="168"/>
        <v>78355274.039999992</v>
      </c>
      <c r="R469" s="90">
        <f t="shared" si="168"/>
        <v>3381835.2000000011</v>
      </c>
      <c r="S469" s="90">
        <f t="shared" si="168"/>
        <v>536.35000000000036</v>
      </c>
    </row>
    <row r="470" spans="1:19" ht="12.75" customHeight="1" x14ac:dyDescent="0.25">
      <c r="B470" s="68"/>
      <c r="C470" s="67" t="s">
        <v>376</v>
      </c>
      <c r="D470" s="68"/>
      <c r="F470" s="83"/>
      <c r="G470" s="83"/>
      <c r="H470" s="83"/>
      <c r="I470" s="83"/>
      <c r="K470" s="83"/>
      <c r="L470" s="83"/>
      <c r="M470" s="83"/>
      <c r="N470" s="83"/>
      <c r="O470" s="84"/>
      <c r="P470" s="83"/>
      <c r="Q470" s="83"/>
      <c r="R470" s="83"/>
      <c r="S470" s="83"/>
    </row>
    <row r="471" spans="1:19" ht="12.75" customHeight="1" x14ac:dyDescent="0.25">
      <c r="B471" s="68"/>
      <c r="C471" s="68"/>
      <c r="D471" s="68" t="s">
        <v>377</v>
      </c>
      <c r="F471" s="83">
        <f t="shared" ref="F471:F478" si="169">G471+H471+I471</f>
        <v>10475358.062999995</v>
      </c>
      <c r="G471" s="82">
        <v>9851653.4429999962</v>
      </c>
      <c r="H471" s="82">
        <v>423864.18000000028</v>
      </c>
      <c r="I471" s="82">
        <v>199840.43999999977</v>
      </c>
      <c r="K471" s="83">
        <f t="shared" ref="K471:K478" si="170">L471+M471+N471</f>
        <v>8664513.2229999974</v>
      </c>
      <c r="L471" s="82">
        <v>7867491.8929999983</v>
      </c>
      <c r="M471" s="82">
        <v>414564.9700000002</v>
      </c>
      <c r="N471" s="82">
        <v>382456.35999999987</v>
      </c>
      <c r="O471" s="84"/>
      <c r="P471" s="83">
        <f t="shared" ref="P471:P478" si="171">Q471+R471+S471</f>
        <v>8627696.8999999985</v>
      </c>
      <c r="Q471" s="82">
        <v>7706249.4599999981</v>
      </c>
      <c r="R471" s="82">
        <v>538465.60000000021</v>
      </c>
      <c r="S471" s="82">
        <v>382981.83999999997</v>
      </c>
    </row>
    <row r="472" spans="1:19" ht="12.75" customHeight="1" x14ac:dyDescent="0.25">
      <c r="B472" s="68"/>
      <c r="C472" s="68"/>
      <c r="D472" s="68" t="s">
        <v>378</v>
      </c>
      <c r="F472" s="83">
        <f t="shared" si="169"/>
        <v>14447088.949999994</v>
      </c>
      <c r="G472" s="82">
        <v>14404095.259999994</v>
      </c>
      <c r="H472" s="82">
        <v>41011.49</v>
      </c>
      <c r="I472" s="82">
        <v>1982.2</v>
      </c>
      <c r="K472" s="83">
        <f t="shared" si="170"/>
        <v>9473640.6199999936</v>
      </c>
      <c r="L472" s="82">
        <v>9430646.9299999941</v>
      </c>
      <c r="M472" s="82">
        <v>41011.49</v>
      </c>
      <c r="N472" s="82">
        <v>1982.2</v>
      </c>
      <c r="O472" s="84"/>
      <c r="P472" s="83">
        <f t="shared" si="171"/>
        <v>8697500.2800000012</v>
      </c>
      <c r="Q472" s="82">
        <v>8654506.5900000017</v>
      </c>
      <c r="R472" s="82">
        <v>41011.49</v>
      </c>
      <c r="S472" s="82">
        <v>1982.2</v>
      </c>
    </row>
    <row r="473" spans="1:19" ht="12.75" customHeight="1" x14ac:dyDescent="0.25">
      <c r="B473" s="68"/>
      <c r="C473" s="68"/>
      <c r="D473" s="68" t="s">
        <v>379</v>
      </c>
      <c r="F473" s="83">
        <f t="shared" si="169"/>
        <v>1541750.0399999982</v>
      </c>
      <c r="G473" s="82">
        <v>1487211.6599999983</v>
      </c>
      <c r="H473" s="82">
        <v>45105.880000000005</v>
      </c>
      <c r="I473" s="82">
        <v>9432.5</v>
      </c>
      <c r="K473" s="83">
        <f t="shared" si="170"/>
        <v>3565472.9499999993</v>
      </c>
      <c r="L473" s="82">
        <v>3530897.2899999991</v>
      </c>
      <c r="M473" s="82">
        <v>33543.160000000003</v>
      </c>
      <c r="N473" s="82">
        <v>1032.5</v>
      </c>
      <c r="O473" s="84"/>
      <c r="P473" s="83">
        <f t="shared" si="171"/>
        <v>3469509.3099999991</v>
      </c>
      <c r="Q473" s="82">
        <v>3440429.709999999</v>
      </c>
      <c r="R473" s="82">
        <v>28047.100000000002</v>
      </c>
      <c r="S473" s="82">
        <v>1032.5</v>
      </c>
    </row>
    <row r="474" spans="1:19" ht="12.75" customHeight="1" x14ac:dyDescent="0.25">
      <c r="A474" s="58"/>
      <c r="B474" s="68"/>
      <c r="C474" s="68"/>
      <c r="D474" s="68" t="s">
        <v>380</v>
      </c>
      <c r="F474" s="83">
        <f t="shared" si="169"/>
        <v>877630.0700000003</v>
      </c>
      <c r="G474" s="82">
        <v>868792.0700000003</v>
      </c>
      <c r="H474" s="82">
        <v>8838</v>
      </c>
      <c r="I474" s="82">
        <v>0</v>
      </c>
      <c r="K474" s="83">
        <f t="shared" si="170"/>
        <v>860821.10000000079</v>
      </c>
      <c r="L474" s="82">
        <v>851983.10000000079</v>
      </c>
      <c r="M474" s="82">
        <v>8838</v>
      </c>
      <c r="N474" s="82">
        <v>0</v>
      </c>
      <c r="O474" s="84"/>
      <c r="P474" s="83">
        <f t="shared" si="171"/>
        <v>770455.96000000008</v>
      </c>
      <c r="Q474" s="82">
        <v>761617.96000000008</v>
      </c>
      <c r="R474" s="82">
        <v>8838</v>
      </c>
      <c r="S474" s="82">
        <v>0</v>
      </c>
    </row>
    <row r="475" spans="1:19" ht="12.75" customHeight="1" x14ac:dyDescent="0.25">
      <c r="A475" s="58"/>
      <c r="B475" s="68"/>
      <c r="C475" s="68"/>
      <c r="D475" s="68" t="s">
        <v>381</v>
      </c>
      <c r="F475" s="83">
        <f t="shared" si="169"/>
        <v>437666462.07999992</v>
      </c>
      <c r="G475" s="82">
        <v>2412663.4</v>
      </c>
      <c r="H475" s="82">
        <v>0</v>
      </c>
      <c r="I475" s="82">
        <v>435253798.67999995</v>
      </c>
      <c r="K475" s="83">
        <f t="shared" si="170"/>
        <v>111674526.43999992</v>
      </c>
      <c r="L475" s="82">
        <v>1532255.0499999998</v>
      </c>
      <c r="M475" s="82">
        <v>0</v>
      </c>
      <c r="N475" s="82">
        <v>110142271.38999993</v>
      </c>
      <c r="O475" s="84"/>
      <c r="P475" s="83">
        <f t="shared" si="171"/>
        <v>38496841.749999955</v>
      </c>
      <c r="Q475" s="82">
        <v>1028253.3699999999</v>
      </c>
      <c r="R475" s="82"/>
      <c r="S475" s="82">
        <v>37468588.379999958</v>
      </c>
    </row>
    <row r="476" spans="1:19" ht="12.75" customHeight="1" x14ac:dyDescent="0.25">
      <c r="A476" s="58"/>
      <c r="B476" s="68"/>
      <c r="C476" s="67"/>
      <c r="D476" s="68" t="s">
        <v>382</v>
      </c>
      <c r="F476" s="83">
        <f t="shared" si="169"/>
        <v>9914499.5</v>
      </c>
      <c r="G476" s="82">
        <v>15002.42</v>
      </c>
      <c r="H476" s="82">
        <v>0</v>
      </c>
      <c r="I476" s="82">
        <v>9899497.0800000001</v>
      </c>
      <c r="K476" s="83">
        <f t="shared" si="170"/>
        <v>10470644.470000001</v>
      </c>
      <c r="L476" s="82">
        <v>571147.39</v>
      </c>
      <c r="M476" s="82">
        <v>0</v>
      </c>
      <c r="N476" s="82">
        <v>9899497.0800000001</v>
      </c>
      <c r="O476" s="84"/>
      <c r="P476" s="83">
        <f t="shared" si="171"/>
        <v>8309818.6600000001</v>
      </c>
      <c r="Q476" s="82">
        <v>15002.42</v>
      </c>
      <c r="R476" s="82"/>
      <c r="S476" s="82">
        <v>8294816.2400000002</v>
      </c>
    </row>
    <row r="477" spans="1:19" ht="12.75" customHeight="1" x14ac:dyDescent="0.25">
      <c r="A477" s="58"/>
      <c r="B477" s="68"/>
      <c r="C477" s="68"/>
      <c r="D477" s="68" t="s">
        <v>383</v>
      </c>
      <c r="F477" s="83">
        <f t="shared" si="169"/>
        <v>14832511.990000002</v>
      </c>
      <c r="G477" s="82">
        <v>6471800.9100000029</v>
      </c>
      <c r="H477" s="82">
        <v>0</v>
      </c>
      <c r="I477" s="82">
        <v>8360711.0799999982</v>
      </c>
      <c r="K477" s="83">
        <f t="shared" si="170"/>
        <v>23586401.18</v>
      </c>
      <c r="L477" s="82">
        <v>14533792.800000003</v>
      </c>
      <c r="M477" s="82">
        <v>0</v>
      </c>
      <c r="N477" s="82">
        <v>9052608.379999999</v>
      </c>
      <c r="O477" s="84"/>
      <c r="P477" s="83">
        <f t="shared" si="171"/>
        <v>20635355.690000001</v>
      </c>
      <c r="Q477" s="82">
        <v>10730754.400000002</v>
      </c>
      <c r="R477" s="82"/>
      <c r="S477" s="82">
        <v>9904601.2899999991</v>
      </c>
    </row>
    <row r="478" spans="1:19" ht="12.75" hidden="1" customHeight="1" x14ac:dyDescent="0.25">
      <c r="A478" s="58"/>
      <c r="B478" s="68"/>
      <c r="C478" s="68"/>
      <c r="D478" s="68" t="s">
        <v>384</v>
      </c>
      <c r="F478" s="83">
        <f t="shared" si="169"/>
        <v>0</v>
      </c>
      <c r="G478" s="82"/>
      <c r="H478" s="82"/>
      <c r="I478" s="82"/>
      <c r="K478" s="83">
        <f t="shared" si="170"/>
        <v>0</v>
      </c>
      <c r="L478" s="82"/>
      <c r="M478" s="82"/>
      <c r="N478" s="82"/>
      <c r="O478" s="84"/>
      <c r="P478" s="83">
        <f t="shared" si="171"/>
        <v>0</v>
      </c>
      <c r="Q478" s="82"/>
      <c r="R478" s="82"/>
      <c r="S478" s="82"/>
    </row>
    <row r="479" spans="1:19" ht="12.75" customHeight="1" x14ac:dyDescent="0.25">
      <c r="A479" s="58"/>
      <c r="B479" s="68"/>
      <c r="C479" s="68"/>
      <c r="D479" s="77" t="s">
        <v>385</v>
      </c>
      <c r="F479" s="90">
        <f t="shared" ref="F479:I479" si="172">SUM(F471:F478)</f>
        <v>489755300.6929999</v>
      </c>
      <c r="G479" s="90">
        <f t="shared" si="172"/>
        <v>35511219.162999995</v>
      </c>
      <c r="H479" s="90">
        <f t="shared" si="172"/>
        <v>518819.55000000028</v>
      </c>
      <c r="I479" s="90">
        <f t="shared" si="172"/>
        <v>453725261.9799999</v>
      </c>
      <c r="K479" s="90">
        <f t="shared" ref="K479:N479" si="173">SUM(K471:K478)</f>
        <v>168296019.98299992</v>
      </c>
      <c r="L479" s="90">
        <f t="shared" si="173"/>
        <v>38318214.452999994</v>
      </c>
      <c r="M479" s="90">
        <f t="shared" si="173"/>
        <v>497957.62000000023</v>
      </c>
      <c r="N479" s="90">
        <f t="shared" si="173"/>
        <v>129479847.90999992</v>
      </c>
      <c r="O479" s="84"/>
      <c r="P479" s="90">
        <f t="shared" ref="P479:S479" si="174">SUM(P471:P478)</f>
        <v>89007178.549999952</v>
      </c>
      <c r="Q479" s="90">
        <f t="shared" si="174"/>
        <v>32336813.910000004</v>
      </c>
      <c r="R479" s="90">
        <f t="shared" si="174"/>
        <v>616362.19000000018</v>
      </c>
      <c r="S479" s="90">
        <f t="shared" si="174"/>
        <v>56054002.449999958</v>
      </c>
    </row>
    <row r="480" spans="1:19" ht="12.75" customHeight="1" x14ac:dyDescent="0.25">
      <c r="A480" s="58"/>
      <c r="B480" s="68"/>
      <c r="C480" s="67" t="s">
        <v>386</v>
      </c>
      <c r="D480" s="68"/>
      <c r="F480" s="83"/>
      <c r="G480" s="83"/>
      <c r="H480" s="83"/>
      <c r="I480" s="83"/>
      <c r="K480" s="83"/>
      <c r="L480" s="83"/>
      <c r="M480" s="83"/>
      <c r="N480" s="83"/>
      <c r="O480" s="84"/>
      <c r="P480" s="83"/>
      <c r="Q480" s="83"/>
      <c r="R480" s="83"/>
      <c r="S480" s="83"/>
    </row>
    <row r="481" spans="1:19" ht="12.75" customHeight="1" x14ac:dyDescent="0.25">
      <c r="A481" s="58"/>
      <c r="B481" s="68"/>
      <c r="C481" s="68"/>
      <c r="D481" s="68" t="s">
        <v>387</v>
      </c>
      <c r="F481" s="83">
        <f>G481+H481+I481</f>
        <v>63414918.929999992</v>
      </c>
      <c r="G481" s="82">
        <v>36483496.920000002</v>
      </c>
      <c r="H481" s="82">
        <v>1746142.9499999997</v>
      </c>
      <c r="I481" s="82">
        <v>25185279.059999991</v>
      </c>
      <c r="K481" s="83">
        <f t="shared" ref="K481:K483" si="175">L481+M481+N481</f>
        <v>40415364.149999991</v>
      </c>
      <c r="L481" s="82">
        <v>11120227.739999998</v>
      </c>
      <c r="M481" s="82">
        <v>3375235.82</v>
      </c>
      <c r="N481" s="82">
        <v>25919900.589999996</v>
      </c>
      <c r="O481" s="84"/>
      <c r="P481" s="83">
        <f t="shared" ref="P481:P483" si="176">Q481+R481+S481</f>
        <v>37453728.509999983</v>
      </c>
      <c r="Q481" s="82">
        <v>6425097.3199999956</v>
      </c>
      <c r="R481" s="82">
        <v>3258700.0100000002</v>
      </c>
      <c r="S481" s="82">
        <v>27769931.179999989</v>
      </c>
    </row>
    <row r="482" spans="1:19" ht="12.75" customHeight="1" x14ac:dyDescent="0.25">
      <c r="A482" s="58"/>
      <c r="B482" s="68"/>
      <c r="C482" s="68"/>
      <c r="D482" s="68" t="s">
        <v>388</v>
      </c>
      <c r="F482" s="83">
        <f>G482+H482+I482</f>
        <v>17242686.439999998</v>
      </c>
      <c r="G482" s="82">
        <v>17217577.459999997</v>
      </c>
      <c r="H482" s="82">
        <v>0</v>
      </c>
      <c r="I482" s="82">
        <v>25108.979999999996</v>
      </c>
      <c r="K482" s="83">
        <f t="shared" si="175"/>
        <v>16469498.779999994</v>
      </c>
      <c r="L482" s="89">
        <v>16469498.779999994</v>
      </c>
      <c r="M482" s="82">
        <v>0</v>
      </c>
      <c r="N482" s="82">
        <v>0</v>
      </c>
      <c r="O482" s="84"/>
      <c r="P482" s="83">
        <f t="shared" si="176"/>
        <v>32830603.660000004</v>
      </c>
      <c r="Q482" s="89">
        <v>32830603.660000004</v>
      </c>
      <c r="R482" s="82">
        <v>0</v>
      </c>
      <c r="S482" s="82">
        <v>0</v>
      </c>
    </row>
    <row r="483" spans="1:19" ht="12.75" customHeight="1" x14ac:dyDescent="0.25">
      <c r="A483" s="58"/>
      <c r="B483" s="68"/>
      <c r="C483" s="68"/>
      <c r="D483" s="68" t="s">
        <v>389</v>
      </c>
      <c r="F483" s="83">
        <f>G483+H483+I483</f>
        <v>258743.14999999967</v>
      </c>
      <c r="G483" s="82">
        <v>258743.14999999967</v>
      </c>
      <c r="H483" s="82">
        <v>0</v>
      </c>
      <c r="I483" s="82">
        <v>0</v>
      </c>
      <c r="K483" s="83">
        <f t="shared" si="175"/>
        <v>6279113.5099999998</v>
      </c>
      <c r="L483" s="82">
        <v>6279113.5099999998</v>
      </c>
      <c r="M483" s="82">
        <v>0</v>
      </c>
      <c r="N483" s="82">
        <v>0</v>
      </c>
      <c r="O483" s="84"/>
      <c r="P483" s="83">
        <f t="shared" si="176"/>
        <v>14371562.68</v>
      </c>
      <c r="Q483" s="82">
        <v>14371562.68</v>
      </c>
      <c r="R483" s="82">
        <v>0</v>
      </c>
      <c r="S483" s="82">
        <v>0</v>
      </c>
    </row>
    <row r="484" spans="1:19" ht="12.75" customHeight="1" x14ac:dyDescent="0.25">
      <c r="A484" s="58"/>
      <c r="B484" s="68"/>
      <c r="C484" s="68"/>
      <c r="D484" s="77" t="s">
        <v>390</v>
      </c>
      <c r="F484" s="90">
        <f t="shared" ref="F484:I484" si="177">SUM(F481:F483)</f>
        <v>80916348.519999996</v>
      </c>
      <c r="G484" s="90">
        <f t="shared" si="177"/>
        <v>53959817.529999994</v>
      </c>
      <c r="H484" s="90">
        <f t="shared" si="177"/>
        <v>1746142.9499999997</v>
      </c>
      <c r="I484" s="90">
        <f t="shared" si="177"/>
        <v>25210388.039999992</v>
      </c>
      <c r="K484" s="90">
        <f t="shared" ref="K484:N484" si="178">SUM(K481:K483)</f>
        <v>63163976.439999983</v>
      </c>
      <c r="L484" s="90">
        <f t="shared" si="178"/>
        <v>33868840.029999994</v>
      </c>
      <c r="M484" s="90">
        <f t="shared" si="178"/>
        <v>3375235.82</v>
      </c>
      <c r="N484" s="90">
        <f t="shared" si="178"/>
        <v>25919900.589999996</v>
      </c>
      <c r="O484" s="84"/>
      <c r="P484" s="90">
        <f t="shared" ref="P484:S484" si="179">SUM(P481:P483)</f>
        <v>84655894.849999994</v>
      </c>
      <c r="Q484" s="90">
        <f t="shared" si="179"/>
        <v>53627263.659999996</v>
      </c>
      <c r="R484" s="90">
        <f t="shared" si="179"/>
        <v>3258700.0100000002</v>
      </c>
      <c r="S484" s="90">
        <f t="shared" si="179"/>
        <v>27769931.179999989</v>
      </c>
    </row>
    <row r="485" spans="1:19" ht="12.75" customHeight="1" x14ac:dyDescent="0.25">
      <c r="A485" s="58"/>
      <c r="B485" s="68"/>
      <c r="C485" s="67" t="s">
        <v>391</v>
      </c>
      <c r="D485" s="68"/>
      <c r="F485" s="83"/>
      <c r="G485" s="83"/>
      <c r="H485" s="83"/>
      <c r="I485" s="83"/>
      <c r="K485" s="83"/>
      <c r="L485" s="83"/>
      <c r="M485" s="83"/>
      <c r="N485" s="83"/>
      <c r="O485" s="84"/>
      <c r="P485" s="83"/>
      <c r="Q485" s="83"/>
      <c r="R485" s="83"/>
      <c r="S485" s="83"/>
    </row>
    <row r="486" spans="1:19" ht="12.75" customHeight="1" x14ac:dyDescent="0.25">
      <c r="A486" s="58"/>
      <c r="B486" s="68"/>
      <c r="C486" s="68"/>
      <c r="D486" s="68" t="s">
        <v>391</v>
      </c>
      <c r="F486" s="83">
        <f>G486+H486+I486</f>
        <v>4402309.16</v>
      </c>
      <c r="G486" s="82">
        <v>2364984.42</v>
      </c>
      <c r="H486" s="82">
        <v>0</v>
      </c>
      <c r="I486" s="82">
        <v>2037324.7400000002</v>
      </c>
      <c r="K486" s="83">
        <f t="shared" ref="K486:K490" si="180">L486+M486+N486</f>
        <v>3837711.16</v>
      </c>
      <c r="L486" s="89">
        <v>1851484.42</v>
      </c>
      <c r="M486" s="82">
        <v>0</v>
      </c>
      <c r="N486" s="82">
        <v>1986226.7400000002</v>
      </c>
      <c r="O486" s="84"/>
      <c r="P486" s="83">
        <f t="shared" ref="P486:P490" si="181">Q486+R486+S486</f>
        <v>3206846.74</v>
      </c>
      <c r="Q486" s="89">
        <v>1220620</v>
      </c>
      <c r="R486" s="82">
        <v>0</v>
      </c>
      <c r="S486" s="82">
        <v>1986226.7400000002</v>
      </c>
    </row>
    <row r="487" spans="1:19" ht="12.75" customHeight="1" x14ac:dyDescent="0.25">
      <c r="A487" s="58"/>
      <c r="B487" s="68"/>
      <c r="C487" s="68"/>
      <c r="D487" s="68" t="s">
        <v>392</v>
      </c>
      <c r="F487" s="83">
        <f>G487+H487+I487</f>
        <v>64060077.390000001</v>
      </c>
      <c r="G487" s="82">
        <v>0</v>
      </c>
      <c r="H487" s="82">
        <v>0</v>
      </c>
      <c r="I487" s="82">
        <v>64060077.390000001</v>
      </c>
      <c r="K487" s="83">
        <f t="shared" si="180"/>
        <v>72226713.140000001</v>
      </c>
      <c r="L487" s="82">
        <v>0</v>
      </c>
      <c r="M487" s="82">
        <v>0</v>
      </c>
      <c r="N487" s="82">
        <v>72226713.140000001</v>
      </c>
      <c r="O487" s="84"/>
      <c r="P487" s="83">
        <f t="shared" si="181"/>
        <v>64317449.090000018</v>
      </c>
      <c r="Q487" s="82">
        <v>0</v>
      </c>
      <c r="R487" s="82">
        <v>0</v>
      </c>
      <c r="S487" s="82">
        <v>64317449.090000018</v>
      </c>
    </row>
    <row r="488" spans="1:19" hidden="1" x14ac:dyDescent="0.25">
      <c r="A488" s="58"/>
      <c r="B488" s="68"/>
      <c r="C488" s="68"/>
      <c r="D488" s="68" t="s">
        <v>393</v>
      </c>
      <c r="F488" s="83">
        <f>G488+H488+I488</f>
        <v>0</v>
      </c>
      <c r="G488" s="82"/>
      <c r="H488" s="82"/>
      <c r="I488" s="82"/>
      <c r="K488" s="83">
        <f t="shared" si="180"/>
        <v>0</v>
      </c>
      <c r="L488" s="82"/>
      <c r="M488" s="82"/>
      <c r="N488" s="82"/>
      <c r="O488" s="84"/>
      <c r="P488" s="83">
        <f t="shared" si="181"/>
        <v>0</v>
      </c>
      <c r="Q488" s="82"/>
      <c r="R488" s="82"/>
      <c r="S488" s="82"/>
    </row>
    <row r="489" spans="1:19" ht="12.75" customHeight="1" x14ac:dyDescent="0.25">
      <c r="A489" s="58"/>
      <c r="B489" s="68"/>
      <c r="C489" s="68"/>
      <c r="D489" s="68" t="s">
        <v>394</v>
      </c>
      <c r="F489" s="83">
        <f>G489+H489+I489</f>
        <v>45741831.009999998</v>
      </c>
      <c r="G489" s="82">
        <v>33554515.100000001</v>
      </c>
      <c r="H489" s="82">
        <v>1780446.8699999994</v>
      </c>
      <c r="I489" s="82">
        <v>10406869.039999999</v>
      </c>
      <c r="K489" s="83">
        <f t="shared" si="180"/>
        <v>28757797.970000006</v>
      </c>
      <c r="L489" s="82">
        <v>26118210.130000006</v>
      </c>
      <c r="M489" s="82">
        <v>919759.43000000052</v>
      </c>
      <c r="N489" s="82">
        <v>1719828.4099999992</v>
      </c>
      <c r="O489" s="84"/>
      <c r="P489" s="83">
        <f t="shared" si="181"/>
        <v>25514056.230000004</v>
      </c>
      <c r="Q489" s="82">
        <v>21420885.320000004</v>
      </c>
      <c r="R489" s="82">
        <v>1619202.8700000003</v>
      </c>
      <c r="S489" s="82">
        <v>2473968.0399999991</v>
      </c>
    </row>
    <row r="490" spans="1:19" ht="12.75" hidden="1" customHeight="1" x14ac:dyDescent="0.25">
      <c r="A490" s="58"/>
      <c r="B490" s="68"/>
      <c r="C490" s="68"/>
      <c r="D490" s="68" t="s">
        <v>395</v>
      </c>
      <c r="F490" s="83">
        <f>G490+H490+I490</f>
        <v>0</v>
      </c>
      <c r="G490" s="82"/>
      <c r="H490" s="82"/>
      <c r="I490" s="82"/>
      <c r="K490" s="83">
        <f t="shared" si="180"/>
        <v>0</v>
      </c>
      <c r="L490" s="82"/>
      <c r="M490" s="82"/>
      <c r="N490" s="82"/>
      <c r="O490" s="84"/>
      <c r="P490" s="83">
        <f t="shared" si="181"/>
        <v>0</v>
      </c>
      <c r="Q490" s="82"/>
      <c r="R490" s="82"/>
      <c r="S490" s="82"/>
    </row>
    <row r="491" spans="1:19" ht="12.75" customHeight="1" x14ac:dyDescent="0.25">
      <c r="A491" s="58"/>
      <c r="B491" s="68"/>
      <c r="C491" s="67"/>
      <c r="D491" s="77" t="s">
        <v>396</v>
      </c>
      <c r="F491" s="90">
        <f t="shared" ref="F491:I491" si="182">SUM(F486:F490)</f>
        <v>114204217.56</v>
      </c>
      <c r="G491" s="90">
        <f t="shared" si="182"/>
        <v>35919499.520000003</v>
      </c>
      <c r="H491" s="90">
        <f t="shared" si="182"/>
        <v>1780446.8699999994</v>
      </c>
      <c r="I491" s="90">
        <f t="shared" si="182"/>
        <v>76504271.170000002</v>
      </c>
      <c r="K491" s="90">
        <f t="shared" ref="K491:N491" si="183">SUM(K486:K490)</f>
        <v>104822222.27000001</v>
      </c>
      <c r="L491" s="90">
        <f t="shared" si="183"/>
        <v>27969694.550000004</v>
      </c>
      <c r="M491" s="90">
        <f t="shared" si="183"/>
        <v>919759.43000000052</v>
      </c>
      <c r="N491" s="90">
        <f t="shared" si="183"/>
        <v>75932768.289999992</v>
      </c>
      <c r="O491" s="84"/>
      <c r="P491" s="90">
        <f t="shared" ref="P491:S491" si="184">SUM(P486:P490)</f>
        <v>93038352.060000017</v>
      </c>
      <c r="Q491" s="90">
        <f t="shared" si="184"/>
        <v>22641505.320000004</v>
      </c>
      <c r="R491" s="90">
        <f t="shared" si="184"/>
        <v>1619202.8700000003</v>
      </c>
      <c r="S491" s="90">
        <f t="shared" si="184"/>
        <v>68777643.87000002</v>
      </c>
    </row>
    <row r="492" spans="1:19" ht="12.75" customHeight="1" x14ac:dyDescent="0.25">
      <c r="A492" s="58"/>
      <c r="B492" s="68"/>
      <c r="C492" s="67" t="s">
        <v>397</v>
      </c>
      <c r="D492" s="68"/>
      <c r="F492" s="83"/>
      <c r="G492" s="83"/>
      <c r="H492" s="83"/>
      <c r="I492" s="83"/>
      <c r="K492" s="83"/>
      <c r="L492" s="83"/>
      <c r="M492" s="83"/>
      <c r="N492" s="83"/>
      <c r="O492" s="84"/>
      <c r="P492" s="83"/>
      <c r="Q492" s="83"/>
      <c r="R492" s="83"/>
      <c r="S492" s="83"/>
    </row>
    <row r="493" spans="1:19" ht="12.75" customHeight="1" x14ac:dyDescent="0.25">
      <c r="A493" s="58"/>
      <c r="B493" s="68"/>
      <c r="C493" s="68"/>
      <c r="D493" s="68" t="s">
        <v>398</v>
      </c>
      <c r="F493" s="83">
        <f t="shared" ref="F493:F498" si="185">G493+H493+I493</f>
        <v>9626342.75</v>
      </c>
      <c r="G493" s="82">
        <v>9626342.75</v>
      </c>
      <c r="H493" s="82">
        <v>0</v>
      </c>
      <c r="I493" s="82">
        <v>0</v>
      </c>
      <c r="K493" s="83">
        <f t="shared" ref="K493:K498" si="186">L493+M493+N493</f>
        <v>18363092.800000001</v>
      </c>
      <c r="L493" s="82">
        <v>18363092.800000001</v>
      </c>
      <c r="M493" s="82">
        <v>0</v>
      </c>
      <c r="N493" s="82">
        <v>0</v>
      </c>
      <c r="O493" s="84"/>
      <c r="P493" s="83">
        <f t="shared" ref="P493:P498" si="187">Q493+R493+S493</f>
        <v>18701077.630000003</v>
      </c>
      <c r="Q493" s="82">
        <v>18701077.630000003</v>
      </c>
      <c r="R493" s="82">
        <v>0</v>
      </c>
      <c r="S493" s="82">
        <v>0</v>
      </c>
    </row>
    <row r="494" spans="1:19" ht="12.75" customHeight="1" x14ac:dyDescent="0.25">
      <c r="A494" s="58"/>
      <c r="B494" s="68"/>
      <c r="C494" s="68"/>
      <c r="D494" s="68" t="s">
        <v>399</v>
      </c>
      <c r="F494" s="83">
        <f t="shared" si="185"/>
        <v>8808756.3700000085</v>
      </c>
      <c r="G494" s="82">
        <v>0</v>
      </c>
      <c r="H494" s="82">
        <v>8808756.3700000085</v>
      </c>
      <c r="I494" s="82">
        <v>0</v>
      </c>
      <c r="K494" s="83">
        <f t="shared" si="186"/>
        <v>9181797.9599999823</v>
      </c>
      <c r="L494" s="82">
        <v>0</v>
      </c>
      <c r="M494" s="82">
        <v>9181797.9599999823</v>
      </c>
      <c r="N494" s="82">
        <v>0</v>
      </c>
      <c r="O494" s="84"/>
      <c r="P494" s="83">
        <f t="shared" si="187"/>
        <v>8041594.2000000002</v>
      </c>
      <c r="Q494" s="82">
        <v>0</v>
      </c>
      <c r="R494" s="82">
        <v>8041594.2000000002</v>
      </c>
      <c r="S494" s="82">
        <v>0</v>
      </c>
    </row>
    <row r="495" spans="1:19" ht="12.75" hidden="1" customHeight="1" x14ac:dyDescent="0.25">
      <c r="A495" s="58"/>
      <c r="B495" s="68"/>
      <c r="C495" s="68"/>
      <c r="D495" s="68" t="s">
        <v>400</v>
      </c>
      <c r="F495" s="83">
        <f t="shared" si="185"/>
        <v>0</v>
      </c>
      <c r="G495" s="82"/>
      <c r="H495" s="82"/>
      <c r="I495" s="82"/>
      <c r="K495" s="83">
        <f t="shared" si="186"/>
        <v>0</v>
      </c>
      <c r="L495" s="82"/>
      <c r="M495" s="82"/>
      <c r="N495" s="82"/>
      <c r="O495" s="84"/>
      <c r="P495" s="83">
        <f t="shared" si="187"/>
        <v>0</v>
      </c>
      <c r="Q495" s="82"/>
      <c r="R495" s="82"/>
      <c r="S495" s="82"/>
    </row>
    <row r="496" spans="1:19" ht="12.75" hidden="1" customHeight="1" x14ac:dyDescent="0.25">
      <c r="A496" s="58"/>
      <c r="B496" s="68"/>
      <c r="C496" s="68"/>
      <c r="D496" s="68" t="s">
        <v>401</v>
      </c>
      <c r="F496" s="83">
        <f t="shared" si="185"/>
        <v>0</v>
      </c>
      <c r="G496" s="82"/>
      <c r="H496" s="82"/>
      <c r="I496" s="82"/>
      <c r="K496" s="83">
        <f t="shared" si="186"/>
        <v>0</v>
      </c>
      <c r="L496" s="82"/>
      <c r="M496" s="82"/>
      <c r="N496" s="82"/>
      <c r="O496" s="84"/>
      <c r="P496" s="83">
        <f t="shared" si="187"/>
        <v>0</v>
      </c>
      <c r="Q496" s="82"/>
      <c r="R496" s="82"/>
      <c r="S496" s="82"/>
    </row>
    <row r="497" spans="1:19" hidden="1" x14ac:dyDescent="0.25">
      <c r="A497" s="58"/>
      <c r="B497" s="68"/>
      <c r="C497" s="68"/>
      <c r="D497" s="68" t="s">
        <v>402</v>
      </c>
      <c r="F497" s="83">
        <f t="shared" si="185"/>
        <v>0</v>
      </c>
      <c r="G497" s="82"/>
      <c r="H497" s="82"/>
      <c r="I497" s="82"/>
      <c r="K497" s="83">
        <f t="shared" si="186"/>
        <v>0</v>
      </c>
      <c r="L497" s="82"/>
      <c r="M497" s="82"/>
      <c r="N497" s="82"/>
      <c r="O497" s="84"/>
      <c r="P497" s="83">
        <f t="shared" si="187"/>
        <v>0</v>
      </c>
      <c r="Q497" s="82"/>
      <c r="R497" s="82"/>
      <c r="S497" s="82"/>
    </row>
    <row r="498" spans="1:19" ht="12.75" customHeight="1" x14ac:dyDescent="0.25">
      <c r="A498" s="58"/>
      <c r="B498" s="68"/>
      <c r="C498" s="68"/>
      <c r="D498" s="68" t="s">
        <v>403</v>
      </c>
      <c r="F498" s="83">
        <f t="shared" si="185"/>
        <v>1175814.1399999997</v>
      </c>
      <c r="G498" s="82">
        <v>896091.63</v>
      </c>
      <c r="H498" s="82">
        <v>279722.50999999978</v>
      </c>
      <c r="I498" s="82">
        <v>0</v>
      </c>
      <c r="K498" s="83">
        <f t="shared" si="186"/>
        <v>2035147.9899999998</v>
      </c>
      <c r="L498" s="82">
        <v>896091.63</v>
      </c>
      <c r="M498" s="82">
        <v>279722.50999999978</v>
      </c>
      <c r="N498" s="82">
        <v>859333.85</v>
      </c>
      <c r="O498" s="84"/>
      <c r="P498" s="83">
        <f t="shared" si="187"/>
        <v>1267729.4599999997</v>
      </c>
      <c r="Q498" s="82">
        <v>896091.63</v>
      </c>
      <c r="R498" s="82">
        <v>371637.82999999978</v>
      </c>
      <c r="S498" s="82">
        <v>0</v>
      </c>
    </row>
    <row r="499" spans="1:19" ht="12.75" customHeight="1" x14ac:dyDescent="0.25">
      <c r="A499" s="58"/>
      <c r="B499" s="68"/>
      <c r="C499" s="67"/>
      <c r="D499" s="77" t="s">
        <v>404</v>
      </c>
      <c r="F499" s="90">
        <f t="shared" ref="F499:I499" si="188">SUM(F493:F498)</f>
        <v>19610913.260000009</v>
      </c>
      <c r="G499" s="90">
        <f t="shared" si="188"/>
        <v>10522434.380000001</v>
      </c>
      <c r="H499" s="90">
        <f t="shared" si="188"/>
        <v>9088478.8800000083</v>
      </c>
      <c r="I499" s="90">
        <f t="shared" si="188"/>
        <v>0</v>
      </c>
      <c r="K499" s="90">
        <f t="shared" ref="K499:N499" si="189">SUM(K493:K498)</f>
        <v>29580038.749999981</v>
      </c>
      <c r="L499" s="90">
        <f t="shared" si="189"/>
        <v>19259184.43</v>
      </c>
      <c r="M499" s="90">
        <f t="shared" si="189"/>
        <v>9461520.469999982</v>
      </c>
      <c r="N499" s="90">
        <f t="shared" si="189"/>
        <v>859333.85</v>
      </c>
      <c r="O499" s="84"/>
      <c r="P499" s="90">
        <f t="shared" ref="P499:S499" si="190">SUM(P493:P498)</f>
        <v>28010401.290000003</v>
      </c>
      <c r="Q499" s="90">
        <f t="shared" si="190"/>
        <v>19597169.260000002</v>
      </c>
      <c r="R499" s="90">
        <f t="shared" si="190"/>
        <v>8413232.0299999993</v>
      </c>
      <c r="S499" s="90">
        <f t="shared" si="190"/>
        <v>0</v>
      </c>
    </row>
    <row r="500" spans="1:19" ht="12.75" customHeight="1" x14ac:dyDescent="0.25">
      <c r="A500" s="58"/>
      <c r="B500" s="58"/>
      <c r="C500" s="67" t="s">
        <v>405</v>
      </c>
      <c r="D500" s="68"/>
      <c r="F500" s="83"/>
      <c r="G500" s="83"/>
      <c r="H500" s="83"/>
      <c r="I500" s="83"/>
      <c r="K500" s="83"/>
      <c r="L500" s="83"/>
      <c r="M500" s="83"/>
      <c r="N500" s="83"/>
      <c r="O500" s="84"/>
      <c r="P500" s="83"/>
      <c r="Q500" s="83"/>
      <c r="R500" s="83"/>
      <c r="S500" s="83"/>
    </row>
    <row r="501" spans="1:19" ht="15.6" hidden="1" customHeight="1" x14ac:dyDescent="0.25">
      <c r="A501" s="58"/>
      <c r="B501" s="68"/>
      <c r="C501" s="68"/>
      <c r="D501" s="68" t="s">
        <v>406</v>
      </c>
      <c r="F501" s="83">
        <f>G501+H501+I501</f>
        <v>0</v>
      </c>
      <c r="G501" s="82"/>
      <c r="H501" s="82"/>
      <c r="I501" s="82"/>
      <c r="K501" s="83">
        <f t="shared" ref="K501:K502" si="191">L501+M501+N501</f>
        <v>0</v>
      </c>
      <c r="L501" s="82"/>
      <c r="M501" s="82"/>
      <c r="N501" s="82"/>
      <c r="O501" s="84"/>
      <c r="P501" s="83">
        <f t="shared" ref="P501:P502" si="192">Q501+R501+S501</f>
        <v>0</v>
      </c>
      <c r="Q501" s="82"/>
      <c r="R501" s="82"/>
      <c r="S501" s="82"/>
    </row>
    <row r="502" spans="1:19" ht="12.75" customHeight="1" x14ac:dyDescent="0.25">
      <c r="A502" s="58"/>
      <c r="B502" s="68"/>
      <c r="C502" s="68"/>
      <c r="D502" s="68" t="s">
        <v>407</v>
      </c>
      <c r="F502" s="83">
        <f>G502+H502+I502</f>
        <v>528146.84</v>
      </c>
      <c r="G502" s="82">
        <v>528146.84</v>
      </c>
      <c r="H502" s="82">
        <v>0</v>
      </c>
      <c r="I502" s="82">
        <v>0</v>
      </c>
      <c r="K502" s="83">
        <f t="shared" si="191"/>
        <v>528146.84</v>
      </c>
      <c r="L502" s="82">
        <v>528146.84</v>
      </c>
      <c r="M502" s="82">
        <v>0</v>
      </c>
      <c r="N502" s="82">
        <v>0</v>
      </c>
      <c r="O502" s="84"/>
      <c r="P502" s="83">
        <f t="shared" si="192"/>
        <v>528146.84</v>
      </c>
      <c r="Q502" s="82">
        <v>528146.84</v>
      </c>
      <c r="R502" s="82">
        <v>0</v>
      </c>
      <c r="S502" s="82">
        <v>0</v>
      </c>
    </row>
    <row r="503" spans="1:19" ht="12.75" customHeight="1" x14ac:dyDescent="0.25">
      <c r="A503" s="58"/>
      <c r="B503" s="58"/>
      <c r="C503" s="67" t="s">
        <v>408</v>
      </c>
      <c r="D503" s="68"/>
      <c r="F503" s="83"/>
      <c r="G503" s="82"/>
      <c r="H503" s="82"/>
      <c r="I503" s="82"/>
      <c r="K503" s="83"/>
      <c r="L503" s="83"/>
      <c r="M503" s="82"/>
      <c r="N503" s="82"/>
      <c r="O503" s="84"/>
      <c r="P503" s="83"/>
      <c r="Q503" s="83"/>
      <c r="R503" s="82"/>
      <c r="S503" s="82"/>
    </row>
    <row r="504" spans="1:19" ht="12.75" customHeight="1" x14ac:dyDescent="0.25">
      <c r="A504" s="58"/>
      <c r="B504" s="68"/>
      <c r="C504" s="68"/>
      <c r="D504" s="68" t="s">
        <v>408</v>
      </c>
      <c r="F504" s="83">
        <f>G504+H504+I504</f>
        <v>73845618.880000025</v>
      </c>
      <c r="G504" s="82">
        <v>63991424.390000023</v>
      </c>
      <c r="H504" s="82">
        <v>2038803.57</v>
      </c>
      <c r="I504" s="82">
        <v>7815390.9199999943</v>
      </c>
      <c r="K504" s="83">
        <f>L504+M504+N504</f>
        <v>58866464.330000013</v>
      </c>
      <c r="L504" s="126">
        <v>53100033.730000012</v>
      </c>
      <c r="M504" s="82">
        <v>1663635.1600000001</v>
      </c>
      <c r="N504" s="82">
        <v>4102795.439999999</v>
      </c>
      <c r="O504" s="84"/>
      <c r="P504" s="83">
        <f>Q504+R504+S504</f>
        <v>51880035.219999999</v>
      </c>
      <c r="Q504" s="126">
        <v>47205846.920000002</v>
      </c>
      <c r="R504" s="82">
        <v>875355.4</v>
      </c>
      <c r="S504" s="82">
        <v>3798832.9</v>
      </c>
    </row>
    <row r="505" spans="1:19" ht="12.75" customHeight="1" x14ac:dyDescent="0.25">
      <c r="A505" s="58"/>
      <c r="B505" s="67" t="s">
        <v>409</v>
      </c>
      <c r="C505" s="67"/>
      <c r="D505" s="68"/>
      <c r="F505" s="90">
        <f t="shared" ref="F505:I505" si="193">+F461+F468+F479+F484+F491+F499+F501+F502+F504</f>
        <v>906845944.99299979</v>
      </c>
      <c r="G505" s="90">
        <f>+G461+G468+G479+G484+G491+G499+G501+G502+G504</f>
        <v>316359524.64300007</v>
      </c>
      <c r="H505" s="90">
        <f t="shared" si="193"/>
        <v>21373847.430000007</v>
      </c>
      <c r="I505" s="90">
        <f t="shared" si="193"/>
        <v>569112572.91999984</v>
      </c>
      <c r="K505" s="90">
        <f t="shared" ref="K505:N505" si="194">+K461+K468+K479+K484+K491+K499+K501+K502+K504</f>
        <v>604207519.30299997</v>
      </c>
      <c r="L505" s="90">
        <f t="shared" si="194"/>
        <v>334747308.93299997</v>
      </c>
      <c r="M505" s="90">
        <f t="shared" si="194"/>
        <v>23431304.189999979</v>
      </c>
      <c r="N505" s="90">
        <f t="shared" si="194"/>
        <v>246028906.17999992</v>
      </c>
      <c r="O505" s="96"/>
      <c r="P505" s="90">
        <f t="shared" ref="P505:S505" si="195">+P461+P468+P479+P484+P491+P499+P501+P502+P504</f>
        <v>428857654.39999998</v>
      </c>
      <c r="Q505" s="90">
        <f t="shared" si="195"/>
        <v>254292019.94999999</v>
      </c>
      <c r="R505" s="90">
        <f t="shared" si="195"/>
        <v>18164687.700000003</v>
      </c>
      <c r="S505" s="90">
        <f t="shared" si="195"/>
        <v>156400946.74999997</v>
      </c>
    </row>
    <row r="506" spans="1:19" ht="12.75" customHeight="1" x14ac:dyDescent="0.25">
      <c r="A506" s="67"/>
      <c r="B506" s="67" t="s">
        <v>410</v>
      </c>
      <c r="C506" s="67"/>
      <c r="D506" s="68"/>
      <c r="F506" s="83"/>
      <c r="G506" s="83"/>
      <c r="H506" s="83"/>
      <c r="I506" s="83"/>
      <c r="K506" s="83"/>
      <c r="L506" s="83"/>
      <c r="M506" s="83"/>
      <c r="N506" s="83"/>
      <c r="O506" s="84"/>
      <c r="P506" s="83"/>
      <c r="Q506" s="83"/>
      <c r="R506" s="83"/>
      <c r="S506" s="83"/>
    </row>
    <row r="507" spans="1:19" ht="12.75" customHeight="1" x14ac:dyDescent="0.25">
      <c r="A507" s="67"/>
      <c r="B507" s="67"/>
      <c r="C507" s="67" t="s">
        <v>354</v>
      </c>
      <c r="D507" s="68"/>
      <c r="F507" s="83"/>
      <c r="G507" s="83"/>
      <c r="H507" s="83"/>
      <c r="I507" s="83"/>
      <c r="K507" s="83"/>
      <c r="L507" s="83"/>
      <c r="M507" s="83"/>
      <c r="N507" s="83"/>
      <c r="O507" s="84"/>
      <c r="P507" s="83"/>
      <c r="Q507" s="83"/>
      <c r="R507" s="83"/>
      <c r="S507" s="83"/>
    </row>
    <row r="508" spans="1:19" ht="12.75" hidden="1" customHeight="1" x14ac:dyDescent="0.25">
      <c r="A508" s="67"/>
      <c r="B508" s="67"/>
      <c r="C508" s="67"/>
      <c r="D508" s="67" t="s">
        <v>355</v>
      </c>
      <c r="F508" s="83"/>
      <c r="G508" s="83"/>
      <c r="H508" s="83"/>
      <c r="I508" s="83"/>
      <c r="K508" s="83"/>
      <c r="L508" s="83"/>
      <c r="M508" s="83"/>
      <c r="N508" s="83"/>
      <c r="O508" s="84"/>
      <c r="P508" s="83"/>
      <c r="Q508" s="83"/>
      <c r="R508" s="83"/>
      <c r="S508" s="83"/>
    </row>
    <row r="509" spans="1:19" ht="12.75" hidden="1" customHeight="1" x14ac:dyDescent="0.25">
      <c r="B509" s="68"/>
      <c r="C509" s="68"/>
      <c r="D509" s="58"/>
      <c r="E509" s="69" t="s">
        <v>356</v>
      </c>
      <c r="F509" s="83">
        <f t="shared" ref="F509:F519" si="196">G509+H509+I509</f>
        <v>0</v>
      </c>
      <c r="G509" s="82"/>
      <c r="H509" s="82"/>
      <c r="I509" s="82"/>
      <c r="K509" s="83">
        <f t="shared" ref="K509:K519" si="197">L509+M509+N509</f>
        <v>0</v>
      </c>
      <c r="L509" s="82"/>
      <c r="M509" s="82"/>
      <c r="N509" s="82"/>
      <c r="O509" s="84"/>
      <c r="P509" s="83">
        <f t="shared" ref="P509:P519" si="198">Q509+R509+S509</f>
        <v>0</v>
      </c>
      <c r="Q509" s="82"/>
      <c r="R509" s="82"/>
      <c r="S509" s="82"/>
    </row>
    <row r="510" spans="1:19" ht="12.75" hidden="1" customHeight="1" x14ac:dyDescent="0.25">
      <c r="B510" s="68"/>
      <c r="C510" s="68"/>
      <c r="D510" s="58"/>
      <c r="E510" s="69" t="s">
        <v>357</v>
      </c>
      <c r="F510" s="83">
        <f t="shared" si="196"/>
        <v>0</v>
      </c>
      <c r="G510" s="82"/>
      <c r="H510" s="82"/>
      <c r="I510" s="82"/>
      <c r="K510" s="83">
        <f t="shared" si="197"/>
        <v>0</v>
      </c>
      <c r="L510" s="82"/>
      <c r="M510" s="82"/>
      <c r="N510" s="82"/>
      <c r="O510" s="84"/>
      <c r="P510" s="83">
        <f t="shared" si="198"/>
        <v>0</v>
      </c>
      <c r="Q510" s="82"/>
      <c r="R510" s="82"/>
      <c r="S510" s="82"/>
    </row>
    <row r="511" spans="1:19" ht="12.75" hidden="1" customHeight="1" x14ac:dyDescent="0.25">
      <c r="B511" s="68"/>
      <c r="C511" s="68"/>
      <c r="D511" s="58"/>
      <c r="E511" s="69" t="s">
        <v>358</v>
      </c>
      <c r="F511" s="83">
        <f t="shared" si="196"/>
        <v>0</v>
      </c>
      <c r="G511" s="82"/>
      <c r="H511" s="82"/>
      <c r="I511" s="82"/>
      <c r="K511" s="83">
        <f t="shared" si="197"/>
        <v>0</v>
      </c>
      <c r="L511" s="82"/>
      <c r="M511" s="82"/>
      <c r="N511" s="82"/>
      <c r="O511" s="84"/>
      <c r="P511" s="83">
        <f t="shared" si="198"/>
        <v>0</v>
      </c>
      <c r="Q511" s="82"/>
      <c r="R511" s="82"/>
      <c r="S511" s="82"/>
    </row>
    <row r="512" spans="1:19" ht="12.75" hidden="1" customHeight="1" x14ac:dyDescent="0.25">
      <c r="B512" s="68"/>
      <c r="C512" s="68"/>
      <c r="D512" s="58"/>
      <c r="E512" s="69" t="s">
        <v>359</v>
      </c>
      <c r="F512" s="83">
        <f t="shared" si="196"/>
        <v>0</v>
      </c>
      <c r="G512" s="82"/>
      <c r="H512" s="82"/>
      <c r="I512" s="82"/>
      <c r="K512" s="83">
        <f t="shared" si="197"/>
        <v>0</v>
      </c>
      <c r="L512" s="82"/>
      <c r="M512" s="82"/>
      <c r="N512" s="82"/>
      <c r="O512" s="84"/>
      <c r="P512" s="83">
        <f t="shared" si="198"/>
        <v>0</v>
      </c>
      <c r="Q512" s="82"/>
      <c r="R512" s="82"/>
      <c r="S512" s="82"/>
    </row>
    <row r="513" spans="1:19" ht="12.75" hidden="1" customHeight="1" x14ac:dyDescent="0.25">
      <c r="B513" s="68"/>
      <c r="C513" s="68"/>
      <c r="D513" s="58"/>
      <c r="E513" s="69" t="s">
        <v>360</v>
      </c>
      <c r="F513" s="83">
        <f t="shared" si="196"/>
        <v>0</v>
      </c>
      <c r="G513" s="82"/>
      <c r="H513" s="82"/>
      <c r="I513" s="82"/>
      <c r="K513" s="83">
        <f t="shared" si="197"/>
        <v>0</v>
      </c>
      <c r="L513" s="82"/>
      <c r="M513" s="82"/>
      <c r="N513" s="82"/>
      <c r="O513" s="84"/>
      <c r="P513" s="83">
        <f t="shared" si="198"/>
        <v>0</v>
      </c>
      <c r="Q513" s="82"/>
      <c r="R513" s="82"/>
      <c r="S513" s="82"/>
    </row>
    <row r="514" spans="1:19" ht="12.75" hidden="1" customHeight="1" x14ac:dyDescent="0.25">
      <c r="B514" s="68"/>
      <c r="C514" s="68"/>
      <c r="D514" s="58"/>
      <c r="E514" s="69" t="s">
        <v>361</v>
      </c>
      <c r="F514" s="83">
        <f t="shared" si="196"/>
        <v>0</v>
      </c>
      <c r="G514" s="82"/>
      <c r="H514" s="82"/>
      <c r="I514" s="82"/>
      <c r="K514" s="83">
        <f t="shared" si="197"/>
        <v>0</v>
      </c>
      <c r="L514" s="82"/>
      <c r="M514" s="82"/>
      <c r="N514" s="82"/>
      <c r="O514" s="84"/>
      <c r="P514" s="83">
        <f t="shared" si="198"/>
        <v>0</v>
      </c>
      <c r="Q514" s="82"/>
      <c r="R514" s="82"/>
      <c r="S514" s="82"/>
    </row>
    <row r="515" spans="1:19" ht="12.75" hidden="1" customHeight="1" x14ac:dyDescent="0.25">
      <c r="B515" s="68"/>
      <c r="C515" s="68"/>
      <c r="D515" s="58"/>
      <c r="E515" s="69" t="s">
        <v>362</v>
      </c>
      <c r="F515" s="83">
        <f t="shared" si="196"/>
        <v>0</v>
      </c>
      <c r="G515" s="82"/>
      <c r="H515" s="82"/>
      <c r="I515" s="82"/>
      <c r="K515" s="83">
        <f t="shared" si="197"/>
        <v>0</v>
      </c>
      <c r="L515" s="82"/>
      <c r="M515" s="82"/>
      <c r="N515" s="82"/>
      <c r="O515" s="84"/>
      <c r="P515" s="83">
        <f t="shared" si="198"/>
        <v>0</v>
      </c>
      <c r="Q515" s="82"/>
      <c r="R515" s="82"/>
      <c r="S515" s="82"/>
    </row>
    <row r="516" spans="1:19" ht="12.75" hidden="1" customHeight="1" x14ac:dyDescent="0.25">
      <c r="B516" s="68"/>
      <c r="C516" s="68"/>
      <c r="D516" s="58"/>
      <c r="E516" s="69" t="s">
        <v>363</v>
      </c>
      <c r="F516" s="83">
        <f t="shared" si="196"/>
        <v>0</v>
      </c>
      <c r="G516" s="82"/>
      <c r="H516" s="82"/>
      <c r="I516" s="82"/>
      <c r="K516" s="83">
        <f t="shared" si="197"/>
        <v>0</v>
      </c>
      <c r="L516" s="82"/>
      <c r="M516" s="82"/>
      <c r="N516" s="82"/>
      <c r="O516" s="84"/>
      <c r="P516" s="83">
        <f t="shared" si="198"/>
        <v>0</v>
      </c>
      <c r="Q516" s="82"/>
      <c r="R516" s="82"/>
      <c r="S516" s="82"/>
    </row>
    <row r="517" spans="1:19" ht="12.75" hidden="1" customHeight="1" x14ac:dyDescent="0.25">
      <c r="B517" s="68"/>
      <c r="C517" s="68"/>
      <c r="D517" s="58"/>
      <c r="E517" s="69" t="s">
        <v>364</v>
      </c>
      <c r="F517" s="83">
        <f t="shared" si="196"/>
        <v>0</v>
      </c>
      <c r="G517" s="82"/>
      <c r="H517" s="82"/>
      <c r="I517" s="82"/>
      <c r="K517" s="83">
        <f t="shared" si="197"/>
        <v>0</v>
      </c>
      <c r="L517" s="82"/>
      <c r="M517" s="82"/>
      <c r="N517" s="82"/>
      <c r="O517" s="84"/>
      <c r="P517" s="83">
        <f t="shared" si="198"/>
        <v>0</v>
      </c>
      <c r="Q517" s="82"/>
      <c r="R517" s="82"/>
      <c r="S517" s="82"/>
    </row>
    <row r="518" spans="1:19" ht="12.75" hidden="1" customHeight="1" x14ac:dyDescent="0.25">
      <c r="B518" s="68"/>
      <c r="C518" s="68"/>
      <c r="D518" s="58"/>
      <c r="E518" s="69" t="s">
        <v>365</v>
      </c>
      <c r="F518" s="83">
        <f t="shared" si="196"/>
        <v>0</v>
      </c>
      <c r="G518" s="82"/>
      <c r="H518" s="82"/>
      <c r="I518" s="82"/>
      <c r="K518" s="83">
        <f t="shared" si="197"/>
        <v>0</v>
      </c>
      <c r="L518" s="82"/>
      <c r="M518" s="82"/>
      <c r="N518" s="82"/>
      <c r="O518" s="84"/>
      <c r="P518" s="83">
        <f t="shared" si="198"/>
        <v>0</v>
      </c>
      <c r="Q518" s="82"/>
      <c r="R518" s="82"/>
      <c r="S518" s="82"/>
    </row>
    <row r="519" spans="1:19" ht="12.75" hidden="1" customHeight="1" x14ac:dyDescent="0.25">
      <c r="B519" s="68"/>
      <c r="C519" s="68"/>
      <c r="D519" s="58"/>
      <c r="E519" s="69" t="s">
        <v>366</v>
      </c>
      <c r="F519" s="83">
        <f t="shared" si="196"/>
        <v>0</v>
      </c>
      <c r="G519" s="82"/>
      <c r="H519" s="82"/>
      <c r="I519" s="82"/>
      <c r="K519" s="83">
        <f t="shared" si="197"/>
        <v>0</v>
      </c>
      <c r="L519" s="82"/>
      <c r="M519" s="82"/>
      <c r="N519" s="82"/>
      <c r="O519" s="84"/>
      <c r="P519" s="83">
        <f t="shared" si="198"/>
        <v>0</v>
      </c>
      <c r="Q519" s="82"/>
      <c r="R519" s="82"/>
      <c r="S519" s="82"/>
    </row>
    <row r="520" spans="1:19" ht="12.75" hidden="1" customHeight="1" x14ac:dyDescent="0.25">
      <c r="A520" s="58"/>
      <c r="B520" s="68"/>
      <c r="C520" s="67"/>
      <c r="D520" s="58"/>
      <c r="E520" s="78" t="s">
        <v>367</v>
      </c>
      <c r="F520" s="83">
        <f t="shared" ref="F520" si="199">SUM(F507:F519)</f>
        <v>0</v>
      </c>
      <c r="G520" s="82"/>
      <c r="H520" s="82"/>
      <c r="I520" s="82"/>
      <c r="J520" s="78"/>
      <c r="K520" s="83">
        <f t="shared" ref="K520" si="200">SUM(K507:K519)</f>
        <v>0</v>
      </c>
      <c r="L520" s="82"/>
      <c r="M520" s="82"/>
      <c r="N520" s="82"/>
      <c r="O520" s="84"/>
      <c r="P520" s="83">
        <f t="shared" ref="P520:S520" si="201">SUM(P507:P519)</f>
        <v>0</v>
      </c>
      <c r="Q520" s="82">
        <f t="shared" si="201"/>
        <v>0</v>
      </c>
      <c r="R520" s="82">
        <f t="shared" si="201"/>
        <v>0</v>
      </c>
      <c r="S520" s="82">
        <f t="shared" si="201"/>
        <v>0</v>
      </c>
    </row>
    <row r="521" spans="1:19" ht="12.75" customHeight="1" x14ac:dyDescent="0.25">
      <c r="B521" s="68"/>
      <c r="C521" s="58"/>
      <c r="D521" s="67" t="s">
        <v>368</v>
      </c>
      <c r="F521" s="83"/>
      <c r="G521" s="83"/>
      <c r="H521" s="83"/>
      <c r="I521" s="83"/>
      <c r="K521" s="83"/>
      <c r="L521" s="83"/>
      <c r="M521" s="83"/>
      <c r="N521" s="83"/>
      <c r="O521" s="84"/>
      <c r="P521" s="83"/>
      <c r="Q521" s="83"/>
      <c r="R521" s="83"/>
      <c r="S521" s="83"/>
    </row>
    <row r="522" spans="1:19" ht="12.75" hidden="1" customHeight="1" x14ac:dyDescent="0.25">
      <c r="B522" s="68"/>
      <c r="C522" s="58"/>
      <c r="D522" s="68"/>
      <c r="E522" s="69" t="s">
        <v>369</v>
      </c>
      <c r="F522" s="83">
        <f>G522+H522+I522</f>
        <v>0</v>
      </c>
      <c r="G522" s="82"/>
      <c r="H522" s="82"/>
      <c r="I522" s="82"/>
      <c r="K522" s="83">
        <f t="shared" ref="K522:K526" si="202">L522+M522+N522</f>
        <v>0</v>
      </c>
      <c r="L522" s="82"/>
      <c r="M522" s="82"/>
      <c r="N522" s="82"/>
      <c r="O522" s="84"/>
      <c r="P522" s="83">
        <f t="shared" ref="P522:P526" si="203">Q522+R522+S522</f>
        <v>0</v>
      </c>
      <c r="Q522" s="82"/>
      <c r="R522" s="82"/>
      <c r="S522" s="82"/>
    </row>
    <row r="523" spans="1:19" ht="12.75" hidden="1" customHeight="1" x14ac:dyDescent="0.25">
      <c r="B523" s="68"/>
      <c r="C523" s="58"/>
      <c r="D523" s="68"/>
      <c r="E523" s="69" t="s">
        <v>370</v>
      </c>
      <c r="F523" s="83">
        <f>G523+H523+I523</f>
        <v>0</v>
      </c>
      <c r="G523" s="82"/>
      <c r="H523" s="82"/>
      <c r="I523" s="82"/>
      <c r="K523" s="83">
        <f t="shared" si="202"/>
        <v>0</v>
      </c>
      <c r="L523" s="82"/>
      <c r="M523" s="82"/>
      <c r="N523" s="82"/>
      <c r="O523" s="84"/>
      <c r="P523" s="83">
        <f t="shared" si="203"/>
        <v>0</v>
      </c>
      <c r="Q523" s="82"/>
      <c r="R523" s="82"/>
      <c r="S523" s="82"/>
    </row>
    <row r="524" spans="1:19" ht="12.75" hidden="1" customHeight="1" x14ac:dyDescent="0.25">
      <c r="B524" s="68"/>
      <c r="C524" s="58"/>
      <c r="D524" s="68"/>
      <c r="E524" s="69" t="s">
        <v>371</v>
      </c>
      <c r="F524" s="83">
        <f>G524+H524+I524</f>
        <v>0</v>
      </c>
      <c r="G524" s="82"/>
      <c r="H524" s="82"/>
      <c r="I524" s="82"/>
      <c r="K524" s="83">
        <f t="shared" si="202"/>
        <v>0</v>
      </c>
      <c r="L524" s="82"/>
      <c r="M524" s="82"/>
      <c r="N524" s="82"/>
      <c r="O524" s="84"/>
      <c r="P524" s="83">
        <f t="shared" si="203"/>
        <v>0</v>
      </c>
      <c r="Q524" s="82"/>
      <c r="R524" s="82"/>
      <c r="S524" s="82"/>
    </row>
    <row r="525" spans="1:19" ht="12.75" customHeight="1" x14ac:dyDescent="0.25">
      <c r="A525" s="58"/>
      <c r="B525" s="68"/>
      <c r="C525" s="58"/>
      <c r="D525" s="68"/>
      <c r="E525" s="69" t="s">
        <v>372</v>
      </c>
      <c r="F525" s="83">
        <f>G525+H525+I525</f>
        <v>247594941.56</v>
      </c>
      <c r="G525" s="82">
        <v>247594941.56</v>
      </c>
      <c r="H525" s="82">
        <v>0</v>
      </c>
      <c r="I525" s="82">
        <v>0</v>
      </c>
      <c r="K525" s="83">
        <f t="shared" si="202"/>
        <v>214473126.95000002</v>
      </c>
      <c r="L525" s="89">
        <v>214473126.95000002</v>
      </c>
      <c r="M525" s="82">
        <v>0</v>
      </c>
      <c r="N525" s="82">
        <v>0</v>
      </c>
      <c r="O525" s="84"/>
      <c r="P525" s="83">
        <f t="shared" si="203"/>
        <v>183719415.75999999</v>
      </c>
      <c r="Q525" s="89">
        <v>183719415.75999999</v>
      </c>
      <c r="R525" s="82">
        <v>0</v>
      </c>
      <c r="S525" s="82">
        <v>0</v>
      </c>
    </row>
    <row r="526" spans="1:19" ht="12.75" hidden="1" customHeight="1" x14ac:dyDescent="0.25">
      <c r="A526" s="58"/>
      <c r="B526" s="68"/>
      <c r="C526" s="58"/>
      <c r="D526" s="68"/>
      <c r="E526" s="69" t="s">
        <v>373</v>
      </c>
      <c r="F526" s="83">
        <f>G526+H526+I526</f>
        <v>0</v>
      </c>
      <c r="G526" s="82"/>
      <c r="H526" s="82"/>
      <c r="I526" s="82"/>
      <c r="K526" s="83">
        <f t="shared" si="202"/>
        <v>0</v>
      </c>
      <c r="L526" s="82"/>
      <c r="M526" s="82"/>
      <c r="N526" s="82"/>
      <c r="O526" s="84"/>
      <c r="P526" s="83">
        <f t="shared" si="203"/>
        <v>0</v>
      </c>
      <c r="Q526" s="82"/>
      <c r="R526" s="82"/>
      <c r="S526" s="82"/>
    </row>
    <row r="527" spans="1:19" ht="12.75" customHeight="1" x14ac:dyDescent="0.25">
      <c r="A527" s="58"/>
      <c r="B527" s="68"/>
      <c r="C527" s="58"/>
      <c r="D527" s="68"/>
      <c r="E527" s="78" t="s">
        <v>374</v>
      </c>
      <c r="F527" s="90">
        <f t="shared" ref="F527:I527" si="204">SUM(F522:F526)</f>
        <v>247594941.56</v>
      </c>
      <c r="G527" s="90">
        <f t="shared" si="204"/>
        <v>247594941.56</v>
      </c>
      <c r="H527" s="90">
        <f t="shared" si="204"/>
        <v>0</v>
      </c>
      <c r="I527" s="90">
        <f t="shared" si="204"/>
        <v>0</v>
      </c>
      <c r="J527" s="78"/>
      <c r="K527" s="90">
        <f t="shared" ref="K527" si="205">SUM(K522:K526)</f>
        <v>214473126.95000002</v>
      </c>
      <c r="L527" s="90">
        <f t="shared" ref="L527:N527" si="206">SUM(L522:L526)</f>
        <v>214473126.95000002</v>
      </c>
      <c r="M527" s="90">
        <f t="shared" si="206"/>
        <v>0</v>
      </c>
      <c r="N527" s="90">
        <f t="shared" si="206"/>
        <v>0</v>
      </c>
      <c r="O527" s="84"/>
      <c r="P527" s="90">
        <f t="shared" ref="P527:S527" si="207">SUM(P522:P526)</f>
        <v>183719415.75999999</v>
      </c>
      <c r="Q527" s="90">
        <f t="shared" si="207"/>
        <v>183719415.75999999</v>
      </c>
      <c r="R527" s="90">
        <f t="shared" si="207"/>
        <v>0</v>
      </c>
      <c r="S527" s="90">
        <f t="shared" si="207"/>
        <v>0</v>
      </c>
    </row>
    <row r="528" spans="1:19" ht="12.75" customHeight="1" x14ac:dyDescent="0.25">
      <c r="A528" s="58"/>
      <c r="B528" s="68"/>
      <c r="C528" s="58"/>
      <c r="D528" s="77" t="s">
        <v>375</v>
      </c>
      <c r="E528" s="79"/>
      <c r="F528" s="90">
        <f t="shared" ref="F528:I528" si="208">+F520+F527</f>
        <v>247594941.56</v>
      </c>
      <c r="G528" s="90">
        <f t="shared" si="208"/>
        <v>247594941.56</v>
      </c>
      <c r="H528" s="90">
        <f t="shared" si="208"/>
        <v>0</v>
      </c>
      <c r="I528" s="90">
        <f t="shared" si="208"/>
        <v>0</v>
      </c>
      <c r="J528" s="79"/>
      <c r="K528" s="90">
        <f t="shared" ref="K528:N528" si="209">+K520+K527</f>
        <v>214473126.95000002</v>
      </c>
      <c r="L528" s="90">
        <f t="shared" si="209"/>
        <v>214473126.95000002</v>
      </c>
      <c r="M528" s="90">
        <f t="shared" si="209"/>
        <v>0</v>
      </c>
      <c r="N528" s="90">
        <f t="shared" si="209"/>
        <v>0</v>
      </c>
      <c r="O528" s="84"/>
      <c r="P528" s="90">
        <f t="shared" ref="P528:S528" si="210">+P520+P527</f>
        <v>183719415.75999999</v>
      </c>
      <c r="Q528" s="90">
        <f t="shared" si="210"/>
        <v>183719415.75999999</v>
      </c>
      <c r="R528" s="90">
        <f t="shared" si="210"/>
        <v>0</v>
      </c>
      <c r="S528" s="90">
        <f t="shared" si="210"/>
        <v>0</v>
      </c>
    </row>
    <row r="529" spans="1:19" ht="12.75" customHeight="1" x14ac:dyDescent="0.25">
      <c r="A529" s="58"/>
      <c r="B529" s="68"/>
      <c r="C529" s="67" t="s">
        <v>397</v>
      </c>
      <c r="D529" s="68"/>
      <c r="F529" s="83"/>
      <c r="G529" s="83"/>
      <c r="H529" s="83"/>
      <c r="I529" s="83"/>
      <c r="K529" s="83"/>
      <c r="L529" s="83"/>
      <c r="M529" s="83"/>
      <c r="N529" s="83"/>
      <c r="O529" s="84"/>
      <c r="P529" s="83"/>
      <c r="Q529" s="83"/>
      <c r="R529" s="83"/>
      <c r="S529" s="83"/>
    </row>
    <row r="530" spans="1:19" ht="12.75" customHeight="1" x14ac:dyDescent="0.25">
      <c r="A530" s="58"/>
      <c r="B530" s="68"/>
      <c r="C530" s="68"/>
      <c r="D530" s="68" t="s">
        <v>398</v>
      </c>
      <c r="F530" s="83">
        <f t="shared" ref="F530:F535" si="211">G530+H530+I530</f>
        <v>786492.98999999987</v>
      </c>
      <c r="G530" s="82">
        <v>786492.98999999987</v>
      </c>
      <c r="H530" s="82">
        <v>0</v>
      </c>
      <c r="I530" s="82">
        <v>0</v>
      </c>
      <c r="K530" s="83">
        <f>L530+M530+N530</f>
        <v>1209890.25</v>
      </c>
      <c r="L530" s="82">
        <v>1209890.25</v>
      </c>
      <c r="M530" s="82">
        <v>0</v>
      </c>
      <c r="N530" s="82">
        <v>0</v>
      </c>
      <c r="O530" s="84"/>
      <c r="P530" s="83">
        <f t="shared" ref="P530:P534" si="212">Q530+R530+S530</f>
        <v>1713687.72</v>
      </c>
      <c r="Q530" s="82">
        <v>1713687.72</v>
      </c>
      <c r="R530" s="82">
        <v>0</v>
      </c>
      <c r="S530" s="82">
        <v>0</v>
      </c>
    </row>
    <row r="531" spans="1:19" ht="12.75" customHeight="1" x14ac:dyDescent="0.25">
      <c r="A531" s="58"/>
      <c r="B531" s="68"/>
      <c r="C531" s="68"/>
      <c r="D531" s="68" t="s">
        <v>411</v>
      </c>
      <c r="F531" s="83">
        <f t="shared" si="211"/>
        <v>786492.97</v>
      </c>
      <c r="G531" s="82">
        <v>0</v>
      </c>
      <c r="H531" s="82">
        <v>786492.97</v>
      </c>
      <c r="I531" s="82">
        <v>0</v>
      </c>
      <c r="K531" s="83">
        <f>L531+M531+N531</f>
        <v>0</v>
      </c>
      <c r="L531" s="82">
        <v>0</v>
      </c>
      <c r="M531" s="82">
        <v>0</v>
      </c>
      <c r="N531" s="82">
        <v>0</v>
      </c>
      <c r="O531" s="84"/>
      <c r="P531" s="83">
        <f t="shared" si="212"/>
        <v>1788744.9600000002</v>
      </c>
      <c r="Q531" s="82">
        <v>0</v>
      </c>
      <c r="R531" s="82">
        <v>1788744.9600000002</v>
      </c>
      <c r="S531" s="82">
        <v>0</v>
      </c>
    </row>
    <row r="532" spans="1:19" ht="12.75" hidden="1" customHeight="1" x14ac:dyDescent="0.25">
      <c r="A532" s="58"/>
      <c r="B532" s="68"/>
      <c r="C532" s="68"/>
      <c r="D532" s="68" t="s">
        <v>400</v>
      </c>
      <c r="F532" s="83">
        <f t="shared" si="211"/>
        <v>0</v>
      </c>
      <c r="G532" s="82"/>
      <c r="H532" s="82"/>
      <c r="I532" s="82"/>
      <c r="K532" s="83">
        <f t="shared" ref="K532:K535" si="213">L532+M532+N532</f>
        <v>0</v>
      </c>
      <c r="L532" s="82"/>
      <c r="M532" s="82"/>
      <c r="N532" s="82"/>
      <c r="O532" s="84"/>
      <c r="P532" s="83">
        <f t="shared" si="212"/>
        <v>0</v>
      </c>
      <c r="Q532" s="82"/>
      <c r="R532" s="82"/>
      <c r="S532" s="82"/>
    </row>
    <row r="533" spans="1:19" ht="12.75" hidden="1" customHeight="1" x14ac:dyDescent="0.25">
      <c r="A533" s="58"/>
      <c r="B533" s="68"/>
      <c r="C533" s="68"/>
      <c r="D533" s="68" t="s">
        <v>401</v>
      </c>
      <c r="F533" s="83">
        <f t="shared" si="211"/>
        <v>0</v>
      </c>
      <c r="G533" s="82"/>
      <c r="H533" s="82"/>
      <c r="I533" s="82"/>
      <c r="K533" s="83">
        <f t="shared" si="213"/>
        <v>0</v>
      </c>
      <c r="L533" s="82"/>
      <c r="M533" s="82"/>
      <c r="N533" s="82"/>
      <c r="O533" s="84"/>
      <c r="P533" s="83">
        <f t="shared" si="212"/>
        <v>0</v>
      </c>
      <c r="Q533" s="82"/>
      <c r="R533" s="82"/>
      <c r="S533" s="82"/>
    </row>
    <row r="534" spans="1:19" ht="12.75" hidden="1" customHeight="1" x14ac:dyDescent="0.25">
      <c r="A534" s="58"/>
      <c r="B534" s="68"/>
      <c r="C534" s="68"/>
      <c r="D534" s="68" t="s">
        <v>402</v>
      </c>
      <c r="F534" s="83">
        <f t="shared" si="211"/>
        <v>0</v>
      </c>
      <c r="G534" s="82"/>
      <c r="H534" s="82"/>
      <c r="I534" s="82"/>
      <c r="K534" s="83">
        <f t="shared" si="213"/>
        <v>0</v>
      </c>
      <c r="L534" s="82"/>
      <c r="M534" s="82"/>
      <c r="N534" s="82"/>
      <c r="O534" s="84"/>
      <c r="P534" s="83">
        <f t="shared" si="212"/>
        <v>0</v>
      </c>
      <c r="Q534" s="82"/>
      <c r="R534" s="82"/>
      <c r="S534" s="82"/>
    </row>
    <row r="535" spans="1:19" ht="12.75" hidden="1" customHeight="1" x14ac:dyDescent="0.25">
      <c r="A535" s="58"/>
      <c r="B535" s="68"/>
      <c r="C535" s="68"/>
      <c r="D535" s="68" t="s">
        <v>403</v>
      </c>
      <c r="F535" s="83">
        <f t="shared" si="211"/>
        <v>0</v>
      </c>
      <c r="G535" s="82"/>
      <c r="H535" s="82"/>
      <c r="I535" s="82"/>
      <c r="K535" s="83">
        <f t="shared" si="213"/>
        <v>0</v>
      </c>
      <c r="L535" s="82"/>
      <c r="M535" s="82"/>
      <c r="N535" s="82"/>
      <c r="O535" s="84"/>
      <c r="P535" s="83">
        <f>Q535+R535+S535</f>
        <v>0</v>
      </c>
      <c r="Q535" s="82">
        <v>0</v>
      </c>
      <c r="R535" s="82">
        <v>0</v>
      </c>
      <c r="S535" s="82">
        <v>0</v>
      </c>
    </row>
    <row r="536" spans="1:19" ht="12.75" customHeight="1" x14ac:dyDescent="0.25">
      <c r="A536" s="58"/>
      <c r="B536" s="68"/>
      <c r="C536" s="58"/>
      <c r="D536" s="67" t="s">
        <v>404</v>
      </c>
      <c r="F536" s="90">
        <f t="shared" ref="F536:G536" si="214">SUM(F530:F535)</f>
        <v>1572985.96</v>
      </c>
      <c r="G536" s="90">
        <f t="shared" si="214"/>
        <v>786492.98999999987</v>
      </c>
      <c r="H536" s="90">
        <f>SUM(H530:H535)</f>
        <v>786492.97</v>
      </c>
      <c r="I536" s="90">
        <f t="shared" ref="I536" si="215">SUM(I530:I535)</f>
        <v>0</v>
      </c>
      <c r="K536" s="90">
        <f t="shared" ref="K536:N536" si="216">SUM(K530:K535)</f>
        <v>1209890.25</v>
      </c>
      <c r="L536" s="90">
        <f t="shared" si="216"/>
        <v>1209890.25</v>
      </c>
      <c r="M536" s="90">
        <f>SUM(M530:M535)</f>
        <v>0</v>
      </c>
      <c r="N536" s="90">
        <f t="shared" si="216"/>
        <v>0</v>
      </c>
      <c r="O536" s="84"/>
      <c r="P536" s="90">
        <f t="shared" ref="P536" si="217">SUM(P530:P535)</f>
        <v>3502432.68</v>
      </c>
      <c r="Q536" s="90">
        <f t="shared" ref="Q536" si="218">SUM(Q530:Q535)</f>
        <v>1713687.72</v>
      </c>
      <c r="R536" s="90">
        <f>SUM(R530:R535)</f>
        <v>1788744.9600000002</v>
      </c>
      <c r="S536" s="90">
        <f t="shared" ref="S536" si="219">SUM(S530:S535)</f>
        <v>0</v>
      </c>
    </row>
    <row r="537" spans="1:19" ht="12.75" hidden="1" customHeight="1" x14ac:dyDescent="0.25">
      <c r="A537" s="58"/>
      <c r="B537" s="58"/>
      <c r="C537" s="67" t="s">
        <v>405</v>
      </c>
      <c r="D537" s="68"/>
      <c r="F537" s="83"/>
      <c r="G537" s="83"/>
      <c r="H537" s="83"/>
      <c r="I537" s="83"/>
      <c r="K537" s="83"/>
      <c r="L537" s="83"/>
      <c r="M537" s="83"/>
      <c r="N537" s="83"/>
      <c r="O537" s="84"/>
      <c r="P537" s="83"/>
      <c r="Q537" s="83"/>
      <c r="R537" s="83"/>
      <c r="S537" s="83"/>
    </row>
    <row r="538" spans="1:19" ht="12.75" hidden="1" customHeight="1" x14ac:dyDescent="0.25">
      <c r="A538" s="58"/>
      <c r="B538" s="68"/>
      <c r="C538" s="68"/>
      <c r="D538" s="68" t="s">
        <v>406</v>
      </c>
      <c r="F538" s="83">
        <f>G538+H538+I538</f>
        <v>0</v>
      </c>
      <c r="G538" s="82"/>
      <c r="H538" s="82"/>
      <c r="I538" s="82"/>
      <c r="K538" s="83">
        <f t="shared" ref="K538:K539" si="220">L538+M538+N538</f>
        <v>0</v>
      </c>
      <c r="L538" s="82"/>
      <c r="M538" s="82"/>
      <c r="N538" s="82"/>
      <c r="O538" s="84"/>
      <c r="P538" s="83">
        <f t="shared" ref="P538:P539" si="221">Q538+R538+S538</f>
        <v>0</v>
      </c>
      <c r="Q538" s="82"/>
      <c r="R538" s="82"/>
      <c r="S538" s="82"/>
    </row>
    <row r="539" spans="1:19" ht="12.75" hidden="1" customHeight="1" x14ac:dyDescent="0.25">
      <c r="A539" s="58"/>
      <c r="B539" s="68"/>
      <c r="C539" s="68"/>
      <c r="D539" s="68" t="s">
        <v>407</v>
      </c>
      <c r="F539" s="83">
        <f>G539+H539+I539</f>
        <v>0</v>
      </c>
      <c r="G539" s="82"/>
      <c r="H539" s="82"/>
      <c r="I539" s="82"/>
      <c r="K539" s="83">
        <f t="shared" si="220"/>
        <v>0</v>
      </c>
      <c r="L539" s="82"/>
      <c r="M539" s="82"/>
      <c r="N539" s="82"/>
      <c r="O539" s="84"/>
      <c r="P539" s="83">
        <f t="shared" si="221"/>
        <v>0</v>
      </c>
      <c r="Q539" s="82"/>
      <c r="R539" s="82"/>
      <c r="S539" s="82"/>
    </row>
    <row r="540" spans="1:19" ht="12.75" hidden="1" customHeight="1" x14ac:dyDescent="0.25">
      <c r="A540" s="58"/>
      <c r="B540" s="58"/>
      <c r="C540" s="67" t="s">
        <v>408</v>
      </c>
      <c r="D540" s="68"/>
      <c r="F540" s="83"/>
      <c r="G540" s="83"/>
      <c r="H540" s="83"/>
      <c r="I540" s="83"/>
      <c r="K540" s="83"/>
      <c r="L540" s="83"/>
      <c r="M540" s="83"/>
      <c r="N540" s="83"/>
      <c r="O540" s="84"/>
      <c r="P540" s="83"/>
      <c r="Q540" s="83"/>
      <c r="R540" s="83"/>
      <c r="S540" s="83"/>
    </row>
    <row r="541" spans="1:19" ht="12.75" hidden="1" customHeight="1" x14ac:dyDescent="0.25">
      <c r="A541" s="58"/>
      <c r="B541" s="68"/>
      <c r="C541" s="68"/>
      <c r="D541" s="68" t="s">
        <v>408</v>
      </c>
      <c r="F541" s="83">
        <f>G541+H541+I541</f>
        <v>0</v>
      </c>
      <c r="G541" s="82"/>
      <c r="H541" s="82"/>
      <c r="I541" s="82"/>
      <c r="K541" s="83">
        <f>L541+M541+N541</f>
        <v>0</v>
      </c>
      <c r="L541" s="82"/>
      <c r="M541" s="82"/>
      <c r="N541" s="82"/>
      <c r="O541" s="84"/>
      <c r="P541" s="83">
        <f>Q541+R541+S541</f>
        <v>0</v>
      </c>
      <c r="Q541" s="82"/>
      <c r="R541" s="82"/>
      <c r="S541" s="82"/>
    </row>
    <row r="542" spans="1:19" ht="12.75" customHeight="1" x14ac:dyDescent="0.25">
      <c r="A542" s="58"/>
      <c r="B542" s="68"/>
      <c r="C542" s="77" t="s">
        <v>412</v>
      </c>
      <c r="D542" s="68"/>
      <c r="F542" s="83">
        <f t="shared" ref="F542:I542" si="222">+F528+F536+F538+F539+F541</f>
        <v>249167927.52000001</v>
      </c>
      <c r="G542" s="98">
        <f t="shared" si="222"/>
        <v>248381434.55000001</v>
      </c>
      <c r="H542" s="98">
        <f t="shared" si="222"/>
        <v>786492.97</v>
      </c>
      <c r="I542" s="98">
        <f t="shared" si="222"/>
        <v>0</v>
      </c>
      <c r="K542" s="83">
        <f t="shared" ref="K542:N542" si="223">+K528+K536+K538+K539+K541</f>
        <v>215683017.20000002</v>
      </c>
      <c r="L542" s="98">
        <f t="shared" si="223"/>
        <v>215683017.20000002</v>
      </c>
      <c r="M542" s="98">
        <f t="shared" si="223"/>
        <v>0</v>
      </c>
      <c r="N542" s="98">
        <f t="shared" si="223"/>
        <v>0</v>
      </c>
      <c r="O542" s="84"/>
      <c r="P542" s="86">
        <f t="shared" ref="P542:S542" si="224">+P528+P536+P538+P539+P541</f>
        <v>187221848.44</v>
      </c>
      <c r="Q542" s="98">
        <f t="shared" si="224"/>
        <v>185433103.47999999</v>
      </c>
      <c r="R542" s="98">
        <f t="shared" si="224"/>
        <v>1788744.9600000002</v>
      </c>
      <c r="S542" s="98">
        <f t="shared" si="224"/>
        <v>0</v>
      </c>
    </row>
    <row r="543" spans="1:19" ht="12.75" customHeight="1" x14ac:dyDescent="0.25">
      <c r="A543" s="67" t="s">
        <v>413</v>
      </c>
      <c r="B543" s="68"/>
      <c r="C543" s="58"/>
      <c r="D543" s="68"/>
      <c r="F543" s="90">
        <f>+F505+F542</f>
        <v>1156013872.5129998</v>
      </c>
      <c r="G543" s="99">
        <f t="shared" ref="G543:I543" si="225">+G505+G542</f>
        <v>564740959.19300008</v>
      </c>
      <c r="H543" s="99">
        <f t="shared" si="225"/>
        <v>22160340.400000006</v>
      </c>
      <c r="I543" s="99">
        <f t="shared" si="225"/>
        <v>569112572.91999984</v>
      </c>
      <c r="K543" s="90">
        <f>+K505+K542</f>
        <v>819890536.50300002</v>
      </c>
      <c r="L543" s="99">
        <f t="shared" ref="L543:N543" si="226">+L505+L542</f>
        <v>550430326.13300002</v>
      </c>
      <c r="M543" s="99">
        <f t="shared" si="226"/>
        <v>23431304.189999979</v>
      </c>
      <c r="N543" s="99">
        <f t="shared" si="226"/>
        <v>246028906.17999992</v>
      </c>
      <c r="O543" s="84"/>
      <c r="P543" s="90">
        <f t="shared" ref="P543:S543" si="227">+P505+P542</f>
        <v>616079502.83999991</v>
      </c>
      <c r="Q543" s="99">
        <f t="shared" si="227"/>
        <v>439725123.42999995</v>
      </c>
      <c r="R543" s="99">
        <f t="shared" si="227"/>
        <v>19953432.660000004</v>
      </c>
      <c r="S543" s="99">
        <f t="shared" si="227"/>
        <v>156400946.74999997</v>
      </c>
    </row>
    <row r="544" spans="1:19" ht="12.75" customHeight="1" x14ac:dyDescent="0.25">
      <c r="A544" s="67" t="s">
        <v>414</v>
      </c>
      <c r="B544" s="58"/>
      <c r="C544" s="77"/>
      <c r="D544" s="68"/>
      <c r="F544" s="83"/>
      <c r="G544" s="98"/>
      <c r="H544" s="98"/>
      <c r="I544" s="98"/>
      <c r="K544" s="83"/>
      <c r="L544" s="98"/>
      <c r="M544" s="98"/>
      <c r="N544" s="98"/>
      <c r="O544" s="84"/>
      <c r="P544" s="83"/>
      <c r="Q544" s="98"/>
      <c r="R544" s="98"/>
      <c r="S544" s="98"/>
    </row>
    <row r="545" spans="1:19" ht="12.75" customHeight="1" x14ac:dyDescent="0.25">
      <c r="A545" s="58"/>
      <c r="B545" s="67"/>
      <c r="C545" s="68" t="s">
        <v>895</v>
      </c>
      <c r="D545" s="68"/>
      <c r="F545" s="83">
        <f>G545+H545+I545</f>
        <v>3027056416.3899999</v>
      </c>
      <c r="G545" s="82">
        <f>'C'!F27</f>
        <v>2735132463.8199997</v>
      </c>
      <c r="H545" s="82">
        <f>'C'!G27</f>
        <v>159579731.01999998</v>
      </c>
      <c r="I545" s="82">
        <f>'C'!H27</f>
        <v>132344221.54999998</v>
      </c>
      <c r="K545" s="83">
        <f t="shared" ref="K545:K546" si="228">L545+M545+N545</f>
        <v>2949632210.3099999</v>
      </c>
      <c r="L545" s="82">
        <f>+'C'!K27</f>
        <v>2616397961.8099999</v>
      </c>
      <c r="M545" s="82">
        <f>+'C'!L27</f>
        <v>296525959.82999998</v>
      </c>
      <c r="N545" s="82">
        <f>+'C'!M27</f>
        <v>36708288.669999979</v>
      </c>
      <c r="O545" s="84"/>
      <c r="P545" s="83">
        <f t="shared" ref="P545:P546" si="229">Q545+R545+S545</f>
        <v>2774400831.04</v>
      </c>
      <c r="Q545" s="82">
        <v>2464760611.52</v>
      </c>
      <c r="R545" s="82">
        <v>276641278.02999997</v>
      </c>
      <c r="S545" s="82">
        <v>32998941.490000006</v>
      </c>
    </row>
    <row r="546" spans="1:19" ht="12.75" hidden="1" customHeight="1" x14ac:dyDescent="0.25">
      <c r="B546" s="68"/>
      <c r="C546" s="76" t="s">
        <v>415</v>
      </c>
      <c r="F546" s="83">
        <f>G546+H546+I546</f>
        <v>0</v>
      </c>
      <c r="G546" s="82"/>
      <c r="H546" s="82"/>
      <c r="I546" s="82"/>
      <c r="K546" s="83">
        <f t="shared" si="228"/>
        <v>0</v>
      </c>
      <c r="L546" s="82"/>
      <c r="M546" s="82"/>
      <c r="N546" s="82"/>
      <c r="O546" s="84"/>
      <c r="P546" s="83">
        <f t="shared" si="229"/>
        <v>0</v>
      </c>
      <c r="Q546" s="82"/>
      <c r="R546" s="82"/>
      <c r="S546" s="82"/>
    </row>
    <row r="547" spans="1:19" ht="12.75" customHeight="1" x14ac:dyDescent="0.25">
      <c r="B547" s="68"/>
      <c r="C547" s="67" t="s">
        <v>416</v>
      </c>
      <c r="D547" s="68"/>
      <c r="F547" s="90">
        <f t="shared" ref="F547:I547" si="230">F545+F546</f>
        <v>3027056416.3899999</v>
      </c>
      <c r="G547" s="90">
        <f t="shared" si="230"/>
        <v>2735132463.8199997</v>
      </c>
      <c r="H547" s="90">
        <f t="shared" si="230"/>
        <v>159579731.01999998</v>
      </c>
      <c r="I547" s="90">
        <f t="shared" si="230"/>
        <v>132344221.54999998</v>
      </c>
      <c r="K547" s="90">
        <f t="shared" ref="K547:N547" si="231">K545+K546</f>
        <v>2949632210.3099999</v>
      </c>
      <c r="L547" s="90">
        <f t="shared" si="231"/>
        <v>2616397961.8099999</v>
      </c>
      <c r="M547" s="90">
        <f t="shared" si="231"/>
        <v>296525959.82999998</v>
      </c>
      <c r="N547" s="90">
        <f t="shared" si="231"/>
        <v>36708288.669999979</v>
      </c>
      <c r="O547" s="84"/>
      <c r="P547" s="90">
        <f t="shared" ref="P547:S547" si="232">P545+P546</f>
        <v>2774400831.04</v>
      </c>
      <c r="Q547" s="90">
        <f t="shared" si="232"/>
        <v>2464760611.52</v>
      </c>
      <c r="R547" s="90">
        <f t="shared" si="232"/>
        <v>276641278.02999997</v>
      </c>
      <c r="S547" s="90">
        <f t="shared" si="232"/>
        <v>32998941.490000006</v>
      </c>
    </row>
    <row r="548" spans="1:19" ht="16.5" thickBot="1" x14ac:dyDescent="0.3">
      <c r="A548" s="67" t="s">
        <v>417</v>
      </c>
      <c r="B548" s="58"/>
      <c r="C548" s="68"/>
      <c r="D548" s="68"/>
      <c r="F548" s="97">
        <f t="shared" ref="F548:I548" si="233">+F543+F547</f>
        <v>4183070288.9029999</v>
      </c>
      <c r="G548" s="97">
        <f t="shared" si="233"/>
        <v>3299873423.0129995</v>
      </c>
      <c r="H548" s="97">
        <f t="shared" si="233"/>
        <v>181740071.41999999</v>
      </c>
      <c r="I548" s="97">
        <f t="shared" si="233"/>
        <v>701456794.46999979</v>
      </c>
      <c r="K548" s="97">
        <f t="shared" ref="K548:N548" si="234">+K543+K547</f>
        <v>3769522746.8129997</v>
      </c>
      <c r="L548" s="97">
        <f t="shared" si="234"/>
        <v>3166828287.9429998</v>
      </c>
      <c r="M548" s="97">
        <f t="shared" si="234"/>
        <v>319957264.01999998</v>
      </c>
      <c r="N548" s="97">
        <f t="shared" si="234"/>
        <v>282737194.8499999</v>
      </c>
      <c r="O548" s="84"/>
      <c r="P548" s="97">
        <f t="shared" ref="P548:S548" si="235">+P543+P547</f>
        <v>3390480333.8800001</v>
      </c>
      <c r="Q548" s="97">
        <f t="shared" si="235"/>
        <v>2904485734.9499998</v>
      </c>
      <c r="R548" s="97">
        <f t="shared" si="235"/>
        <v>296594710.69</v>
      </c>
      <c r="S548" s="97">
        <f t="shared" si="235"/>
        <v>189399888.23999998</v>
      </c>
    </row>
    <row r="549" spans="1:19" ht="16.5" thickTop="1" x14ac:dyDescent="0.25">
      <c r="K549" s="58">
        <f>K444-K548</f>
        <v>-3.0012130737304688E-3</v>
      </c>
      <c r="P549" s="58">
        <f>P444-P548</f>
        <v>0</v>
      </c>
      <c r="Q549" s="58"/>
      <c r="R549" s="58"/>
      <c r="S549" s="58"/>
    </row>
    <row r="550" spans="1:19" x14ac:dyDescent="0.25">
      <c r="P550" s="58"/>
      <c r="Q550" s="58"/>
      <c r="R550" s="58"/>
      <c r="S550" s="58"/>
    </row>
    <row r="551" spans="1:19" x14ac:dyDescent="0.25">
      <c r="F551" s="488">
        <f>F444-F548</f>
        <v>-2.9993057250976563E-3</v>
      </c>
      <c r="G551" s="488">
        <f>G444-G548</f>
        <v>-2.9993057250976563E-3</v>
      </c>
      <c r="H551" s="488">
        <f t="shared" ref="H551:S551" si="236">H444-H548</f>
        <v>0</v>
      </c>
      <c r="I551" s="488">
        <f t="shared" si="236"/>
        <v>0</v>
      </c>
      <c r="K551" s="488">
        <f t="shared" si="236"/>
        <v>-3.0012130737304688E-3</v>
      </c>
      <c r="L551" s="488">
        <f t="shared" si="236"/>
        <v>-3.0002593994140625E-3</v>
      </c>
      <c r="M551" s="488">
        <f t="shared" si="236"/>
        <v>0</v>
      </c>
      <c r="N551" s="488">
        <f t="shared" si="236"/>
        <v>0</v>
      </c>
      <c r="O551" s="488"/>
      <c r="P551" s="488">
        <f t="shared" si="236"/>
        <v>0</v>
      </c>
      <c r="Q551" s="488">
        <f t="shared" si="236"/>
        <v>0</v>
      </c>
      <c r="R551" s="488">
        <f t="shared" si="236"/>
        <v>0</v>
      </c>
      <c r="S551" s="488">
        <f t="shared" si="236"/>
        <v>0</v>
      </c>
    </row>
    <row r="552" spans="1:19" x14ac:dyDescent="0.25">
      <c r="P552" s="58"/>
      <c r="Q552" s="58"/>
      <c r="R552" s="58"/>
      <c r="S552" s="58"/>
    </row>
    <row r="553" spans="1:19" ht="12.75" hidden="1" customHeight="1" x14ac:dyDescent="0.25">
      <c r="A553" s="612" t="s">
        <v>418</v>
      </c>
      <c r="B553" s="612"/>
      <c r="C553" s="612"/>
      <c r="D553" s="612"/>
      <c r="E553" s="612"/>
      <c r="F553" s="361"/>
      <c r="G553" s="361"/>
      <c r="H553" s="361"/>
      <c r="I553" s="361"/>
      <c r="J553" s="361"/>
      <c r="K553" s="80">
        <f>L553+M553+N553</f>
        <v>0</v>
      </c>
      <c r="L553" s="81"/>
      <c r="M553" s="81"/>
      <c r="N553" s="81"/>
      <c r="P553" s="80">
        <f>Q553+R553+S553</f>
        <v>0</v>
      </c>
      <c r="Q553" s="81"/>
      <c r="R553" s="81"/>
      <c r="S553" s="81"/>
    </row>
    <row r="554" spans="1:19" ht="12.75" hidden="1" customHeight="1" x14ac:dyDescent="0.25">
      <c r="P554" s="58"/>
      <c r="Q554" s="58"/>
      <c r="R554" s="58"/>
      <c r="S554" s="58"/>
    </row>
    <row r="555" spans="1:19" ht="12.75" hidden="1" customHeight="1" x14ac:dyDescent="0.25">
      <c r="E555" s="69" t="s">
        <v>419</v>
      </c>
      <c r="P555" s="58"/>
      <c r="Q555" s="58"/>
      <c r="R555" s="58"/>
      <c r="S555" s="58"/>
    </row>
    <row r="556" spans="1:19" ht="12.75" hidden="1" customHeight="1" x14ac:dyDescent="0.25">
      <c r="E556" s="100" t="s">
        <v>420</v>
      </c>
      <c r="F556" s="100"/>
      <c r="G556" s="100"/>
      <c r="H556" s="100"/>
      <c r="I556" s="100"/>
      <c r="J556" s="100"/>
      <c r="K556" s="68"/>
      <c r="L556" s="68"/>
      <c r="M556" s="72"/>
      <c r="N556" s="68"/>
      <c r="P556" s="68"/>
      <c r="Q556" s="68"/>
      <c r="R556" s="72"/>
      <c r="S556" s="68"/>
    </row>
    <row r="557" spans="1:19" ht="12.75" hidden="1" customHeight="1" x14ac:dyDescent="0.25">
      <c r="E557" s="100" t="s">
        <v>421</v>
      </c>
      <c r="F557" s="100"/>
      <c r="G557" s="100"/>
      <c r="H557" s="100"/>
      <c r="I557" s="100"/>
      <c r="J557" s="100"/>
      <c r="P557" s="58"/>
      <c r="Q557" s="58"/>
      <c r="R557" s="58"/>
      <c r="S557" s="58"/>
    </row>
    <row r="558" spans="1:19" x14ac:dyDescent="0.25">
      <c r="P558" s="58"/>
      <c r="Q558" s="58"/>
      <c r="R558" s="58"/>
      <c r="S558" s="58"/>
    </row>
    <row r="559" spans="1:19" x14ac:dyDescent="0.25">
      <c r="P559" s="58"/>
      <c r="Q559" s="58"/>
      <c r="R559" s="58"/>
      <c r="S559" s="58"/>
    </row>
    <row r="560" spans="1:19" x14ac:dyDescent="0.25">
      <c r="K560" s="58">
        <f>K444-K548</f>
        <v>-3.0012130737304688E-3</v>
      </c>
      <c r="P560" s="58"/>
      <c r="Q560" s="58"/>
      <c r="R560" s="58"/>
      <c r="S560" s="58"/>
    </row>
    <row r="561" spans="16:19" x14ac:dyDescent="0.25">
      <c r="P561" s="58"/>
      <c r="Q561" s="58"/>
      <c r="R561" s="58"/>
      <c r="S561" s="58"/>
    </row>
  </sheetData>
  <sheetProtection algorithmName="SHA-512" hashValue="eW1ANUUqiunomy50qubUettyXmQEc7ToepCLi1y7hXjNhdgTJ4wJfLzSd7DcGYd67auRcKDqH5C0ljJ8edmlGg==" saltValue="t2UNGCcluxwMwVKQB6ZS4g==" spinCount="100000" sheet="1" objects="1" scenarios="1" selectLockedCells="1" selectUnlockedCells="1"/>
  <mergeCells count="17">
    <mergeCell ref="A5:S5"/>
    <mergeCell ref="A1:S1"/>
    <mergeCell ref="A2:S2"/>
    <mergeCell ref="A3:S3"/>
    <mergeCell ref="A4:S4"/>
    <mergeCell ref="D296:E296"/>
    <mergeCell ref="D370:E370"/>
    <mergeCell ref="D407:E407"/>
    <mergeCell ref="D419:E419"/>
    <mergeCell ref="A553:E553"/>
    <mergeCell ref="D255:E255"/>
    <mergeCell ref="A7:E8"/>
    <mergeCell ref="K7:N7"/>
    <mergeCell ref="P7:S7"/>
    <mergeCell ref="D115:E115"/>
    <mergeCell ref="D118:E118"/>
    <mergeCell ref="F7:I7"/>
  </mergeCells>
  <pageMargins left="0.98425196850393704" right="0.98425196850393704" top="1.49606299212598" bottom="0.98425196850393704" header="0.98425196850393704" footer="0.511811023622047"/>
  <pageSetup scale="54" firstPageNumber="211" fitToHeight="0" orientation="landscape" useFirstPageNumber="1" horizontalDpi="360" verticalDpi="360" r:id="rId1"/>
  <headerFooter>
    <oddHeader xml:space="preserve">&amp;R&amp;"Times New Roman,Regular"&amp;12Annex A
AAR Page 4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G345"/>
  <sheetViews>
    <sheetView zoomScaleNormal="100" workbookViewId="0">
      <selection sqref="A1:S1"/>
    </sheetView>
  </sheetViews>
  <sheetFormatPr defaultColWidth="9.140625" defaultRowHeight="12.75" x14ac:dyDescent="0.2"/>
  <cols>
    <col min="1" max="1" width="3" style="1" customWidth="1"/>
    <col min="2" max="2" width="2.85546875" style="1" customWidth="1"/>
    <col min="3" max="3" width="3" style="1" customWidth="1"/>
    <col min="4" max="4" width="7.85546875" style="1" customWidth="1"/>
    <col min="5" max="5" width="63.42578125" style="1" customWidth="1"/>
    <col min="6" max="6" width="20.7109375" style="1" customWidth="1"/>
    <col min="7" max="7" width="20.7109375" style="514" customWidth="1"/>
    <col min="8" max="9" width="20.7109375" style="1" customWidth="1"/>
    <col min="10" max="10" width="2.5703125" style="1" customWidth="1"/>
    <col min="11" max="12" width="25.85546875" style="1" bestFit="1" customWidth="1"/>
    <col min="13" max="13" width="22" style="1" bestFit="1" customWidth="1"/>
    <col min="14" max="14" width="25.140625" style="1" bestFit="1" customWidth="1"/>
    <col min="15" max="15" width="1.5703125" style="11" customWidth="1"/>
    <col min="16" max="16" width="24.85546875" style="1" hidden="1" customWidth="1"/>
    <col min="17" max="17" width="24.42578125" style="1" hidden="1" customWidth="1"/>
    <col min="18" max="18" width="22" style="1" hidden="1" customWidth="1"/>
    <col min="19" max="19" width="22.28515625" style="1" hidden="1" customWidth="1"/>
    <col min="20" max="20" width="17.85546875" style="11" customWidth="1"/>
    <col min="21" max="21" width="19.7109375" style="11" hidden="1" customWidth="1"/>
    <col min="22" max="22" width="19.140625" style="11" customWidth="1"/>
    <col min="23" max="23" width="21" style="11" customWidth="1"/>
    <col min="24" max="24" width="17.5703125" style="11" customWidth="1"/>
    <col min="25" max="26" width="19.5703125" style="11" customWidth="1"/>
    <col min="27" max="27" width="21" style="11" customWidth="1"/>
    <col min="28" max="28" width="17.5703125" style="11" customWidth="1"/>
    <col min="29" max="29" width="19.7109375" style="11" customWidth="1"/>
    <col min="30" max="54" width="17.42578125" style="11" customWidth="1"/>
    <col min="55" max="68" width="9.140625" style="11" customWidth="1"/>
    <col min="69" max="69" width="16.85546875" style="11" customWidth="1"/>
    <col min="70" max="70" width="18.28515625" style="11" customWidth="1"/>
    <col min="71" max="71" width="19.140625" style="11" customWidth="1"/>
    <col min="72" max="72" width="21" style="11" customWidth="1"/>
    <col min="73" max="73" width="17.5703125" style="11" customWidth="1"/>
    <col min="74" max="74" width="19.7109375" style="11" customWidth="1"/>
    <col min="75" max="75" width="19.140625" style="11" customWidth="1"/>
    <col min="76" max="76" width="21.85546875" style="11" customWidth="1"/>
    <col min="77" max="77" width="17.85546875" style="11" customWidth="1"/>
    <col min="78" max="78" width="19.7109375" style="11" customWidth="1"/>
    <col min="79" max="79" width="19.140625" style="11" customWidth="1"/>
    <col min="80" max="80" width="21" style="11" customWidth="1"/>
    <col min="81" max="81" width="17.5703125" style="11" customWidth="1"/>
    <col min="82" max="83" width="19.5703125" style="11" customWidth="1"/>
    <col min="84" max="84" width="21" style="11" customWidth="1"/>
    <col min="85" max="85" width="17.5703125" style="11" customWidth="1"/>
    <col min="86" max="86" width="19.7109375" style="11" customWidth="1"/>
    <col min="87" max="112" width="17.42578125" style="11" customWidth="1"/>
    <col min="113" max="16384" width="9.140625" style="11"/>
  </cols>
  <sheetData>
    <row r="1" spans="1:33" ht="18.75" customHeight="1" x14ac:dyDescent="0.3">
      <c r="A1" s="614" t="s">
        <v>891</v>
      </c>
      <c r="B1" s="614"/>
      <c r="C1" s="614"/>
      <c r="D1" s="614"/>
      <c r="E1" s="614"/>
      <c r="F1" s="614"/>
      <c r="G1" s="614"/>
      <c r="H1" s="614"/>
      <c r="I1" s="614"/>
      <c r="J1" s="614"/>
      <c r="K1" s="614"/>
      <c r="L1" s="614"/>
      <c r="M1" s="614"/>
      <c r="N1" s="614"/>
      <c r="O1" s="614"/>
      <c r="P1" s="614"/>
      <c r="Q1" s="614"/>
      <c r="R1" s="614"/>
      <c r="S1" s="614"/>
    </row>
    <row r="2" spans="1:33" ht="18.75" customHeight="1" x14ac:dyDescent="0.2">
      <c r="A2" s="615" t="s">
        <v>897</v>
      </c>
      <c r="B2" s="615"/>
      <c r="C2" s="615"/>
      <c r="D2" s="615"/>
      <c r="E2" s="615"/>
      <c r="F2" s="615"/>
      <c r="G2" s="615"/>
      <c r="H2" s="615"/>
      <c r="I2" s="615"/>
      <c r="J2" s="615"/>
      <c r="K2" s="615"/>
      <c r="L2" s="615"/>
      <c r="M2" s="615"/>
      <c r="N2" s="615"/>
      <c r="O2" s="615"/>
      <c r="P2" s="615"/>
      <c r="Q2" s="615"/>
      <c r="R2" s="615"/>
      <c r="S2" s="615"/>
    </row>
    <row r="3" spans="1:33" ht="18.75" customHeight="1" x14ac:dyDescent="0.2">
      <c r="A3" s="615" t="s">
        <v>1369</v>
      </c>
      <c r="B3" s="615"/>
      <c r="C3" s="615"/>
      <c r="D3" s="615"/>
      <c r="E3" s="615"/>
      <c r="F3" s="615"/>
      <c r="G3" s="615"/>
      <c r="H3" s="615"/>
      <c r="I3" s="615"/>
      <c r="J3" s="615"/>
      <c r="K3" s="615"/>
      <c r="L3" s="615"/>
      <c r="M3" s="615"/>
      <c r="N3" s="615"/>
      <c r="O3" s="615"/>
      <c r="P3" s="615"/>
      <c r="Q3" s="615"/>
      <c r="R3" s="615"/>
      <c r="S3" s="615"/>
    </row>
    <row r="4" spans="1:33" s="43" customFormat="1" ht="18.75" customHeight="1" x14ac:dyDescent="0.2">
      <c r="A4" s="616" t="s">
        <v>1370</v>
      </c>
      <c r="B4" s="616"/>
      <c r="C4" s="616"/>
      <c r="D4" s="616"/>
      <c r="E4" s="616"/>
      <c r="F4" s="616"/>
      <c r="G4" s="616"/>
      <c r="H4" s="616"/>
      <c r="I4" s="616"/>
      <c r="J4" s="616"/>
      <c r="K4" s="616"/>
      <c r="L4" s="616"/>
      <c r="M4" s="616"/>
      <c r="N4" s="616"/>
      <c r="O4" s="616"/>
      <c r="P4" s="616"/>
      <c r="Q4" s="616"/>
      <c r="R4" s="616"/>
      <c r="S4" s="616"/>
      <c r="T4" s="42"/>
      <c r="U4" s="42"/>
      <c r="V4" s="42"/>
      <c r="W4" s="42"/>
      <c r="X4" s="42"/>
      <c r="Y4" s="42"/>
      <c r="Z4" s="42"/>
      <c r="AA4" s="42"/>
      <c r="AB4" s="42"/>
      <c r="AC4" s="42"/>
      <c r="AD4" s="42"/>
      <c r="AE4" s="42"/>
      <c r="AF4" s="42"/>
      <c r="AG4" s="42"/>
    </row>
    <row r="5" spans="1:33" s="43" customFormat="1" ht="18.75" customHeight="1" x14ac:dyDescent="0.2">
      <c r="A5" s="613" t="s">
        <v>890</v>
      </c>
      <c r="B5" s="613"/>
      <c r="C5" s="613"/>
      <c r="D5" s="613"/>
      <c r="E5" s="613"/>
      <c r="F5" s="613"/>
      <c r="G5" s="613"/>
      <c r="H5" s="613"/>
      <c r="I5" s="613"/>
      <c r="J5" s="613"/>
      <c r="K5" s="613"/>
      <c r="L5" s="613"/>
      <c r="M5" s="613"/>
      <c r="N5" s="613"/>
      <c r="O5" s="613"/>
      <c r="P5" s="613"/>
      <c r="Q5" s="613"/>
      <c r="R5" s="613"/>
      <c r="S5" s="613"/>
      <c r="T5" s="42"/>
      <c r="U5" s="42"/>
      <c r="V5" s="42"/>
      <c r="W5" s="42"/>
      <c r="X5" s="42"/>
      <c r="Y5" s="42"/>
      <c r="Z5" s="42"/>
      <c r="AA5" s="42"/>
      <c r="AB5" s="42"/>
      <c r="AC5" s="42"/>
      <c r="AD5" s="42"/>
      <c r="AE5" s="42"/>
      <c r="AF5" s="42"/>
      <c r="AG5" s="42"/>
    </row>
    <row r="6" spans="1:33" s="43" customFormat="1" ht="12.75" customHeight="1" x14ac:dyDescent="0.2">
      <c r="A6" s="39"/>
      <c r="B6" s="40"/>
      <c r="C6" s="41"/>
      <c r="D6" s="41"/>
      <c r="E6" s="41"/>
      <c r="F6" s="41"/>
      <c r="G6" s="492"/>
      <c r="H6" s="41"/>
      <c r="I6" s="41"/>
      <c r="J6" s="41"/>
      <c r="K6" s="226"/>
      <c r="L6" s="53"/>
      <c r="M6" s="53"/>
      <c r="N6" s="53"/>
      <c r="O6" s="42"/>
      <c r="P6" s="53"/>
      <c r="Q6" s="53"/>
      <c r="R6" s="53"/>
      <c r="S6" s="53"/>
      <c r="T6" s="42"/>
      <c r="U6" s="42"/>
      <c r="V6" s="42"/>
      <c r="W6" s="42"/>
      <c r="X6" s="42"/>
      <c r="Y6" s="42"/>
      <c r="Z6" s="42"/>
      <c r="AA6" s="42"/>
      <c r="AB6" s="42"/>
      <c r="AC6" s="42"/>
      <c r="AD6" s="42"/>
      <c r="AE6" s="42"/>
      <c r="AF6" s="42"/>
      <c r="AG6" s="42"/>
    </row>
    <row r="7" spans="1:33" ht="12.75" customHeight="1" x14ac:dyDescent="0.25">
      <c r="A7" s="619" t="s">
        <v>6</v>
      </c>
      <c r="B7" s="619"/>
      <c r="C7" s="619"/>
      <c r="D7" s="619"/>
      <c r="E7" s="619"/>
      <c r="F7" s="609">
        <v>2021</v>
      </c>
      <c r="G7" s="609"/>
      <c r="H7" s="609"/>
      <c r="I7" s="609"/>
      <c r="J7" s="478"/>
      <c r="K7" s="609">
        <v>2020</v>
      </c>
      <c r="L7" s="609"/>
      <c r="M7" s="609"/>
      <c r="N7" s="609"/>
      <c r="O7" s="101"/>
      <c r="P7" s="609">
        <v>2019</v>
      </c>
      <c r="Q7" s="609"/>
      <c r="R7" s="609"/>
      <c r="S7" s="609"/>
      <c r="T7" s="44"/>
      <c r="U7" s="44"/>
      <c r="V7" s="44"/>
      <c r="W7" s="44"/>
      <c r="X7" s="44"/>
      <c r="Y7" s="44"/>
      <c r="Z7" s="44"/>
      <c r="AA7" s="44"/>
      <c r="AB7" s="44"/>
      <c r="AC7" s="44"/>
      <c r="AD7" s="44"/>
      <c r="AE7" s="44"/>
      <c r="AF7" s="44"/>
      <c r="AG7" s="44"/>
    </row>
    <row r="8" spans="1:33" ht="12.75" customHeight="1" x14ac:dyDescent="0.25">
      <c r="A8" s="619"/>
      <c r="B8" s="619"/>
      <c r="C8" s="619"/>
      <c r="D8" s="619"/>
      <c r="E8" s="619"/>
      <c r="F8" s="102" t="s">
        <v>1</v>
      </c>
      <c r="G8" s="493" t="s">
        <v>7</v>
      </c>
      <c r="H8" s="103" t="s">
        <v>8</v>
      </c>
      <c r="I8" s="103" t="s">
        <v>9</v>
      </c>
      <c r="J8" s="478"/>
      <c r="K8" s="102" t="s">
        <v>1</v>
      </c>
      <c r="L8" s="103" t="s">
        <v>7</v>
      </c>
      <c r="M8" s="103" t="s">
        <v>8</v>
      </c>
      <c r="N8" s="103" t="s">
        <v>9</v>
      </c>
      <c r="O8" s="71"/>
      <c r="P8" s="102" t="s">
        <v>1</v>
      </c>
      <c r="Q8" s="103" t="s">
        <v>7</v>
      </c>
      <c r="R8" s="103" t="s">
        <v>8</v>
      </c>
      <c r="S8" s="103" t="s">
        <v>9</v>
      </c>
    </row>
    <row r="9" spans="1:33" s="45" customFormat="1" ht="12.75" customHeight="1" x14ac:dyDescent="0.25">
      <c r="A9" s="104"/>
      <c r="B9" s="104"/>
      <c r="C9" s="104"/>
      <c r="D9" s="104"/>
      <c r="E9" s="104"/>
      <c r="F9" s="105"/>
      <c r="G9" s="494"/>
      <c r="H9" s="106"/>
      <c r="I9" s="106"/>
      <c r="J9" s="104"/>
      <c r="K9" s="105"/>
      <c r="L9" s="106"/>
      <c r="M9" s="106"/>
      <c r="N9" s="106"/>
      <c r="O9" s="107"/>
      <c r="P9" s="105"/>
      <c r="Q9" s="106"/>
      <c r="R9" s="106"/>
      <c r="S9" s="106"/>
    </row>
    <row r="10" spans="1:33" ht="12.75" customHeight="1" x14ac:dyDescent="0.25">
      <c r="A10" s="108" t="s">
        <v>422</v>
      </c>
      <c r="B10" s="104"/>
      <c r="C10" s="104"/>
      <c r="D10" s="104"/>
      <c r="E10" s="104"/>
      <c r="F10" s="109"/>
      <c r="G10" s="495"/>
      <c r="H10" s="23"/>
      <c r="I10" s="23"/>
      <c r="J10" s="104"/>
      <c r="K10" s="109"/>
      <c r="L10" s="23"/>
      <c r="M10" s="23"/>
      <c r="N10" s="23"/>
      <c r="O10" s="71"/>
      <c r="P10" s="109"/>
      <c r="Q10" s="23"/>
      <c r="R10" s="23"/>
      <c r="S10" s="23"/>
    </row>
    <row r="11" spans="1:33" ht="15.75" x14ac:dyDescent="0.25">
      <c r="A11" s="26"/>
      <c r="B11" s="108" t="s">
        <v>423</v>
      </c>
      <c r="C11" s="110"/>
      <c r="D11" s="110"/>
      <c r="E11" s="110"/>
      <c r="F11" s="109"/>
      <c r="G11" s="495"/>
      <c r="H11" s="23"/>
      <c r="I11" s="23"/>
      <c r="J11" s="110"/>
      <c r="K11" s="109"/>
      <c r="L11" s="23"/>
      <c r="M11" s="23"/>
      <c r="N11" s="23"/>
      <c r="O11" s="71"/>
      <c r="P11" s="109"/>
      <c r="Q11" s="23"/>
      <c r="R11" s="23"/>
      <c r="S11" s="23"/>
    </row>
    <row r="12" spans="1:33" ht="15.75" x14ac:dyDescent="0.25">
      <c r="A12" s="110"/>
      <c r="B12" s="110"/>
      <c r="C12" s="108" t="s">
        <v>424</v>
      </c>
      <c r="D12" s="110"/>
      <c r="E12" s="26"/>
      <c r="F12" s="121"/>
      <c r="G12" s="496"/>
      <c r="H12" s="122"/>
      <c r="I12" s="122"/>
      <c r="J12" s="26"/>
      <c r="K12" s="121"/>
      <c r="L12" s="122"/>
      <c r="M12" s="122"/>
      <c r="N12" s="122"/>
      <c r="O12" s="123"/>
      <c r="P12" s="121"/>
      <c r="Q12" s="122"/>
      <c r="R12" s="122"/>
      <c r="S12" s="122"/>
    </row>
    <row r="13" spans="1:33" ht="15.75" x14ac:dyDescent="0.25">
      <c r="A13" s="111"/>
      <c r="B13" s="111"/>
      <c r="C13" s="111"/>
      <c r="D13" s="111" t="s">
        <v>425</v>
      </c>
      <c r="E13" s="23"/>
      <c r="F13" s="124">
        <f>SUM(G13:I13)</f>
        <v>245025</v>
      </c>
      <c r="G13" s="497">
        <v>245025</v>
      </c>
      <c r="H13" s="497">
        <v>0</v>
      </c>
      <c r="I13" s="497">
        <v>0</v>
      </c>
      <c r="J13" s="23"/>
      <c r="K13" s="124">
        <f>SUM(L13:N13)</f>
        <v>277456.5</v>
      </c>
      <c r="L13" s="489">
        <v>277456.5</v>
      </c>
      <c r="M13" s="125">
        <v>0</v>
      </c>
      <c r="N13" s="125">
        <v>0</v>
      </c>
      <c r="O13" s="126"/>
      <c r="P13" s="124">
        <f>SUM(Q13:S13)</f>
        <v>255920</v>
      </c>
      <c r="Q13" s="125">
        <v>255920</v>
      </c>
      <c r="R13" s="125">
        <v>0</v>
      </c>
      <c r="S13" s="125">
        <v>0</v>
      </c>
      <c r="T13" s="183"/>
      <c r="U13" s="183"/>
      <c r="V13" s="183"/>
    </row>
    <row r="14" spans="1:33" ht="15.75" x14ac:dyDescent="0.25">
      <c r="A14" s="111"/>
      <c r="B14" s="111"/>
      <c r="C14" s="111"/>
      <c r="D14" s="111" t="s">
        <v>426</v>
      </c>
      <c r="E14" s="23"/>
      <c r="F14" s="124">
        <f>SUM(G14:I14)</f>
        <v>5212532.57</v>
      </c>
      <c r="G14" s="497">
        <v>5212532.57</v>
      </c>
      <c r="H14" s="497">
        <v>0</v>
      </c>
      <c r="I14" s="497">
        <v>0</v>
      </c>
      <c r="J14" s="23"/>
      <c r="K14" s="124">
        <f>SUM(L14:N14)</f>
        <v>5438433.0600000005</v>
      </c>
      <c r="L14" s="227">
        <v>5438433.0600000005</v>
      </c>
      <c r="M14" s="125">
        <v>0</v>
      </c>
      <c r="N14" s="125">
        <v>0</v>
      </c>
      <c r="O14" s="126"/>
      <c r="P14" s="124">
        <f>SUM(Q14:S14)</f>
        <v>4715687.42</v>
      </c>
      <c r="Q14" s="127">
        <v>4715687.42</v>
      </c>
      <c r="R14" s="125">
        <v>0</v>
      </c>
      <c r="S14" s="125">
        <v>0</v>
      </c>
      <c r="T14" s="183"/>
      <c r="U14" s="183"/>
      <c r="V14" s="183"/>
    </row>
    <row r="15" spans="1:33" ht="15.75" x14ac:dyDescent="0.25">
      <c r="A15" s="111"/>
      <c r="B15" s="111"/>
      <c r="C15" s="108" t="s">
        <v>427</v>
      </c>
      <c r="D15" s="111"/>
      <c r="E15" s="23"/>
      <c r="F15" s="124"/>
      <c r="G15" s="497"/>
      <c r="H15" s="497"/>
      <c r="I15" s="497"/>
      <c r="J15" s="23"/>
      <c r="K15" s="124"/>
      <c r="L15" s="126"/>
      <c r="M15" s="126"/>
      <c r="N15" s="126"/>
      <c r="O15" s="126"/>
      <c r="P15" s="124"/>
      <c r="Q15" s="126"/>
      <c r="R15" s="126"/>
      <c r="S15" s="126"/>
      <c r="T15" s="183"/>
      <c r="U15" s="183"/>
      <c r="V15" s="183"/>
    </row>
    <row r="16" spans="1:33" ht="15.75" x14ac:dyDescent="0.25">
      <c r="A16" s="111"/>
      <c r="B16" s="111"/>
      <c r="C16" s="111"/>
      <c r="D16" s="111" t="s">
        <v>428</v>
      </c>
      <c r="E16" s="23"/>
      <c r="F16" s="124">
        <f t="shared" ref="F16:F22" si="0">SUM(G16:I16)</f>
        <v>44414878.579999998</v>
      </c>
      <c r="G16" s="497">
        <v>44414878.579999998</v>
      </c>
      <c r="H16" s="497">
        <v>0</v>
      </c>
      <c r="I16" s="497">
        <v>0</v>
      </c>
      <c r="J16" s="23"/>
      <c r="K16" s="124">
        <f t="shared" ref="K16:K22" si="1">SUM(L16:N16)</f>
        <v>40528681.830000006</v>
      </c>
      <c r="L16" s="127">
        <v>40528681.830000006</v>
      </c>
      <c r="M16" s="125">
        <v>0</v>
      </c>
      <c r="N16" s="125">
        <v>0</v>
      </c>
      <c r="O16" s="126"/>
      <c r="P16" s="124">
        <f t="shared" ref="P16:P22" si="2">SUM(Q16:S16)</f>
        <v>40306696.549999997</v>
      </c>
      <c r="Q16" s="127">
        <v>40306696.549999997</v>
      </c>
      <c r="R16" s="125">
        <v>0</v>
      </c>
      <c r="S16" s="125">
        <v>0</v>
      </c>
      <c r="T16" s="183"/>
      <c r="U16" s="183"/>
      <c r="V16" s="183"/>
    </row>
    <row r="17" spans="1:33" ht="15.75" x14ac:dyDescent="0.25">
      <c r="A17" s="111"/>
      <c r="B17" s="111"/>
      <c r="C17" s="111"/>
      <c r="D17" s="111" t="s">
        <v>429</v>
      </c>
      <c r="E17" s="23"/>
      <c r="F17" s="124">
        <f t="shared" si="0"/>
        <v>-3152274.0999999996</v>
      </c>
      <c r="G17" s="497">
        <v>-3152274.0999999996</v>
      </c>
      <c r="H17" s="497">
        <v>0</v>
      </c>
      <c r="I17" s="497">
        <v>0</v>
      </c>
      <c r="J17" s="23"/>
      <c r="K17" s="124">
        <f t="shared" si="1"/>
        <v>-2664119.39</v>
      </c>
      <c r="L17" s="127">
        <v>-2664119.39</v>
      </c>
      <c r="M17" s="125">
        <v>0</v>
      </c>
      <c r="N17" s="125">
        <v>0</v>
      </c>
      <c r="O17" s="126"/>
      <c r="P17" s="124">
        <f t="shared" si="2"/>
        <v>-2712968.41</v>
      </c>
      <c r="Q17" s="127">
        <v>-2712968.41</v>
      </c>
      <c r="R17" s="125">
        <v>0</v>
      </c>
      <c r="S17" s="125">
        <v>0</v>
      </c>
      <c r="T17" s="183"/>
      <c r="U17" s="183"/>
      <c r="V17" s="183"/>
    </row>
    <row r="18" spans="1:33" ht="15.75" x14ac:dyDescent="0.25">
      <c r="A18" s="111"/>
      <c r="B18" s="111"/>
      <c r="C18" s="111"/>
      <c r="D18" s="111" t="s">
        <v>430</v>
      </c>
      <c r="E18" s="23"/>
      <c r="F18" s="124">
        <f t="shared" si="0"/>
        <v>63354364.729999997</v>
      </c>
      <c r="G18" s="497">
        <v>0</v>
      </c>
      <c r="H18" s="491">
        <v>63354364.729999997</v>
      </c>
      <c r="I18" s="491">
        <v>0</v>
      </c>
      <c r="J18" s="23"/>
      <c r="K18" s="124">
        <f t="shared" si="1"/>
        <v>59453586.489999995</v>
      </c>
      <c r="L18" s="125">
        <v>0</v>
      </c>
      <c r="M18" s="125">
        <v>59453586.489999995</v>
      </c>
      <c r="N18" s="125">
        <v>0</v>
      </c>
      <c r="O18" s="126"/>
      <c r="P18" s="124">
        <f t="shared" si="2"/>
        <v>57578152.529999994</v>
      </c>
      <c r="Q18" s="125">
        <v>0</v>
      </c>
      <c r="R18" s="125">
        <v>57578152.529999994</v>
      </c>
      <c r="S18" s="125">
        <v>0</v>
      </c>
      <c r="T18" s="183"/>
      <c r="U18" s="183"/>
      <c r="V18" s="183"/>
    </row>
    <row r="19" spans="1:33" ht="15.75" x14ac:dyDescent="0.25">
      <c r="A19" s="111"/>
      <c r="B19" s="111"/>
      <c r="C19" s="111"/>
      <c r="D19" s="111" t="s">
        <v>431</v>
      </c>
      <c r="E19" s="23"/>
      <c r="F19" s="124">
        <f t="shared" si="0"/>
        <v>-4591616.0200000005</v>
      </c>
      <c r="G19" s="497">
        <v>0</v>
      </c>
      <c r="H19" s="491">
        <v>-4591616.0200000005</v>
      </c>
      <c r="I19" s="491">
        <v>0</v>
      </c>
      <c r="J19" s="23"/>
      <c r="K19" s="124">
        <f t="shared" si="1"/>
        <v>-3930162.76</v>
      </c>
      <c r="L19" s="125">
        <v>0</v>
      </c>
      <c r="M19" s="125">
        <v>-3930162.76</v>
      </c>
      <c r="N19" s="125">
        <v>0</v>
      </c>
      <c r="O19" s="126"/>
      <c r="P19" s="124">
        <f t="shared" si="2"/>
        <v>-3875729.78</v>
      </c>
      <c r="Q19" s="125">
        <v>0</v>
      </c>
      <c r="R19" s="125">
        <v>-3875729.78</v>
      </c>
      <c r="S19" s="125">
        <v>0</v>
      </c>
      <c r="T19" s="183"/>
      <c r="U19" s="183"/>
      <c r="V19" s="183"/>
    </row>
    <row r="20" spans="1:33" ht="15.75" hidden="1" x14ac:dyDescent="0.25">
      <c r="A20" s="111"/>
      <c r="B20" s="111"/>
      <c r="C20" s="111"/>
      <c r="D20" s="111" t="s">
        <v>432</v>
      </c>
      <c r="E20" s="23"/>
      <c r="F20" s="124">
        <f t="shared" si="0"/>
        <v>0</v>
      </c>
      <c r="G20" s="498"/>
      <c r="H20" s="125"/>
      <c r="I20" s="125"/>
      <c r="J20" s="23"/>
      <c r="K20" s="124">
        <f t="shared" si="1"/>
        <v>1995681.8199999998</v>
      </c>
      <c r="L20" s="127">
        <v>1995681.8199999998</v>
      </c>
      <c r="M20" s="125"/>
      <c r="N20" s="125"/>
      <c r="O20" s="126"/>
      <c r="P20" s="124">
        <f t="shared" si="2"/>
        <v>0</v>
      </c>
      <c r="Q20" s="127"/>
      <c r="R20" s="125"/>
      <c r="S20" s="125"/>
      <c r="T20" s="183"/>
      <c r="U20" s="183"/>
      <c r="V20" s="183"/>
    </row>
    <row r="21" spans="1:33" ht="15.75" hidden="1" x14ac:dyDescent="0.25">
      <c r="A21" s="111"/>
      <c r="B21" s="111"/>
      <c r="C21" s="111"/>
      <c r="D21" s="111" t="s">
        <v>433</v>
      </c>
      <c r="E21" s="23"/>
      <c r="F21" s="124">
        <f t="shared" si="0"/>
        <v>0</v>
      </c>
      <c r="G21" s="498"/>
      <c r="H21" s="125"/>
      <c r="I21" s="125"/>
      <c r="J21" s="23"/>
      <c r="K21" s="124">
        <f t="shared" si="1"/>
        <v>0</v>
      </c>
      <c r="L21" s="127"/>
      <c r="M21" s="125"/>
      <c r="N21" s="125"/>
      <c r="O21" s="126"/>
      <c r="P21" s="124">
        <f t="shared" si="2"/>
        <v>0</v>
      </c>
      <c r="Q21" s="127"/>
      <c r="R21" s="125"/>
      <c r="S21" s="125"/>
      <c r="T21" s="183"/>
      <c r="U21" s="183"/>
      <c r="V21" s="183"/>
    </row>
    <row r="22" spans="1:33" ht="15.75" x14ac:dyDescent="0.25">
      <c r="A22" s="111"/>
      <c r="B22" s="111"/>
      <c r="C22" s="111"/>
      <c r="D22" s="111" t="s">
        <v>434</v>
      </c>
      <c r="E22" s="23"/>
      <c r="F22" s="124">
        <f t="shared" si="0"/>
        <v>4688711.5499999989</v>
      </c>
      <c r="G22" s="497">
        <v>4688711.5499999989</v>
      </c>
      <c r="H22" s="491">
        <v>0</v>
      </c>
      <c r="I22" s="491">
        <v>0</v>
      </c>
      <c r="J22" s="23"/>
      <c r="K22" s="124">
        <f t="shared" si="1"/>
        <v>0</v>
      </c>
      <c r="L22" s="127">
        <v>0</v>
      </c>
      <c r="M22" s="125">
        <v>0</v>
      </c>
      <c r="N22" s="125">
        <v>0</v>
      </c>
      <c r="O22" s="126"/>
      <c r="P22" s="124">
        <f t="shared" si="2"/>
        <v>6165311.4500000002</v>
      </c>
      <c r="Q22" s="127">
        <v>6165311.4500000002</v>
      </c>
      <c r="R22" s="125"/>
      <c r="S22" s="125"/>
      <c r="T22" s="183"/>
      <c r="U22" s="183"/>
      <c r="V22" s="183"/>
    </row>
    <row r="23" spans="1:33" ht="15.75" x14ac:dyDescent="0.25">
      <c r="A23" s="111"/>
      <c r="B23" s="111"/>
      <c r="C23" s="108" t="s">
        <v>435</v>
      </c>
      <c r="D23" s="111"/>
      <c r="E23" s="23"/>
      <c r="F23" s="124"/>
      <c r="G23" s="497"/>
      <c r="H23" s="126"/>
      <c r="I23" s="126"/>
      <c r="J23" s="23"/>
      <c r="K23" s="124"/>
      <c r="L23" s="126"/>
      <c r="M23" s="126"/>
      <c r="N23" s="126"/>
      <c r="O23" s="126"/>
      <c r="P23" s="124"/>
      <c r="Q23" s="126"/>
      <c r="R23" s="126"/>
      <c r="S23" s="126"/>
      <c r="T23" s="183"/>
      <c r="U23" s="183"/>
      <c r="V23" s="183"/>
    </row>
    <row r="24" spans="1:33" ht="15.75" x14ac:dyDescent="0.25">
      <c r="A24" s="111"/>
      <c r="B24" s="111"/>
      <c r="C24" s="111"/>
      <c r="D24" s="111" t="s">
        <v>436</v>
      </c>
      <c r="E24" s="23"/>
      <c r="F24" s="124">
        <f t="shared" ref="F24:F29" si="3">SUM(G24:I24)</f>
        <v>153819834.50999999</v>
      </c>
      <c r="G24" s="497">
        <v>153819834.50999999</v>
      </c>
      <c r="H24" s="497">
        <v>0</v>
      </c>
      <c r="I24" s="497">
        <v>0</v>
      </c>
      <c r="J24" s="23"/>
      <c r="K24" s="124">
        <f t="shared" ref="K24:K29" si="4">SUM(L24:N24)</f>
        <v>165471189.22999996</v>
      </c>
      <c r="L24" s="127">
        <v>165471189.22999996</v>
      </c>
      <c r="M24" s="125">
        <v>0</v>
      </c>
      <c r="N24" s="125">
        <v>0</v>
      </c>
      <c r="O24" s="126"/>
      <c r="P24" s="124">
        <f t="shared" ref="P24:P29" si="5">SUM(Q24:S24)</f>
        <v>151714737.09999999</v>
      </c>
      <c r="Q24" s="127">
        <v>151714737.09999999</v>
      </c>
      <c r="R24" s="125">
        <v>0</v>
      </c>
      <c r="S24" s="125">
        <v>0</v>
      </c>
      <c r="T24" s="183"/>
      <c r="U24" s="183"/>
      <c r="V24" s="183"/>
    </row>
    <row r="25" spans="1:33" ht="15.75" x14ac:dyDescent="0.25">
      <c r="A25" s="111"/>
      <c r="B25" s="111"/>
      <c r="C25" s="111"/>
      <c r="D25" s="111" t="s">
        <v>437</v>
      </c>
      <c r="E25" s="23"/>
      <c r="F25" s="124">
        <f t="shared" si="3"/>
        <v>3418089.8200000003</v>
      </c>
      <c r="G25" s="497">
        <v>3418089.8200000003</v>
      </c>
      <c r="H25" s="497">
        <v>0</v>
      </c>
      <c r="I25" s="497">
        <v>0</v>
      </c>
      <c r="J25" s="23"/>
      <c r="K25" s="124">
        <f t="shared" si="4"/>
        <v>2418822.9699999997</v>
      </c>
      <c r="L25" s="127">
        <v>2418822.9699999997</v>
      </c>
      <c r="M25" s="125">
        <v>0</v>
      </c>
      <c r="N25" s="125">
        <v>0</v>
      </c>
      <c r="O25" s="126"/>
      <c r="P25" s="124">
        <f t="shared" si="5"/>
        <v>941796.8899999999</v>
      </c>
      <c r="Q25" s="127">
        <v>941796.8899999999</v>
      </c>
      <c r="R25" s="125">
        <v>0</v>
      </c>
      <c r="S25" s="125">
        <v>0</v>
      </c>
      <c r="T25" s="183"/>
      <c r="U25" s="183"/>
      <c r="V25" s="183"/>
    </row>
    <row r="26" spans="1:33" ht="15.75" x14ac:dyDescent="0.25">
      <c r="A26" s="111"/>
      <c r="B26" s="111"/>
      <c r="C26" s="111"/>
      <c r="D26" s="111" t="s">
        <v>438</v>
      </c>
      <c r="E26" s="23"/>
      <c r="F26" s="124">
        <f t="shared" si="3"/>
        <v>2460206.25</v>
      </c>
      <c r="G26" s="497">
        <v>2460206.25</v>
      </c>
      <c r="H26" s="497">
        <v>0</v>
      </c>
      <c r="I26" s="497">
        <v>0</v>
      </c>
      <c r="J26" s="23"/>
      <c r="K26" s="124">
        <f t="shared" si="4"/>
        <v>2323700.5</v>
      </c>
      <c r="L26" s="127">
        <v>2323700.5</v>
      </c>
      <c r="M26" s="125">
        <v>0</v>
      </c>
      <c r="N26" s="125">
        <v>0</v>
      </c>
      <c r="O26" s="126"/>
      <c r="P26" s="124">
        <f t="shared" si="5"/>
        <v>2384417.25</v>
      </c>
      <c r="Q26" s="127">
        <v>2384417.25</v>
      </c>
      <c r="R26" s="125">
        <v>0</v>
      </c>
      <c r="S26" s="125">
        <v>0</v>
      </c>
      <c r="T26" s="183"/>
      <c r="U26" s="183"/>
      <c r="V26" s="183"/>
    </row>
    <row r="27" spans="1:33" ht="15.75" x14ac:dyDescent="0.25">
      <c r="A27" s="111"/>
      <c r="B27" s="111"/>
      <c r="C27" s="111"/>
      <c r="D27" s="71" t="s">
        <v>439</v>
      </c>
      <c r="E27" s="23"/>
      <c r="F27" s="124">
        <f t="shared" si="3"/>
        <v>441866.53</v>
      </c>
      <c r="G27" s="497">
        <v>441866.53</v>
      </c>
      <c r="H27" s="497">
        <v>0</v>
      </c>
      <c r="I27" s="497">
        <v>0</v>
      </c>
      <c r="J27" s="23"/>
      <c r="K27" s="124">
        <f t="shared" si="4"/>
        <v>390725</v>
      </c>
      <c r="L27" s="127">
        <v>390725</v>
      </c>
      <c r="M27" s="125">
        <v>0</v>
      </c>
      <c r="N27" s="125">
        <v>0</v>
      </c>
      <c r="O27" s="126"/>
      <c r="P27" s="124">
        <f t="shared" si="5"/>
        <v>10111883.42</v>
      </c>
      <c r="Q27" s="127">
        <v>10111883.42</v>
      </c>
      <c r="R27" s="125">
        <v>0</v>
      </c>
      <c r="S27" s="125">
        <v>0</v>
      </c>
      <c r="T27" s="183"/>
      <c r="U27" s="183"/>
      <c r="V27" s="183"/>
    </row>
    <row r="28" spans="1:33" ht="15.75" x14ac:dyDescent="0.25">
      <c r="A28" s="111"/>
      <c r="B28" s="111"/>
      <c r="C28" s="111"/>
      <c r="D28" s="111" t="s">
        <v>440</v>
      </c>
      <c r="E28" s="23"/>
      <c r="F28" s="124">
        <f t="shared" si="3"/>
        <v>12152950.93</v>
      </c>
      <c r="G28" s="498">
        <v>12152950.93</v>
      </c>
      <c r="H28" s="498">
        <v>0</v>
      </c>
      <c r="I28" s="498">
        <v>0</v>
      </c>
      <c r="J28" s="23"/>
      <c r="K28" s="124">
        <f t="shared" si="4"/>
        <v>3650086.4</v>
      </c>
      <c r="L28" s="127">
        <v>3650086.4</v>
      </c>
      <c r="M28" s="125"/>
      <c r="N28" s="125"/>
      <c r="O28" s="126"/>
      <c r="P28" s="124">
        <f t="shared" si="5"/>
        <v>592.88</v>
      </c>
      <c r="Q28" s="127">
        <v>592.88</v>
      </c>
      <c r="R28" s="125">
        <v>0</v>
      </c>
      <c r="S28" s="125">
        <v>0</v>
      </c>
      <c r="T28" s="183"/>
      <c r="U28" s="183"/>
      <c r="V28" s="183"/>
    </row>
    <row r="29" spans="1:33" ht="15.75" hidden="1" x14ac:dyDescent="0.25">
      <c r="A29" s="111"/>
      <c r="B29" s="111"/>
      <c r="C29" s="111"/>
      <c r="D29" s="111" t="s">
        <v>441</v>
      </c>
      <c r="E29" s="23"/>
      <c r="F29" s="124">
        <f t="shared" si="3"/>
        <v>0</v>
      </c>
      <c r="G29" s="498"/>
      <c r="H29" s="125"/>
      <c r="I29" s="125"/>
      <c r="J29" s="23"/>
      <c r="K29" s="124">
        <f t="shared" si="4"/>
        <v>0</v>
      </c>
      <c r="L29" s="127"/>
      <c r="M29" s="125"/>
      <c r="N29" s="125"/>
      <c r="O29" s="126"/>
      <c r="P29" s="124">
        <f t="shared" si="5"/>
        <v>0</v>
      </c>
      <c r="Q29" s="127"/>
      <c r="R29" s="125"/>
      <c r="S29" s="125"/>
      <c r="T29" s="183"/>
      <c r="U29" s="183"/>
      <c r="V29" s="183"/>
    </row>
    <row r="30" spans="1:33" s="48" customFormat="1" ht="15.75" hidden="1" x14ac:dyDescent="0.25">
      <c r="A30" s="111"/>
      <c r="B30" s="111"/>
      <c r="C30" s="108" t="s">
        <v>442</v>
      </c>
      <c r="D30" s="111"/>
      <c r="E30" s="23"/>
      <c r="F30" s="124"/>
      <c r="G30" s="499"/>
      <c r="H30" s="126"/>
      <c r="I30" s="126"/>
      <c r="J30" s="23"/>
      <c r="K30" s="124"/>
      <c r="L30" s="126"/>
      <c r="M30" s="126"/>
      <c r="N30" s="126"/>
      <c r="O30" s="128"/>
      <c r="P30" s="124"/>
      <c r="Q30" s="126"/>
      <c r="R30" s="126"/>
      <c r="S30" s="126"/>
      <c r="T30" s="183"/>
      <c r="U30" s="183"/>
      <c r="V30" s="196"/>
      <c r="W30" s="47"/>
      <c r="X30" s="47"/>
      <c r="Z30" s="47"/>
      <c r="AA30" s="47"/>
      <c r="AB30" s="47"/>
      <c r="AC30" s="47"/>
      <c r="AD30" s="47"/>
      <c r="AE30" s="47"/>
      <c r="AF30" s="47"/>
      <c r="AG30" s="47"/>
    </row>
    <row r="31" spans="1:33" ht="15.75" hidden="1" x14ac:dyDescent="0.25">
      <c r="A31" s="111"/>
      <c r="B31" s="111"/>
      <c r="C31" s="111"/>
      <c r="D31" s="111" t="s">
        <v>443</v>
      </c>
      <c r="E31" s="23"/>
      <c r="F31" s="124">
        <f>SUM(G31:I31)</f>
        <v>0</v>
      </c>
      <c r="G31" s="500"/>
      <c r="H31" s="125"/>
      <c r="I31" s="125"/>
      <c r="J31" s="23"/>
      <c r="K31" s="124">
        <f>SUM(L31:N31)</f>
        <v>0</v>
      </c>
      <c r="L31" s="125"/>
      <c r="M31" s="125"/>
      <c r="N31" s="125"/>
      <c r="O31" s="128"/>
      <c r="P31" s="124">
        <f>SUM(Q31:S31)</f>
        <v>0</v>
      </c>
      <c r="Q31" s="127">
        <v>0</v>
      </c>
      <c r="R31" s="125">
        <v>0</v>
      </c>
      <c r="S31" s="125">
        <v>0</v>
      </c>
      <c r="T31" s="183"/>
      <c r="U31" s="183"/>
      <c r="V31" s="197"/>
      <c r="Z31" s="49"/>
    </row>
    <row r="32" spans="1:33" ht="15.75" x14ac:dyDescent="0.25">
      <c r="A32" s="111"/>
      <c r="B32" s="111"/>
      <c r="C32" s="108" t="s">
        <v>444</v>
      </c>
      <c r="D32" s="111"/>
      <c r="E32" s="23"/>
      <c r="F32" s="124"/>
      <c r="G32" s="497"/>
      <c r="H32" s="126"/>
      <c r="I32" s="126"/>
      <c r="J32" s="23"/>
      <c r="K32" s="124"/>
      <c r="L32" s="126"/>
      <c r="M32" s="126"/>
      <c r="N32" s="126"/>
      <c r="O32" s="128"/>
      <c r="P32" s="124"/>
      <c r="Q32" s="126"/>
      <c r="R32" s="126"/>
      <c r="S32" s="126"/>
      <c r="T32" s="183"/>
      <c r="U32" s="183"/>
      <c r="V32" s="197"/>
      <c r="Z32" s="49"/>
    </row>
    <row r="33" spans="1:33" ht="15.75" x14ac:dyDescent="0.25">
      <c r="A33" s="111"/>
      <c r="B33" s="111"/>
      <c r="C33" s="111"/>
      <c r="D33" s="111" t="s">
        <v>445</v>
      </c>
      <c r="E33" s="23"/>
      <c r="F33" s="124">
        <f>SUM(G33:I33)</f>
        <v>4961851.92</v>
      </c>
      <c r="G33" s="497">
        <v>4961851.92</v>
      </c>
      <c r="H33" s="497">
        <v>0</v>
      </c>
      <c r="I33" s="497">
        <v>0</v>
      </c>
      <c r="J33" s="23"/>
      <c r="K33" s="124">
        <f>SUM(L33:N33)</f>
        <v>4105374.0200000005</v>
      </c>
      <c r="L33" s="127">
        <v>4105374.0200000005</v>
      </c>
      <c r="M33" s="125">
        <v>0</v>
      </c>
      <c r="N33" s="125">
        <v>0</v>
      </c>
      <c r="O33" s="126"/>
      <c r="P33" s="124">
        <f>SUM(Q33:S33)</f>
        <v>5080638.7400000012</v>
      </c>
      <c r="Q33" s="127">
        <v>5080638.7400000012</v>
      </c>
      <c r="R33" s="125">
        <v>0</v>
      </c>
      <c r="S33" s="125">
        <v>0</v>
      </c>
      <c r="T33" s="183"/>
      <c r="U33" s="183"/>
      <c r="V33" s="183"/>
    </row>
    <row r="34" spans="1:33" ht="15.75" x14ac:dyDescent="0.25">
      <c r="A34" s="111"/>
      <c r="B34" s="111"/>
      <c r="C34" s="111"/>
      <c r="D34" s="111" t="s">
        <v>446</v>
      </c>
      <c r="E34" s="23"/>
      <c r="F34" s="124">
        <f>SUM(G34:I34)</f>
        <v>7284253.1099999994</v>
      </c>
      <c r="G34" s="497">
        <v>3017330.0100000002</v>
      </c>
      <c r="H34" s="497">
        <v>4266923.0999999996</v>
      </c>
      <c r="I34" s="497">
        <v>0</v>
      </c>
      <c r="J34" s="23"/>
      <c r="K34" s="124">
        <f>SUM(L34:N34)</f>
        <v>6397034.8099999996</v>
      </c>
      <c r="L34" s="127">
        <v>2633779.0799999996</v>
      </c>
      <c r="M34" s="125">
        <v>3763255.73</v>
      </c>
      <c r="N34" s="125">
        <v>0</v>
      </c>
      <c r="O34" s="126"/>
      <c r="P34" s="124">
        <f>SUM(Q34:S34)</f>
        <v>7657814.1199999992</v>
      </c>
      <c r="Q34" s="127">
        <v>3152732.3399999994</v>
      </c>
      <c r="R34" s="125">
        <v>4505081.7799999993</v>
      </c>
      <c r="S34" s="125">
        <v>0</v>
      </c>
      <c r="T34" s="183"/>
      <c r="U34" s="183"/>
      <c r="V34" s="183"/>
    </row>
    <row r="35" spans="1:33" ht="15.75" hidden="1" x14ac:dyDescent="0.25">
      <c r="A35" s="111"/>
      <c r="B35" s="111"/>
      <c r="C35" s="111"/>
      <c r="D35" s="111" t="s">
        <v>447</v>
      </c>
      <c r="E35" s="23"/>
      <c r="F35" s="124">
        <f>SUM(G35:I35)</f>
        <v>0</v>
      </c>
      <c r="G35" s="498"/>
      <c r="H35" s="125"/>
      <c r="I35" s="125"/>
      <c r="J35" s="23"/>
      <c r="K35" s="124">
        <f>SUM(L35:N35)</f>
        <v>0</v>
      </c>
      <c r="L35" s="127"/>
      <c r="M35" s="125"/>
      <c r="N35" s="125"/>
      <c r="O35" s="126"/>
      <c r="P35" s="124">
        <f>SUM(Q35:S35)</f>
        <v>0</v>
      </c>
      <c r="Q35" s="127"/>
      <c r="R35" s="125"/>
      <c r="S35" s="125"/>
      <c r="T35" s="183"/>
      <c r="U35" s="183"/>
      <c r="V35" s="183"/>
    </row>
    <row r="36" spans="1:33" ht="15.75" hidden="1" x14ac:dyDescent="0.25">
      <c r="A36" s="111"/>
      <c r="B36" s="111"/>
      <c r="C36" s="111"/>
      <c r="D36" s="111" t="s">
        <v>448</v>
      </c>
      <c r="E36" s="23"/>
      <c r="F36" s="124">
        <f>SUM(G36:I36)</f>
        <v>0</v>
      </c>
      <c r="G36" s="498"/>
      <c r="H36" s="125"/>
      <c r="I36" s="125"/>
      <c r="J36" s="23"/>
      <c r="K36" s="124">
        <f>SUM(L36:N36)</f>
        <v>0</v>
      </c>
      <c r="L36" s="127"/>
      <c r="M36" s="125"/>
      <c r="N36" s="125"/>
      <c r="O36" s="126"/>
      <c r="P36" s="124">
        <f>SUM(Q36:S36)</f>
        <v>0</v>
      </c>
      <c r="Q36" s="127"/>
      <c r="R36" s="125"/>
      <c r="S36" s="125"/>
      <c r="T36" s="183"/>
      <c r="U36" s="183"/>
      <c r="V36" s="183"/>
    </row>
    <row r="37" spans="1:33" ht="15.75" x14ac:dyDescent="0.25">
      <c r="A37" s="110"/>
      <c r="B37" s="110"/>
      <c r="C37" s="108" t="s">
        <v>449</v>
      </c>
      <c r="D37" s="26"/>
      <c r="E37" s="26"/>
      <c r="F37" s="129">
        <f>SUM(F12:F36)</f>
        <v>294710675.38</v>
      </c>
      <c r="G37" s="501">
        <f>SUM(G12:G36)</f>
        <v>231681003.56999996</v>
      </c>
      <c r="H37" s="129">
        <f t="shared" ref="H37:I37" si="6">SUM(H12:H36)</f>
        <v>63029671.809999995</v>
      </c>
      <c r="I37" s="129">
        <f t="shared" si="6"/>
        <v>0</v>
      </c>
      <c r="J37" s="26"/>
      <c r="K37" s="129">
        <f>SUM(K12:K36)</f>
        <v>285856490.47999996</v>
      </c>
      <c r="L37" s="129">
        <f>SUM(L12:L36)</f>
        <v>226569811.01999998</v>
      </c>
      <c r="M37" s="129">
        <f t="shared" ref="M37:N37" si="7">SUM(M12:M36)</f>
        <v>59286679.459999993</v>
      </c>
      <c r="N37" s="129">
        <f t="shared" si="7"/>
        <v>0</v>
      </c>
      <c r="O37" s="126"/>
      <c r="P37" s="129">
        <f>SUM(P12:P36)</f>
        <v>280324950.15999997</v>
      </c>
      <c r="Q37" s="129">
        <v>222117445.63</v>
      </c>
      <c r="R37" s="129">
        <v>58207504.529999994</v>
      </c>
      <c r="S37" s="129">
        <v>0</v>
      </c>
      <c r="T37" s="183"/>
      <c r="U37" s="183">
        <f>+K37-P37</f>
        <v>5531540.3199999928</v>
      </c>
      <c r="V37" s="183"/>
    </row>
    <row r="38" spans="1:33" ht="15.75" x14ac:dyDescent="0.25">
      <c r="A38" s="110"/>
      <c r="B38" s="108" t="s">
        <v>450</v>
      </c>
      <c r="C38" s="108"/>
      <c r="D38" s="26"/>
      <c r="E38" s="26"/>
      <c r="F38" s="124"/>
      <c r="G38" s="499"/>
      <c r="H38" s="126"/>
      <c r="I38" s="126"/>
      <c r="J38" s="26"/>
      <c r="K38" s="124"/>
      <c r="L38" s="126"/>
      <c r="M38" s="126"/>
      <c r="N38" s="126"/>
      <c r="O38" s="126"/>
      <c r="P38" s="124"/>
      <c r="Q38" s="126"/>
      <c r="R38" s="126"/>
      <c r="S38" s="126"/>
      <c r="T38" s="183"/>
      <c r="U38" s="183"/>
      <c r="V38" s="183"/>
    </row>
    <row r="39" spans="1:33" ht="15.75" x14ac:dyDescent="0.25">
      <c r="A39" s="110"/>
      <c r="B39" s="26"/>
      <c r="C39" s="108" t="s">
        <v>451</v>
      </c>
      <c r="D39" s="26"/>
      <c r="E39" s="26"/>
      <c r="F39" s="124">
        <f>SUM(G39:I39)</f>
        <v>889216030</v>
      </c>
      <c r="G39" s="502">
        <v>889216030</v>
      </c>
      <c r="H39" s="125">
        <v>0</v>
      </c>
      <c r="I39" s="125">
        <v>0</v>
      </c>
      <c r="J39" s="26"/>
      <c r="K39" s="124">
        <f>SUM(L39:N39)</f>
        <v>829672451</v>
      </c>
      <c r="L39" s="130">
        <v>829672451</v>
      </c>
      <c r="M39" s="125">
        <v>0</v>
      </c>
      <c r="N39" s="125">
        <v>0</v>
      </c>
      <c r="O39" s="126"/>
      <c r="P39" s="124">
        <f>SUM(Q39:S39)</f>
        <v>739212764.99999988</v>
      </c>
      <c r="Q39" s="130">
        <v>739212764.99999988</v>
      </c>
      <c r="R39" s="125">
        <v>0</v>
      </c>
      <c r="S39" s="125">
        <v>0</v>
      </c>
      <c r="T39" s="183"/>
      <c r="U39" s="183">
        <f>+K39-P39</f>
        <v>90459686.000000119</v>
      </c>
      <c r="V39" s="183"/>
    </row>
    <row r="40" spans="1:33" ht="15.75" x14ac:dyDescent="0.25">
      <c r="A40" s="110"/>
      <c r="B40" s="108" t="s">
        <v>452</v>
      </c>
      <c r="C40" s="110"/>
      <c r="D40" s="26"/>
      <c r="E40" s="26"/>
      <c r="F40" s="124"/>
      <c r="G40" s="499"/>
      <c r="H40" s="126"/>
      <c r="I40" s="126"/>
      <c r="J40" s="26"/>
      <c r="K40" s="124"/>
      <c r="L40" s="126"/>
      <c r="M40" s="126"/>
      <c r="N40" s="126"/>
      <c r="O40" s="126"/>
      <c r="P40" s="124"/>
      <c r="Q40" s="126"/>
      <c r="R40" s="126"/>
      <c r="S40" s="126"/>
      <c r="T40" s="183"/>
      <c r="U40" s="183"/>
      <c r="V40" s="183"/>
    </row>
    <row r="41" spans="1:33" ht="15.75" hidden="1" x14ac:dyDescent="0.25">
      <c r="A41" s="111"/>
      <c r="B41" s="111"/>
      <c r="C41" s="114" t="s">
        <v>453</v>
      </c>
      <c r="D41" s="23"/>
      <c r="E41" s="23"/>
      <c r="F41" s="124">
        <f>SUM(G41:I41)</f>
        <v>0</v>
      </c>
      <c r="G41" s="503"/>
      <c r="H41" s="128"/>
      <c r="I41" s="128"/>
      <c r="J41" s="23"/>
      <c r="K41" s="124">
        <f>SUM(L41:N41)</f>
        <v>0</v>
      </c>
      <c r="L41" s="128"/>
      <c r="M41" s="128"/>
      <c r="N41" s="128"/>
      <c r="O41" s="128"/>
      <c r="P41" s="124">
        <f>SUM(Q41:S41)</f>
        <v>0</v>
      </c>
      <c r="Q41" s="128"/>
      <c r="R41" s="128"/>
      <c r="S41" s="128"/>
      <c r="T41" s="183"/>
      <c r="U41" s="183"/>
      <c r="V41" s="198"/>
      <c r="W41" s="50"/>
      <c r="X41" s="50"/>
      <c r="Z41" s="50"/>
      <c r="AA41" s="50"/>
      <c r="AB41" s="50"/>
      <c r="AC41" s="50"/>
      <c r="AD41" s="50"/>
      <c r="AE41" s="50"/>
      <c r="AF41" s="50"/>
      <c r="AG41" s="50"/>
    </row>
    <row r="42" spans="1:33" ht="15.75" hidden="1" x14ac:dyDescent="0.25">
      <c r="A42" s="111"/>
      <c r="B42" s="111"/>
      <c r="C42" s="114"/>
      <c r="D42" s="23"/>
      <c r="E42" s="23"/>
      <c r="F42" s="124"/>
      <c r="G42" s="503"/>
      <c r="H42" s="128"/>
      <c r="I42" s="128"/>
      <c r="J42" s="23"/>
      <c r="K42" s="124"/>
      <c r="L42" s="128"/>
      <c r="M42" s="128"/>
      <c r="N42" s="128"/>
      <c r="O42" s="128"/>
      <c r="P42" s="124"/>
      <c r="Q42" s="128"/>
      <c r="R42" s="128"/>
      <c r="S42" s="128"/>
      <c r="T42" s="183"/>
      <c r="U42" s="183"/>
      <c r="V42" s="198"/>
      <c r="W42" s="50"/>
      <c r="X42" s="50"/>
      <c r="Z42" s="50"/>
      <c r="AA42" s="50"/>
      <c r="AB42" s="50"/>
      <c r="AC42" s="50"/>
      <c r="AD42" s="50"/>
      <c r="AE42" s="50"/>
      <c r="AF42" s="50"/>
      <c r="AG42" s="50"/>
    </row>
    <row r="43" spans="1:33" ht="15.75" x14ac:dyDescent="0.25">
      <c r="A43" s="111"/>
      <c r="B43" s="111"/>
      <c r="C43" s="114" t="s">
        <v>454</v>
      </c>
      <c r="D43" s="23"/>
      <c r="E43" s="23"/>
      <c r="F43" s="124">
        <f>SUM(G43:I43)</f>
        <v>0</v>
      </c>
      <c r="G43" s="497">
        <v>0</v>
      </c>
      <c r="H43" s="125"/>
      <c r="I43" s="125">
        <v>0</v>
      </c>
      <c r="J43" s="23"/>
      <c r="K43" s="124">
        <f>SUM(L43:N43)</f>
        <v>131344.5</v>
      </c>
      <c r="L43" s="515">
        <v>131344.5</v>
      </c>
      <c r="M43" s="125">
        <v>0</v>
      </c>
      <c r="N43" s="125">
        <v>0</v>
      </c>
      <c r="O43" s="126"/>
      <c r="P43" s="124">
        <f>SUM(Q43:S43)</f>
        <v>0</v>
      </c>
      <c r="Q43" s="125">
        <v>0</v>
      </c>
      <c r="R43" s="125">
        <v>0</v>
      </c>
      <c r="S43" s="125">
        <v>0</v>
      </c>
      <c r="T43" s="183"/>
      <c r="U43" s="183"/>
      <c r="V43" s="183"/>
    </row>
    <row r="44" spans="1:33" ht="15.75" hidden="1" x14ac:dyDescent="0.25">
      <c r="A44" s="111"/>
      <c r="B44" s="111"/>
      <c r="C44" s="114" t="s">
        <v>455</v>
      </c>
      <c r="D44" s="23"/>
      <c r="E44" s="23"/>
      <c r="F44" s="124">
        <f>SUM(G44:I44)</f>
        <v>0</v>
      </c>
      <c r="G44" s="500"/>
      <c r="H44" s="125"/>
      <c r="I44" s="125"/>
      <c r="J44" s="23"/>
      <c r="K44" s="124">
        <f>SUM(L44:N44)</f>
        <v>0</v>
      </c>
      <c r="L44" s="125"/>
      <c r="M44" s="125">
        <v>0</v>
      </c>
      <c r="N44" s="125">
        <v>0</v>
      </c>
      <c r="O44" s="126"/>
      <c r="P44" s="124">
        <f>SUM(Q44:S44)</f>
        <v>0</v>
      </c>
      <c r="Q44" s="125"/>
      <c r="R44" s="125">
        <v>0</v>
      </c>
      <c r="S44" s="125">
        <v>0</v>
      </c>
      <c r="T44" s="183"/>
      <c r="U44" s="183"/>
      <c r="V44" s="183"/>
    </row>
    <row r="45" spans="1:33" ht="15.75" x14ac:dyDescent="0.25">
      <c r="A45" s="111"/>
      <c r="B45" s="111"/>
      <c r="C45" s="114" t="s">
        <v>456</v>
      </c>
      <c r="D45" s="23"/>
      <c r="E45" s="23"/>
      <c r="F45" s="124">
        <f>SUM(G45:I45)</f>
        <v>72609</v>
      </c>
      <c r="G45" s="497">
        <v>72609</v>
      </c>
      <c r="H45" s="125"/>
      <c r="I45" s="125">
        <v>0</v>
      </c>
      <c r="J45" s="23"/>
      <c r="K45" s="124">
        <f>SUM(L45:N45)</f>
        <v>588344.53</v>
      </c>
      <c r="L45" s="125">
        <v>588344.53</v>
      </c>
      <c r="M45" s="125">
        <v>0</v>
      </c>
      <c r="N45" s="125">
        <v>0</v>
      </c>
      <c r="O45" s="126"/>
      <c r="P45" s="124">
        <f>SUM(Q45:S45)</f>
        <v>131334.6</v>
      </c>
      <c r="Q45" s="125">
        <v>131334.6</v>
      </c>
      <c r="R45" s="125">
        <v>0</v>
      </c>
      <c r="S45" s="125">
        <v>0</v>
      </c>
      <c r="T45" s="183"/>
      <c r="U45" s="183"/>
      <c r="V45" s="183"/>
    </row>
    <row r="46" spans="1:33" ht="15.75" x14ac:dyDescent="0.25">
      <c r="A46" s="111"/>
      <c r="B46" s="111"/>
      <c r="C46" s="108" t="s">
        <v>457</v>
      </c>
      <c r="D46" s="23"/>
      <c r="E46" s="23"/>
      <c r="F46" s="131">
        <f>SUM(F41:F45)</f>
        <v>72609</v>
      </c>
      <c r="G46" s="504">
        <f t="shared" ref="G46:I46" si="8">SUM(G41:G45)</f>
        <v>72609</v>
      </c>
      <c r="H46" s="131">
        <f t="shared" si="8"/>
        <v>0</v>
      </c>
      <c r="I46" s="131">
        <f t="shared" si="8"/>
        <v>0</v>
      </c>
      <c r="J46" s="23"/>
      <c r="K46" s="131">
        <f>SUM(K41:K45)</f>
        <v>719689.03</v>
      </c>
      <c r="L46" s="131">
        <f t="shared" ref="L46:N46" si="9">SUM(L41:L45)</f>
        <v>719689.03</v>
      </c>
      <c r="M46" s="131">
        <f t="shared" si="9"/>
        <v>0</v>
      </c>
      <c r="N46" s="131">
        <f t="shared" si="9"/>
        <v>0</v>
      </c>
      <c r="O46" s="126"/>
      <c r="P46" s="131">
        <f>SUM(P41:P45)</f>
        <v>131334.6</v>
      </c>
      <c r="Q46" s="131">
        <v>131334.6</v>
      </c>
      <c r="R46" s="131">
        <v>0</v>
      </c>
      <c r="S46" s="131">
        <v>0</v>
      </c>
      <c r="T46" s="183"/>
      <c r="U46" s="183">
        <f>+K46-P46</f>
        <v>588354.43000000005</v>
      </c>
      <c r="V46" s="183"/>
    </row>
    <row r="47" spans="1:33" ht="15.75" x14ac:dyDescent="0.25">
      <c r="A47" s="26"/>
      <c r="B47" s="108" t="s">
        <v>458</v>
      </c>
      <c r="C47" s="110"/>
      <c r="D47" s="26"/>
      <c r="E47" s="110"/>
      <c r="F47" s="124"/>
      <c r="G47" s="505"/>
      <c r="H47" s="132"/>
      <c r="I47" s="132"/>
      <c r="J47" s="110"/>
      <c r="K47" s="124"/>
      <c r="L47" s="132"/>
      <c r="M47" s="132"/>
      <c r="N47" s="132"/>
      <c r="O47" s="126"/>
      <c r="P47" s="124"/>
      <c r="Q47" s="132"/>
      <c r="R47" s="132"/>
      <c r="S47" s="132"/>
      <c r="T47" s="183"/>
      <c r="U47" s="183"/>
      <c r="V47" s="183"/>
    </row>
    <row r="48" spans="1:33" ht="15.75" x14ac:dyDescent="0.25">
      <c r="A48" s="26"/>
      <c r="B48" s="110"/>
      <c r="C48" s="108" t="s">
        <v>459</v>
      </c>
      <c r="D48" s="110"/>
      <c r="E48" s="26"/>
      <c r="F48" s="124"/>
      <c r="G48" s="499"/>
      <c r="H48" s="126"/>
      <c r="I48" s="126"/>
      <c r="J48" s="26"/>
      <c r="K48" s="124"/>
      <c r="L48" s="126"/>
      <c r="M48" s="126"/>
      <c r="N48" s="126"/>
      <c r="O48" s="126"/>
      <c r="P48" s="124"/>
      <c r="Q48" s="126"/>
      <c r="R48" s="126"/>
      <c r="S48" s="126"/>
      <c r="T48" s="183"/>
      <c r="U48" s="183"/>
      <c r="V48" s="183"/>
    </row>
    <row r="49" spans="1:33" ht="15.75" x14ac:dyDescent="0.25">
      <c r="A49" s="26"/>
      <c r="B49" s="110"/>
      <c r="C49" s="110"/>
      <c r="D49" s="114" t="s">
        <v>460</v>
      </c>
      <c r="E49" s="26"/>
      <c r="F49" s="124">
        <f>SUM(G49:I49)</f>
        <v>27950096.699999996</v>
      </c>
      <c r="G49" s="497">
        <v>27950096.699999996</v>
      </c>
      <c r="H49" s="125">
        <v>0</v>
      </c>
      <c r="I49" s="125">
        <v>0</v>
      </c>
      <c r="J49" s="26"/>
      <c r="K49" s="124">
        <f>SUM(L49:N49)</f>
        <v>26011803.039999999</v>
      </c>
      <c r="L49" s="127">
        <v>26011803.039999999</v>
      </c>
      <c r="M49" s="125">
        <v>0</v>
      </c>
      <c r="N49" s="125">
        <v>0</v>
      </c>
      <c r="O49" s="126"/>
      <c r="P49" s="124">
        <f t="shared" ref="P49:P61" si="10">SUM(Q49:S49)</f>
        <v>27170394.130000003</v>
      </c>
      <c r="Q49" s="127">
        <v>27170394.130000003</v>
      </c>
      <c r="R49" s="125">
        <v>0</v>
      </c>
      <c r="S49" s="125">
        <v>0</v>
      </c>
      <c r="T49" s="183"/>
      <c r="U49" s="183">
        <f t="shared" ref="U49:U77" si="11">+K49-P49</f>
        <v>-1158591.0900000036</v>
      </c>
      <c r="V49" s="183"/>
    </row>
    <row r="50" spans="1:33" ht="15.75" x14ac:dyDescent="0.25">
      <c r="A50" s="26"/>
      <c r="B50" s="110"/>
      <c r="C50" s="110"/>
      <c r="D50" s="114" t="s">
        <v>461</v>
      </c>
      <c r="E50" s="114"/>
      <c r="F50" s="124">
        <f t="shared" ref="F50:F61" si="12">SUM(G50:I50)</f>
        <v>927476.4</v>
      </c>
      <c r="G50" s="497">
        <v>927476.4</v>
      </c>
      <c r="H50" s="125">
        <v>0</v>
      </c>
      <c r="I50" s="125">
        <v>0</v>
      </c>
      <c r="J50" s="114"/>
      <c r="K50" s="124">
        <f t="shared" ref="K50:K61" si="13">SUM(L50:N50)</f>
        <v>1105333.6000000001</v>
      </c>
      <c r="L50" s="127">
        <v>1105333.6000000001</v>
      </c>
      <c r="M50" s="125">
        <v>0</v>
      </c>
      <c r="N50" s="125">
        <v>0</v>
      </c>
      <c r="O50" s="126"/>
      <c r="P50" s="124">
        <f t="shared" si="10"/>
        <v>1424072.8</v>
      </c>
      <c r="Q50" s="127">
        <v>1424072.8</v>
      </c>
      <c r="R50" s="125">
        <v>0</v>
      </c>
      <c r="S50" s="125">
        <v>0</v>
      </c>
      <c r="T50" s="183"/>
      <c r="U50" s="183">
        <f t="shared" si="11"/>
        <v>-318739.19999999995</v>
      </c>
      <c r="V50" s="183"/>
    </row>
    <row r="51" spans="1:33" ht="15.75" x14ac:dyDescent="0.25">
      <c r="A51" s="26"/>
      <c r="B51" s="110"/>
      <c r="C51" s="110"/>
      <c r="D51" s="114" t="s">
        <v>462</v>
      </c>
      <c r="E51" s="114"/>
      <c r="F51" s="124">
        <f t="shared" si="12"/>
        <v>712928</v>
      </c>
      <c r="G51" s="497">
        <v>712928</v>
      </c>
      <c r="H51" s="125">
        <v>0</v>
      </c>
      <c r="I51" s="125">
        <v>0</v>
      </c>
      <c r="J51" s="114"/>
      <c r="K51" s="124">
        <f t="shared" si="13"/>
        <v>704436</v>
      </c>
      <c r="L51" s="127">
        <v>704436</v>
      </c>
      <c r="M51" s="125">
        <v>0</v>
      </c>
      <c r="N51" s="125">
        <v>0</v>
      </c>
      <c r="O51" s="126"/>
      <c r="P51" s="124">
        <f t="shared" si="10"/>
        <v>642589.44999999995</v>
      </c>
      <c r="Q51" s="127">
        <v>642589.44999999995</v>
      </c>
      <c r="R51" s="125">
        <v>0</v>
      </c>
      <c r="S51" s="125">
        <v>0</v>
      </c>
      <c r="T51" s="183"/>
      <c r="U51" s="183">
        <f t="shared" si="11"/>
        <v>61846.550000000047</v>
      </c>
      <c r="V51" s="183"/>
    </row>
    <row r="52" spans="1:33" ht="15.75" x14ac:dyDescent="0.25">
      <c r="A52" s="26"/>
      <c r="B52" s="110"/>
      <c r="C52" s="110"/>
      <c r="D52" s="114" t="s">
        <v>463</v>
      </c>
      <c r="E52" s="114"/>
      <c r="F52" s="124">
        <f t="shared" si="12"/>
        <v>10777111.99</v>
      </c>
      <c r="G52" s="497">
        <v>10777111.99</v>
      </c>
      <c r="H52" s="125">
        <v>0</v>
      </c>
      <c r="I52" s="125">
        <v>0</v>
      </c>
      <c r="J52" s="114"/>
      <c r="K52" s="124">
        <f t="shared" si="13"/>
        <v>8643620.2599999979</v>
      </c>
      <c r="L52" s="127">
        <v>8643620.2599999979</v>
      </c>
      <c r="M52" s="125">
        <v>0</v>
      </c>
      <c r="N52" s="125">
        <v>0</v>
      </c>
      <c r="O52" s="126"/>
      <c r="P52" s="124">
        <f t="shared" si="10"/>
        <v>11960683.369999999</v>
      </c>
      <c r="Q52" s="127">
        <v>11960683.369999999</v>
      </c>
      <c r="R52" s="125">
        <v>0</v>
      </c>
      <c r="S52" s="125">
        <v>0</v>
      </c>
      <c r="T52" s="183"/>
      <c r="U52" s="183">
        <f t="shared" si="11"/>
        <v>-3317063.1100000013</v>
      </c>
      <c r="V52" s="183"/>
    </row>
    <row r="53" spans="1:33" ht="15.75" x14ac:dyDescent="0.25">
      <c r="A53" s="26"/>
      <c r="B53" s="110"/>
      <c r="C53" s="110"/>
      <c r="D53" s="114" t="s">
        <v>464</v>
      </c>
      <c r="E53" s="114"/>
      <c r="F53" s="124">
        <f t="shared" si="12"/>
        <v>4376013.9400000004</v>
      </c>
      <c r="G53" s="497">
        <v>4376013.9400000004</v>
      </c>
      <c r="H53" s="125">
        <v>0</v>
      </c>
      <c r="I53" s="125">
        <v>0</v>
      </c>
      <c r="J53" s="114"/>
      <c r="K53" s="124">
        <f t="shared" si="13"/>
        <v>5019065</v>
      </c>
      <c r="L53" s="127">
        <v>5019065</v>
      </c>
      <c r="M53" s="125">
        <v>0</v>
      </c>
      <c r="N53" s="125">
        <v>0</v>
      </c>
      <c r="O53" s="126"/>
      <c r="P53" s="124">
        <f t="shared" si="10"/>
        <v>5988088</v>
      </c>
      <c r="Q53" s="127">
        <v>5988088</v>
      </c>
      <c r="R53" s="125">
        <v>0</v>
      </c>
      <c r="S53" s="125">
        <v>0</v>
      </c>
      <c r="T53" s="183"/>
      <c r="U53" s="183">
        <f t="shared" si="11"/>
        <v>-969023</v>
      </c>
      <c r="V53" s="183"/>
    </row>
    <row r="54" spans="1:33" ht="15.75" x14ac:dyDescent="0.25">
      <c r="A54" s="26"/>
      <c r="B54" s="110"/>
      <c r="C54" s="110"/>
      <c r="D54" s="114" t="s">
        <v>465</v>
      </c>
      <c r="E54" s="114"/>
      <c r="F54" s="124">
        <f t="shared" si="12"/>
        <v>3716893.8199999989</v>
      </c>
      <c r="G54" s="497">
        <v>3716893.8199999989</v>
      </c>
      <c r="H54" s="125">
        <v>0</v>
      </c>
      <c r="I54" s="125">
        <v>0</v>
      </c>
      <c r="J54" s="114"/>
      <c r="K54" s="124">
        <f t="shared" si="13"/>
        <v>3237870.0500000007</v>
      </c>
      <c r="L54" s="127">
        <v>3237870.0500000007</v>
      </c>
      <c r="M54" s="125">
        <v>0</v>
      </c>
      <c r="N54" s="125">
        <v>0</v>
      </c>
      <c r="O54" s="126"/>
      <c r="P54" s="124">
        <f t="shared" si="10"/>
        <v>3471487.01</v>
      </c>
      <c r="Q54" s="127">
        <v>3471487.01</v>
      </c>
      <c r="R54" s="125">
        <v>0</v>
      </c>
      <c r="S54" s="125">
        <v>0</v>
      </c>
      <c r="T54" s="183"/>
      <c r="U54" s="183">
        <f t="shared" si="11"/>
        <v>-233616.95999999903</v>
      </c>
      <c r="V54" s="183"/>
    </row>
    <row r="55" spans="1:33" ht="15.75" x14ac:dyDescent="0.25">
      <c r="A55" s="26"/>
      <c r="B55" s="110"/>
      <c r="C55" s="110"/>
      <c r="D55" s="114" t="s">
        <v>466</v>
      </c>
      <c r="E55" s="114"/>
      <c r="F55" s="124">
        <f t="shared" si="12"/>
        <v>651712</v>
      </c>
      <c r="G55" s="497">
        <v>651712</v>
      </c>
      <c r="H55" s="125">
        <v>0</v>
      </c>
      <c r="I55" s="125">
        <v>0</v>
      </c>
      <c r="J55" s="114"/>
      <c r="K55" s="124">
        <f t="shared" si="13"/>
        <v>255327</v>
      </c>
      <c r="L55" s="127">
        <v>255327</v>
      </c>
      <c r="M55" s="125">
        <v>0</v>
      </c>
      <c r="N55" s="125">
        <v>0</v>
      </c>
      <c r="O55" s="126"/>
      <c r="P55" s="124">
        <f t="shared" si="10"/>
        <v>303169</v>
      </c>
      <c r="Q55" s="127">
        <v>303169</v>
      </c>
      <c r="R55" s="125">
        <v>0</v>
      </c>
      <c r="S55" s="125">
        <v>0</v>
      </c>
      <c r="T55" s="183"/>
      <c r="U55" s="183">
        <f t="shared" si="11"/>
        <v>-47842</v>
      </c>
      <c r="V55" s="183"/>
    </row>
    <row r="56" spans="1:33" ht="15.75" x14ac:dyDescent="0.25">
      <c r="A56" s="26"/>
      <c r="B56" s="110"/>
      <c r="C56" s="110"/>
      <c r="D56" s="114" t="s">
        <v>467</v>
      </c>
      <c r="E56" s="114"/>
      <c r="F56" s="124">
        <f t="shared" si="12"/>
        <v>1388827.96</v>
      </c>
      <c r="G56" s="497">
        <v>1388827.96</v>
      </c>
      <c r="H56" s="125">
        <v>0</v>
      </c>
      <c r="I56" s="125">
        <v>0</v>
      </c>
      <c r="J56" s="114"/>
      <c r="K56" s="124">
        <f t="shared" si="13"/>
        <v>1157694</v>
      </c>
      <c r="L56" s="127">
        <v>1157694</v>
      </c>
      <c r="M56" s="125">
        <v>0</v>
      </c>
      <c r="N56" s="125">
        <v>0</v>
      </c>
      <c r="O56" s="126"/>
      <c r="P56" s="124">
        <f t="shared" si="10"/>
        <v>1399737.25</v>
      </c>
      <c r="Q56" s="127">
        <v>1399737.25</v>
      </c>
      <c r="R56" s="125">
        <v>0</v>
      </c>
      <c r="S56" s="125">
        <v>0</v>
      </c>
      <c r="T56" s="183"/>
      <c r="U56" s="183">
        <f t="shared" si="11"/>
        <v>-242043.25</v>
      </c>
      <c r="V56" s="183"/>
    </row>
    <row r="57" spans="1:33" ht="15.75" hidden="1" x14ac:dyDescent="0.25">
      <c r="A57" s="26"/>
      <c r="B57" s="110"/>
      <c r="C57" s="110"/>
      <c r="D57" s="114" t="s">
        <v>468</v>
      </c>
      <c r="E57" s="114"/>
      <c r="F57" s="124">
        <f t="shared" si="12"/>
        <v>0</v>
      </c>
      <c r="G57" s="498"/>
      <c r="H57" s="125">
        <v>0</v>
      </c>
      <c r="I57" s="125">
        <v>0</v>
      </c>
      <c r="J57" s="114"/>
      <c r="K57" s="124">
        <f t="shared" si="13"/>
        <v>0</v>
      </c>
      <c r="L57" s="127"/>
      <c r="M57" s="125">
        <v>0</v>
      </c>
      <c r="N57" s="125">
        <v>0</v>
      </c>
      <c r="O57" s="126"/>
      <c r="P57" s="124">
        <f t="shared" si="10"/>
        <v>0</v>
      </c>
      <c r="Q57" s="127"/>
      <c r="R57" s="125"/>
      <c r="S57" s="125"/>
      <c r="T57" s="183"/>
      <c r="U57" s="183">
        <f t="shared" si="11"/>
        <v>0</v>
      </c>
      <c r="V57" s="183"/>
    </row>
    <row r="58" spans="1:33" ht="15.75" hidden="1" x14ac:dyDescent="0.25">
      <c r="A58" s="26"/>
      <c r="B58" s="110"/>
      <c r="C58" s="110"/>
      <c r="D58" s="114" t="s">
        <v>469</v>
      </c>
      <c r="E58" s="114"/>
      <c r="F58" s="124">
        <f t="shared" si="12"/>
        <v>0</v>
      </c>
      <c r="G58" s="498"/>
      <c r="H58" s="125">
        <v>0</v>
      </c>
      <c r="I58" s="125">
        <v>0</v>
      </c>
      <c r="J58" s="114"/>
      <c r="K58" s="124">
        <f t="shared" si="13"/>
        <v>0</v>
      </c>
      <c r="L58" s="127"/>
      <c r="M58" s="125">
        <v>0</v>
      </c>
      <c r="N58" s="125">
        <v>0</v>
      </c>
      <c r="O58" s="126"/>
      <c r="P58" s="124">
        <f t="shared" si="10"/>
        <v>0</v>
      </c>
      <c r="Q58" s="127"/>
      <c r="R58" s="125"/>
      <c r="S58" s="125"/>
      <c r="T58" s="183"/>
      <c r="U58" s="183">
        <f t="shared" si="11"/>
        <v>0</v>
      </c>
      <c r="V58" s="183"/>
    </row>
    <row r="59" spans="1:33" ht="15.75" x14ac:dyDescent="0.25">
      <c r="A59" s="26"/>
      <c r="B59" s="110"/>
      <c r="C59" s="110"/>
      <c r="D59" s="114" t="s">
        <v>470</v>
      </c>
      <c r="E59" s="114"/>
      <c r="F59" s="124">
        <f t="shared" si="12"/>
        <v>387780</v>
      </c>
      <c r="G59" s="497">
        <v>387780</v>
      </c>
      <c r="H59" s="125">
        <v>0</v>
      </c>
      <c r="I59" s="125">
        <v>0</v>
      </c>
      <c r="J59" s="114"/>
      <c r="K59" s="124">
        <f t="shared" si="13"/>
        <v>257160</v>
      </c>
      <c r="L59" s="127">
        <v>257160</v>
      </c>
      <c r="M59" s="125">
        <v>0</v>
      </c>
      <c r="N59" s="125">
        <v>0</v>
      </c>
      <c r="O59" s="128"/>
      <c r="P59" s="124">
        <f t="shared" si="10"/>
        <v>332020</v>
      </c>
      <c r="Q59" s="127">
        <v>332020</v>
      </c>
      <c r="R59" s="125">
        <v>0</v>
      </c>
      <c r="S59" s="125">
        <v>0</v>
      </c>
      <c r="T59" s="183"/>
      <c r="U59" s="183">
        <f t="shared" si="11"/>
        <v>-74860</v>
      </c>
      <c r="V59" s="198"/>
      <c r="W59" s="50"/>
      <c r="X59" s="50"/>
      <c r="Z59" s="50"/>
      <c r="AA59" s="50"/>
      <c r="AB59" s="50"/>
      <c r="AC59" s="50"/>
      <c r="AD59" s="50"/>
      <c r="AE59" s="50"/>
      <c r="AF59" s="50"/>
      <c r="AG59" s="50"/>
    </row>
    <row r="60" spans="1:33" ht="15.75" x14ac:dyDescent="0.25">
      <c r="A60" s="26"/>
      <c r="B60" s="110"/>
      <c r="C60" s="110"/>
      <c r="D60" s="114" t="s">
        <v>471</v>
      </c>
      <c r="E60" s="114"/>
      <c r="F60" s="124">
        <f t="shared" si="12"/>
        <v>528242.85</v>
      </c>
      <c r="G60" s="497">
        <v>528242.85</v>
      </c>
      <c r="H60" s="125">
        <v>0</v>
      </c>
      <c r="I60" s="125">
        <v>0</v>
      </c>
      <c r="J60" s="114"/>
      <c r="K60" s="124">
        <f t="shared" si="13"/>
        <v>207687.24000000002</v>
      </c>
      <c r="L60" s="127">
        <v>207687.24000000002</v>
      </c>
      <c r="M60" s="125">
        <v>0</v>
      </c>
      <c r="N60" s="125">
        <v>0</v>
      </c>
      <c r="O60" s="126"/>
      <c r="P60" s="124">
        <f t="shared" si="10"/>
        <v>328640.08999999997</v>
      </c>
      <c r="Q60" s="127">
        <v>328640.08999999997</v>
      </c>
      <c r="R60" s="125">
        <v>0</v>
      </c>
      <c r="S60" s="125">
        <v>0</v>
      </c>
      <c r="T60" s="183"/>
      <c r="U60" s="183">
        <f t="shared" si="11"/>
        <v>-120952.84999999995</v>
      </c>
      <c r="V60" s="183"/>
    </row>
    <row r="61" spans="1:33" ht="15.75" x14ac:dyDescent="0.25">
      <c r="A61" s="26"/>
      <c r="B61" s="110"/>
      <c r="C61" s="110"/>
      <c r="D61" s="114" t="s">
        <v>472</v>
      </c>
      <c r="E61" s="114"/>
      <c r="F61" s="124">
        <f t="shared" si="12"/>
        <v>527928.99999999953</v>
      </c>
      <c r="G61" s="497">
        <v>527928.99999999953</v>
      </c>
      <c r="H61" s="125">
        <v>0</v>
      </c>
      <c r="I61" s="125">
        <v>0</v>
      </c>
      <c r="J61" s="114"/>
      <c r="K61" s="124">
        <f t="shared" si="13"/>
        <v>459888</v>
      </c>
      <c r="L61" s="127">
        <v>459888</v>
      </c>
      <c r="M61" s="125">
        <v>0</v>
      </c>
      <c r="N61" s="125">
        <v>0</v>
      </c>
      <c r="O61" s="126"/>
      <c r="P61" s="124">
        <f t="shared" si="10"/>
        <v>596390</v>
      </c>
      <c r="Q61" s="127">
        <v>596390</v>
      </c>
      <c r="R61" s="125">
        <v>0</v>
      </c>
      <c r="S61" s="125">
        <v>0</v>
      </c>
      <c r="T61" s="183"/>
      <c r="U61" s="183">
        <f t="shared" si="11"/>
        <v>-136502</v>
      </c>
      <c r="V61" s="183"/>
    </row>
    <row r="62" spans="1:33" ht="15.75" x14ac:dyDescent="0.25">
      <c r="A62" s="26"/>
      <c r="B62" s="110"/>
      <c r="C62" s="108" t="s">
        <v>473</v>
      </c>
      <c r="D62" s="110"/>
      <c r="E62" s="26"/>
      <c r="F62" s="124"/>
      <c r="G62" s="497"/>
      <c r="H62" s="126"/>
      <c r="I62" s="126"/>
      <c r="J62" s="26"/>
      <c r="K62" s="124"/>
      <c r="L62" s="126"/>
      <c r="M62" s="126"/>
      <c r="N62" s="126"/>
      <c r="O62" s="126"/>
      <c r="P62" s="124"/>
      <c r="Q62" s="126"/>
      <c r="R62" s="126"/>
      <c r="S62" s="126"/>
      <c r="T62" s="183"/>
      <c r="U62" s="183">
        <f t="shared" si="11"/>
        <v>0</v>
      </c>
      <c r="V62" s="183"/>
    </row>
    <row r="63" spans="1:33" ht="15.75" hidden="1" x14ac:dyDescent="0.25">
      <c r="A63" s="26"/>
      <c r="B63" s="110"/>
      <c r="C63" s="110"/>
      <c r="D63" s="114" t="s">
        <v>474</v>
      </c>
      <c r="E63" s="114"/>
      <c r="F63" s="124">
        <f t="shared" ref="F63:F80" si="14">SUM(G63:I63)</f>
        <v>0</v>
      </c>
      <c r="G63" s="498"/>
      <c r="H63" s="125"/>
      <c r="I63" s="125"/>
      <c r="J63" s="114"/>
      <c r="K63" s="124">
        <f t="shared" ref="K63:K97" si="15">SUM(L63:N63)</f>
        <v>0</v>
      </c>
      <c r="L63" s="127"/>
      <c r="M63" s="125"/>
      <c r="N63" s="125"/>
      <c r="O63" s="126"/>
      <c r="P63" s="124">
        <f t="shared" ref="P63:P80" si="16">SUM(Q63:S63)</f>
        <v>0</v>
      </c>
      <c r="Q63" s="127"/>
      <c r="R63" s="125"/>
      <c r="S63" s="125"/>
      <c r="T63" s="183"/>
      <c r="U63" s="183">
        <f t="shared" si="11"/>
        <v>0</v>
      </c>
      <c r="V63" s="183"/>
    </row>
    <row r="64" spans="1:33" ht="15.75" hidden="1" x14ac:dyDescent="0.25">
      <c r="A64" s="26"/>
      <c r="B64" s="110"/>
      <c r="C64" s="110"/>
      <c r="D64" s="114" t="s">
        <v>475</v>
      </c>
      <c r="E64" s="114"/>
      <c r="F64" s="124">
        <f t="shared" si="14"/>
        <v>0</v>
      </c>
      <c r="G64" s="498"/>
      <c r="H64" s="125"/>
      <c r="I64" s="125"/>
      <c r="J64" s="114"/>
      <c r="K64" s="124">
        <f t="shared" si="15"/>
        <v>0</v>
      </c>
      <c r="L64" s="127"/>
      <c r="M64" s="125"/>
      <c r="N64" s="125"/>
      <c r="O64" s="126"/>
      <c r="P64" s="124">
        <f t="shared" si="16"/>
        <v>0</v>
      </c>
      <c r="Q64" s="127"/>
      <c r="R64" s="125"/>
      <c r="S64" s="125"/>
      <c r="T64" s="183"/>
      <c r="U64" s="183">
        <f t="shared" si="11"/>
        <v>0</v>
      </c>
      <c r="V64" s="183"/>
    </row>
    <row r="65" spans="1:33" ht="15.75" hidden="1" x14ac:dyDescent="0.25">
      <c r="A65" s="26"/>
      <c r="B65" s="110"/>
      <c r="C65" s="110"/>
      <c r="D65" s="114" t="s">
        <v>476</v>
      </c>
      <c r="E65" s="114"/>
      <c r="F65" s="124">
        <f t="shared" si="14"/>
        <v>0</v>
      </c>
      <c r="G65" s="498"/>
      <c r="H65" s="125"/>
      <c r="I65" s="125"/>
      <c r="J65" s="114"/>
      <c r="K65" s="124">
        <f t="shared" si="15"/>
        <v>0</v>
      </c>
      <c r="L65" s="127"/>
      <c r="M65" s="125"/>
      <c r="N65" s="125"/>
      <c r="O65" s="126"/>
      <c r="P65" s="124">
        <f t="shared" si="16"/>
        <v>0</v>
      </c>
      <c r="Q65" s="127"/>
      <c r="R65" s="125"/>
      <c r="S65" s="125"/>
      <c r="T65" s="183"/>
      <c r="U65" s="183">
        <f t="shared" si="11"/>
        <v>0</v>
      </c>
      <c r="V65" s="183"/>
    </row>
    <row r="66" spans="1:33" ht="15.75" x14ac:dyDescent="0.25">
      <c r="A66" s="26"/>
      <c r="B66" s="110"/>
      <c r="C66" s="110"/>
      <c r="D66" s="114" t="s">
        <v>477</v>
      </c>
      <c r="E66" s="114"/>
      <c r="F66" s="124">
        <f t="shared" si="14"/>
        <v>38062439.830000006</v>
      </c>
      <c r="G66" s="497">
        <v>38062439.830000006</v>
      </c>
      <c r="H66" s="125">
        <v>0</v>
      </c>
      <c r="I66" s="125">
        <v>0</v>
      </c>
      <c r="J66" s="114"/>
      <c r="K66" s="124">
        <f t="shared" si="15"/>
        <v>694764.83999999985</v>
      </c>
      <c r="L66" s="127">
        <v>694764.83999999985</v>
      </c>
      <c r="M66" s="125">
        <v>0</v>
      </c>
      <c r="N66" s="125">
        <v>0</v>
      </c>
      <c r="O66" s="126"/>
      <c r="P66" s="124">
        <f t="shared" si="16"/>
        <v>1325939.5</v>
      </c>
      <c r="Q66" s="127">
        <v>1325939.5</v>
      </c>
      <c r="R66" s="125">
        <v>0</v>
      </c>
      <c r="S66" s="125">
        <v>0</v>
      </c>
      <c r="T66" s="183"/>
      <c r="U66" s="183">
        <f t="shared" si="11"/>
        <v>-631174.66000000015</v>
      </c>
      <c r="V66" s="183"/>
    </row>
    <row r="67" spans="1:33" ht="15.75" hidden="1" x14ac:dyDescent="0.25">
      <c r="A67" s="26"/>
      <c r="B67" s="110"/>
      <c r="C67" s="110"/>
      <c r="D67" s="114" t="s">
        <v>478</v>
      </c>
      <c r="E67" s="114"/>
      <c r="F67" s="124">
        <f t="shared" si="14"/>
        <v>0</v>
      </c>
      <c r="G67" s="498"/>
      <c r="H67" s="125">
        <v>0</v>
      </c>
      <c r="I67" s="125">
        <v>0</v>
      </c>
      <c r="J67" s="114"/>
      <c r="K67" s="124">
        <f t="shared" si="15"/>
        <v>0</v>
      </c>
      <c r="L67" s="127"/>
      <c r="M67" s="125">
        <v>0</v>
      </c>
      <c r="N67" s="125">
        <v>0</v>
      </c>
      <c r="O67" s="126"/>
      <c r="P67" s="124">
        <f t="shared" si="16"/>
        <v>0</v>
      </c>
      <c r="Q67" s="127"/>
      <c r="R67" s="125">
        <v>0</v>
      </c>
      <c r="S67" s="125">
        <v>0</v>
      </c>
      <c r="T67" s="183"/>
      <c r="U67" s="183">
        <f t="shared" si="11"/>
        <v>0</v>
      </c>
      <c r="V67" s="183"/>
    </row>
    <row r="68" spans="1:33" ht="15.75" hidden="1" x14ac:dyDescent="0.25">
      <c r="A68" s="26"/>
      <c r="B68" s="110"/>
      <c r="C68" s="110"/>
      <c r="D68" s="114" t="s">
        <v>479</v>
      </c>
      <c r="E68" s="26"/>
      <c r="F68" s="124">
        <f t="shared" si="14"/>
        <v>0</v>
      </c>
      <c r="G68" s="498"/>
      <c r="H68" s="125">
        <v>0</v>
      </c>
      <c r="I68" s="125">
        <v>0</v>
      </c>
      <c r="J68" s="26"/>
      <c r="K68" s="124">
        <f t="shared" si="15"/>
        <v>0</v>
      </c>
      <c r="L68" s="127"/>
      <c r="M68" s="125">
        <v>0</v>
      </c>
      <c r="N68" s="125">
        <v>0</v>
      </c>
      <c r="O68" s="126"/>
      <c r="P68" s="124">
        <f t="shared" si="16"/>
        <v>0</v>
      </c>
      <c r="Q68" s="127"/>
      <c r="R68" s="125">
        <v>0</v>
      </c>
      <c r="S68" s="125">
        <v>0</v>
      </c>
      <c r="T68" s="183"/>
      <c r="U68" s="183">
        <f t="shared" si="11"/>
        <v>0</v>
      </c>
      <c r="V68" s="183"/>
    </row>
    <row r="69" spans="1:33" ht="15.75" x14ac:dyDescent="0.25">
      <c r="A69" s="26"/>
      <c r="B69" s="110"/>
      <c r="C69" s="110"/>
      <c r="D69" s="114" t="s">
        <v>480</v>
      </c>
      <c r="E69" s="26"/>
      <c r="F69" s="124">
        <f t="shared" si="14"/>
        <v>798273</v>
      </c>
      <c r="G69" s="497">
        <v>798273</v>
      </c>
      <c r="H69" s="125">
        <v>0</v>
      </c>
      <c r="I69" s="125">
        <v>0</v>
      </c>
      <c r="J69" s="26"/>
      <c r="K69" s="124">
        <f t="shared" si="15"/>
        <v>7935752.7700000005</v>
      </c>
      <c r="L69" s="127">
        <v>7935752.7700000005</v>
      </c>
      <c r="M69" s="125">
        <v>0</v>
      </c>
      <c r="N69" s="125">
        <v>0</v>
      </c>
      <c r="O69" s="126"/>
      <c r="P69" s="124">
        <f t="shared" si="16"/>
        <v>19291493.18</v>
      </c>
      <c r="Q69" s="127">
        <v>19291493.18</v>
      </c>
      <c r="R69" s="125">
        <v>0</v>
      </c>
      <c r="S69" s="125">
        <v>0</v>
      </c>
      <c r="T69" s="183"/>
      <c r="U69" s="183">
        <f t="shared" si="11"/>
        <v>-11355740.41</v>
      </c>
      <c r="V69" s="183"/>
    </row>
    <row r="70" spans="1:33" ht="15.75" hidden="1" x14ac:dyDescent="0.25">
      <c r="A70" s="26"/>
      <c r="B70" s="110"/>
      <c r="C70" s="110"/>
      <c r="D70" s="114" t="s">
        <v>481</v>
      </c>
      <c r="E70" s="26"/>
      <c r="F70" s="124">
        <f t="shared" si="14"/>
        <v>0</v>
      </c>
      <c r="G70" s="498"/>
      <c r="H70" s="125">
        <v>0</v>
      </c>
      <c r="I70" s="125">
        <v>0</v>
      </c>
      <c r="J70" s="26"/>
      <c r="K70" s="124">
        <f t="shared" si="15"/>
        <v>0</v>
      </c>
      <c r="L70" s="127"/>
      <c r="M70" s="125">
        <v>0</v>
      </c>
      <c r="N70" s="125">
        <v>0</v>
      </c>
      <c r="O70" s="126"/>
      <c r="P70" s="124">
        <f t="shared" si="16"/>
        <v>0</v>
      </c>
      <c r="Q70" s="127"/>
      <c r="R70" s="125">
        <v>0</v>
      </c>
      <c r="S70" s="125">
        <v>0</v>
      </c>
      <c r="T70" s="183"/>
      <c r="U70" s="183">
        <f t="shared" si="11"/>
        <v>0</v>
      </c>
      <c r="V70" s="183"/>
    </row>
    <row r="71" spans="1:33" ht="15.75" hidden="1" x14ac:dyDescent="0.25">
      <c r="A71" s="26"/>
      <c r="B71" s="110"/>
      <c r="C71" s="110"/>
      <c r="D71" s="114" t="s">
        <v>482</v>
      </c>
      <c r="E71" s="26"/>
      <c r="F71" s="124">
        <f t="shared" si="14"/>
        <v>0</v>
      </c>
      <c r="G71" s="498"/>
      <c r="H71" s="125">
        <v>0</v>
      </c>
      <c r="I71" s="125">
        <v>0</v>
      </c>
      <c r="J71" s="26"/>
      <c r="K71" s="124">
        <f t="shared" si="15"/>
        <v>0</v>
      </c>
      <c r="L71" s="127"/>
      <c r="M71" s="125">
        <v>0</v>
      </c>
      <c r="N71" s="125">
        <v>0</v>
      </c>
      <c r="O71" s="126"/>
      <c r="P71" s="124">
        <f t="shared" si="16"/>
        <v>0</v>
      </c>
      <c r="Q71" s="127"/>
      <c r="R71" s="125">
        <v>0</v>
      </c>
      <c r="S71" s="125">
        <v>0</v>
      </c>
      <c r="T71" s="183"/>
      <c r="U71" s="183">
        <f t="shared" si="11"/>
        <v>0</v>
      </c>
      <c r="V71" s="183"/>
    </row>
    <row r="72" spans="1:33" ht="15.75" hidden="1" x14ac:dyDescent="0.25">
      <c r="A72" s="26"/>
      <c r="B72" s="110"/>
      <c r="C72" s="110"/>
      <c r="D72" s="114" t="s">
        <v>483</v>
      </c>
      <c r="E72" s="26"/>
      <c r="F72" s="124">
        <f t="shared" si="14"/>
        <v>0</v>
      </c>
      <c r="G72" s="498"/>
      <c r="H72" s="125">
        <v>0</v>
      </c>
      <c r="I72" s="125">
        <v>0</v>
      </c>
      <c r="J72" s="26"/>
      <c r="K72" s="124">
        <f t="shared" si="15"/>
        <v>0</v>
      </c>
      <c r="L72" s="127"/>
      <c r="M72" s="125">
        <v>0</v>
      </c>
      <c r="N72" s="125">
        <v>0</v>
      </c>
      <c r="O72" s="126"/>
      <c r="P72" s="124">
        <f t="shared" si="16"/>
        <v>0</v>
      </c>
      <c r="Q72" s="127"/>
      <c r="R72" s="125">
        <v>0</v>
      </c>
      <c r="S72" s="125">
        <v>0</v>
      </c>
      <c r="T72" s="183"/>
      <c r="U72" s="183">
        <f t="shared" si="11"/>
        <v>0</v>
      </c>
      <c r="V72" s="183"/>
    </row>
    <row r="73" spans="1:33" s="51" customFormat="1" ht="15.75" x14ac:dyDescent="0.25">
      <c r="A73" s="26"/>
      <c r="B73" s="110"/>
      <c r="C73" s="110"/>
      <c r="D73" s="114" t="s">
        <v>484</v>
      </c>
      <c r="E73" s="26"/>
      <c r="F73" s="124">
        <f t="shared" si="14"/>
        <v>10320356.09</v>
      </c>
      <c r="G73" s="497">
        <v>10320356.09</v>
      </c>
      <c r="H73" s="125">
        <v>0</v>
      </c>
      <c r="I73" s="125">
        <v>0</v>
      </c>
      <c r="J73" s="26"/>
      <c r="K73" s="124">
        <f t="shared" si="15"/>
        <v>357323.44</v>
      </c>
      <c r="L73" s="127">
        <v>357323.44</v>
      </c>
      <c r="M73" s="125">
        <v>0</v>
      </c>
      <c r="N73" s="125">
        <v>0</v>
      </c>
      <c r="O73" s="126"/>
      <c r="P73" s="124">
        <f t="shared" si="16"/>
        <v>626781</v>
      </c>
      <c r="Q73" s="127">
        <v>626781</v>
      </c>
      <c r="R73" s="125">
        <v>0</v>
      </c>
      <c r="S73" s="125">
        <v>0</v>
      </c>
      <c r="T73" s="183"/>
      <c r="U73" s="183">
        <f t="shared" si="11"/>
        <v>-269457.56</v>
      </c>
      <c r="V73" s="199"/>
    </row>
    <row r="74" spans="1:33" ht="15.75" hidden="1" x14ac:dyDescent="0.25">
      <c r="A74" s="26"/>
      <c r="B74" s="110"/>
      <c r="C74" s="110"/>
      <c r="D74" s="114" t="s">
        <v>485</v>
      </c>
      <c r="E74" s="26"/>
      <c r="F74" s="124">
        <f t="shared" si="14"/>
        <v>0</v>
      </c>
      <c r="G74" s="498"/>
      <c r="H74" s="125">
        <v>0</v>
      </c>
      <c r="I74" s="125">
        <v>0</v>
      </c>
      <c r="J74" s="26"/>
      <c r="K74" s="124">
        <f t="shared" si="15"/>
        <v>0</v>
      </c>
      <c r="L74" s="127"/>
      <c r="M74" s="125">
        <v>0</v>
      </c>
      <c r="N74" s="125">
        <v>0</v>
      </c>
      <c r="O74" s="126"/>
      <c r="P74" s="124">
        <f t="shared" si="16"/>
        <v>0</v>
      </c>
      <c r="Q74" s="127"/>
      <c r="R74" s="125">
        <v>0</v>
      </c>
      <c r="S74" s="125">
        <v>0</v>
      </c>
      <c r="T74" s="183"/>
      <c r="U74" s="183">
        <f t="shared" si="11"/>
        <v>0</v>
      </c>
      <c r="V74" s="183"/>
    </row>
    <row r="75" spans="1:33" ht="15.75" x14ac:dyDescent="0.25">
      <c r="A75" s="26"/>
      <c r="B75" s="110"/>
      <c r="C75" s="110"/>
      <c r="D75" s="114" t="s">
        <v>486</v>
      </c>
      <c r="E75" s="26"/>
      <c r="F75" s="124">
        <f t="shared" si="14"/>
        <v>11742188.850000001</v>
      </c>
      <c r="G75" s="497">
        <v>11742188.850000001</v>
      </c>
      <c r="H75" s="125">
        <v>0</v>
      </c>
      <c r="I75" s="125">
        <v>0</v>
      </c>
      <c r="J75" s="26"/>
      <c r="K75" s="124">
        <f t="shared" si="15"/>
        <v>31086782.540000003</v>
      </c>
      <c r="L75" s="127">
        <v>31086782.540000003</v>
      </c>
      <c r="M75" s="125">
        <v>0</v>
      </c>
      <c r="N75" s="125">
        <v>0</v>
      </c>
      <c r="O75" s="126"/>
      <c r="P75" s="124">
        <f t="shared" si="16"/>
        <v>40680169.999999993</v>
      </c>
      <c r="Q75" s="127">
        <v>40680169.999999993</v>
      </c>
      <c r="R75" s="125">
        <v>0</v>
      </c>
      <c r="S75" s="125">
        <v>0</v>
      </c>
      <c r="T75" s="183"/>
      <c r="U75" s="183">
        <f t="shared" si="11"/>
        <v>-9593387.4599999897</v>
      </c>
      <c r="V75" s="183"/>
    </row>
    <row r="76" spans="1:33" ht="15.75" x14ac:dyDescent="0.25">
      <c r="A76" s="26"/>
      <c r="B76" s="110"/>
      <c r="C76" s="110"/>
      <c r="D76" s="114" t="s">
        <v>487</v>
      </c>
      <c r="E76" s="26"/>
      <c r="F76" s="124">
        <f t="shared" si="14"/>
        <v>7172166</v>
      </c>
      <c r="G76" s="497">
        <v>7172166</v>
      </c>
      <c r="H76" s="125">
        <v>0</v>
      </c>
      <c r="I76" s="125">
        <v>0</v>
      </c>
      <c r="J76" s="26"/>
      <c r="K76" s="124">
        <f t="shared" si="15"/>
        <v>6034164</v>
      </c>
      <c r="L76" s="127">
        <v>6034164</v>
      </c>
      <c r="M76" s="125">
        <v>0</v>
      </c>
      <c r="N76" s="125">
        <v>0</v>
      </c>
      <c r="O76" s="126"/>
      <c r="P76" s="124">
        <f t="shared" si="16"/>
        <v>6281974.2599999998</v>
      </c>
      <c r="Q76" s="127">
        <v>6281974.2599999998</v>
      </c>
      <c r="R76" s="125">
        <v>0</v>
      </c>
      <c r="S76" s="125">
        <v>0</v>
      </c>
      <c r="T76" s="183"/>
      <c r="U76" s="183">
        <f t="shared" si="11"/>
        <v>-247810.25999999978</v>
      </c>
      <c r="V76" s="183"/>
    </row>
    <row r="77" spans="1:33" ht="15.75" x14ac:dyDescent="0.25">
      <c r="A77" s="26"/>
      <c r="B77" s="110"/>
      <c r="C77" s="110"/>
      <c r="D77" s="114" t="s">
        <v>488</v>
      </c>
      <c r="E77" s="26"/>
      <c r="F77" s="124">
        <f t="shared" si="14"/>
        <v>4422170</v>
      </c>
      <c r="G77" s="497">
        <v>4422170</v>
      </c>
      <c r="H77" s="125">
        <v>0</v>
      </c>
      <c r="I77" s="125">
        <v>0</v>
      </c>
      <c r="J77" s="26"/>
      <c r="K77" s="124">
        <f t="shared" si="15"/>
        <v>7111317.6699999999</v>
      </c>
      <c r="L77" s="127">
        <v>7111317.6699999999</v>
      </c>
      <c r="M77" s="125">
        <v>0</v>
      </c>
      <c r="N77" s="125">
        <v>0</v>
      </c>
      <c r="O77" s="126"/>
      <c r="P77" s="124">
        <f t="shared" si="16"/>
        <v>8067690.5499999998</v>
      </c>
      <c r="Q77" s="127">
        <v>8067690.5499999998</v>
      </c>
      <c r="R77" s="125">
        <v>0</v>
      </c>
      <c r="S77" s="125">
        <v>0</v>
      </c>
      <c r="T77" s="183"/>
      <c r="U77" s="183">
        <f t="shared" si="11"/>
        <v>-956372.87999999989</v>
      </c>
      <c r="V77" s="183"/>
    </row>
    <row r="78" spans="1:33" ht="15.75" hidden="1" x14ac:dyDescent="0.25">
      <c r="A78" s="26"/>
      <c r="B78" s="110"/>
      <c r="C78" s="110"/>
      <c r="D78" s="114" t="s">
        <v>489</v>
      </c>
      <c r="E78" s="26"/>
      <c r="F78" s="124">
        <f t="shared" si="14"/>
        <v>0</v>
      </c>
      <c r="G78" s="498"/>
      <c r="H78" s="125">
        <v>0</v>
      </c>
      <c r="I78" s="125">
        <v>0</v>
      </c>
      <c r="J78" s="26"/>
      <c r="K78" s="124">
        <f t="shared" si="15"/>
        <v>0</v>
      </c>
      <c r="L78" s="127"/>
      <c r="M78" s="125">
        <v>0</v>
      </c>
      <c r="N78" s="125">
        <v>0</v>
      </c>
      <c r="O78" s="126"/>
      <c r="P78" s="124">
        <f t="shared" si="16"/>
        <v>0</v>
      </c>
      <c r="Q78" s="127"/>
      <c r="R78" s="125">
        <v>0</v>
      </c>
      <c r="S78" s="125">
        <v>0</v>
      </c>
      <c r="T78" s="183"/>
      <c r="U78" s="183"/>
      <c r="V78" s="183"/>
    </row>
    <row r="79" spans="1:33" ht="15.75" x14ac:dyDescent="0.25">
      <c r="A79" s="26"/>
      <c r="B79" s="110"/>
      <c r="C79" s="110"/>
      <c r="D79" s="108" t="s">
        <v>490</v>
      </c>
      <c r="E79" s="26"/>
      <c r="F79" s="124">
        <f t="shared" si="14"/>
        <v>16752591.190000001</v>
      </c>
      <c r="G79" s="497">
        <v>16752591.190000001</v>
      </c>
      <c r="H79" s="125">
        <v>0</v>
      </c>
      <c r="I79" s="125">
        <v>0</v>
      </c>
      <c r="J79" s="26"/>
      <c r="K79" s="124">
        <f t="shared" si="15"/>
        <v>12665759.25</v>
      </c>
      <c r="L79" s="127">
        <v>12665759.25</v>
      </c>
      <c r="M79" s="125">
        <v>0</v>
      </c>
      <c r="N79" s="125">
        <v>0</v>
      </c>
      <c r="O79" s="128"/>
      <c r="P79" s="124">
        <f>SUM(Q79:S79)</f>
        <v>11661398.41</v>
      </c>
      <c r="Q79" s="127">
        <v>11661398.41</v>
      </c>
      <c r="R79" s="125">
        <v>0</v>
      </c>
      <c r="S79" s="125">
        <v>0</v>
      </c>
      <c r="T79" s="183"/>
      <c r="U79" s="183"/>
      <c r="V79" s="198"/>
      <c r="W79" s="50"/>
      <c r="X79" s="50"/>
      <c r="Z79" s="50"/>
      <c r="AA79" s="50"/>
      <c r="AB79" s="50"/>
      <c r="AC79" s="50"/>
      <c r="AD79" s="50"/>
      <c r="AE79" s="50"/>
      <c r="AF79" s="50"/>
      <c r="AG79" s="50"/>
    </row>
    <row r="80" spans="1:33" ht="15.75" hidden="1" x14ac:dyDescent="0.25">
      <c r="A80" s="26"/>
      <c r="B80" s="110"/>
      <c r="C80" s="110"/>
      <c r="D80" s="114" t="s">
        <v>491</v>
      </c>
      <c r="E80" s="26"/>
      <c r="F80" s="124">
        <f t="shared" si="14"/>
        <v>0</v>
      </c>
      <c r="G80" s="498"/>
      <c r="H80" s="125"/>
      <c r="I80" s="125"/>
      <c r="J80" s="26"/>
      <c r="K80" s="124">
        <f t="shared" si="15"/>
        <v>0</v>
      </c>
      <c r="L80" s="127"/>
      <c r="M80" s="125"/>
      <c r="N80" s="125"/>
      <c r="O80" s="126"/>
      <c r="P80" s="124">
        <f t="shared" si="16"/>
        <v>0</v>
      </c>
      <c r="Q80" s="127"/>
      <c r="R80" s="125"/>
      <c r="S80" s="125"/>
      <c r="T80" s="183"/>
      <c r="U80" s="183"/>
      <c r="V80" s="183"/>
    </row>
    <row r="81" spans="1:33" ht="15.75" hidden="1" x14ac:dyDescent="0.25">
      <c r="A81" s="26"/>
      <c r="B81" s="110"/>
      <c r="C81" s="110"/>
      <c r="D81" s="108" t="s">
        <v>492</v>
      </c>
      <c r="E81" s="26"/>
      <c r="F81" s="124"/>
      <c r="G81" s="499"/>
      <c r="H81" s="126"/>
      <c r="I81" s="126"/>
      <c r="J81" s="26"/>
      <c r="K81" s="124"/>
      <c r="L81" s="126"/>
      <c r="M81" s="126"/>
      <c r="N81" s="126"/>
      <c r="O81" s="126"/>
      <c r="P81" s="124"/>
      <c r="Q81" s="126"/>
      <c r="R81" s="126"/>
      <c r="S81" s="126"/>
      <c r="T81" s="183"/>
      <c r="U81" s="183"/>
      <c r="V81" s="183"/>
    </row>
    <row r="82" spans="1:33" ht="15.75" hidden="1" x14ac:dyDescent="0.25">
      <c r="A82" s="26"/>
      <c r="B82" s="110"/>
      <c r="C82" s="110"/>
      <c r="D82" s="114"/>
      <c r="E82" s="23" t="s">
        <v>493</v>
      </c>
      <c r="F82" s="124">
        <f t="shared" ref="F82:F84" si="17">SUM(G82:I82)</f>
        <v>0</v>
      </c>
      <c r="G82" s="499"/>
      <c r="H82" s="126"/>
      <c r="I82" s="126"/>
      <c r="J82" s="23"/>
      <c r="K82" s="124">
        <f t="shared" si="15"/>
        <v>0</v>
      </c>
      <c r="L82" s="126"/>
      <c r="M82" s="126"/>
      <c r="N82" s="126"/>
      <c r="O82" s="126"/>
      <c r="P82" s="124">
        <f t="shared" ref="P82:P84" si="18">SUM(Q82:S82)</f>
        <v>0</v>
      </c>
      <c r="Q82" s="126"/>
      <c r="R82" s="126"/>
      <c r="S82" s="126"/>
      <c r="T82" s="183"/>
      <c r="U82" s="183"/>
      <c r="V82" s="183"/>
    </row>
    <row r="83" spans="1:33" ht="15.75" hidden="1" x14ac:dyDescent="0.25">
      <c r="A83" s="26"/>
      <c r="B83" s="110"/>
      <c r="C83" s="110"/>
      <c r="D83" s="114"/>
      <c r="E83" s="23" t="s">
        <v>494</v>
      </c>
      <c r="F83" s="124">
        <f t="shared" si="17"/>
        <v>0</v>
      </c>
      <c r="G83" s="506"/>
      <c r="H83" s="125"/>
      <c r="I83" s="125"/>
      <c r="J83" s="23"/>
      <c r="K83" s="124">
        <f t="shared" si="15"/>
        <v>0</v>
      </c>
      <c r="L83" s="133"/>
      <c r="M83" s="125"/>
      <c r="N83" s="125"/>
      <c r="O83" s="126"/>
      <c r="P83" s="124">
        <f t="shared" si="18"/>
        <v>0</v>
      </c>
      <c r="Q83" s="133"/>
      <c r="R83" s="125"/>
      <c r="S83" s="125"/>
      <c r="T83" s="183"/>
      <c r="U83" s="183"/>
      <c r="V83" s="183"/>
    </row>
    <row r="84" spans="1:33" ht="15.75" hidden="1" x14ac:dyDescent="0.25">
      <c r="A84" s="26"/>
      <c r="B84" s="110"/>
      <c r="C84" s="110"/>
      <c r="D84" s="114"/>
      <c r="E84" s="23" t="s">
        <v>495</v>
      </c>
      <c r="F84" s="124">
        <f t="shared" si="17"/>
        <v>0</v>
      </c>
      <c r="G84" s="500"/>
      <c r="H84" s="125"/>
      <c r="I84" s="125"/>
      <c r="J84" s="23"/>
      <c r="K84" s="124">
        <f t="shared" si="15"/>
        <v>0</v>
      </c>
      <c r="L84" s="125"/>
      <c r="M84" s="125"/>
      <c r="N84" s="125"/>
      <c r="O84" s="126"/>
      <c r="P84" s="124">
        <f t="shared" si="18"/>
        <v>0</v>
      </c>
      <c r="Q84" s="125"/>
      <c r="R84" s="125"/>
      <c r="S84" s="125"/>
      <c r="T84" s="183"/>
      <c r="U84" s="183"/>
      <c r="V84" s="183"/>
    </row>
    <row r="85" spans="1:33" ht="15.75" x14ac:dyDescent="0.25">
      <c r="A85" s="26"/>
      <c r="B85" s="110"/>
      <c r="C85" s="110"/>
      <c r="D85" s="108" t="s">
        <v>496</v>
      </c>
      <c r="E85" s="23"/>
      <c r="F85" s="124"/>
      <c r="G85" s="497"/>
      <c r="H85" s="126"/>
      <c r="I85" s="126"/>
      <c r="J85" s="23"/>
      <c r="K85" s="124"/>
      <c r="L85" s="126"/>
      <c r="M85" s="126"/>
      <c r="N85" s="126"/>
      <c r="O85" s="126"/>
      <c r="P85" s="124"/>
      <c r="Q85" s="126"/>
      <c r="R85" s="126"/>
      <c r="S85" s="126"/>
      <c r="T85" s="183"/>
      <c r="U85" s="183"/>
      <c r="V85" s="183"/>
    </row>
    <row r="86" spans="1:33" ht="15.75" x14ac:dyDescent="0.25">
      <c r="A86" s="26"/>
      <c r="B86" s="110"/>
      <c r="C86" s="110"/>
      <c r="D86" s="114"/>
      <c r="E86" s="23" t="s">
        <v>496</v>
      </c>
      <c r="F86" s="124">
        <f t="shared" ref="F86" si="19">SUM(G86:I86)</f>
        <v>2157631.59</v>
      </c>
      <c r="G86" s="497">
        <v>2157631.59</v>
      </c>
      <c r="H86" s="125">
        <v>0</v>
      </c>
      <c r="I86" s="125">
        <v>0</v>
      </c>
      <c r="J86" s="23"/>
      <c r="K86" s="124">
        <f t="shared" si="15"/>
        <v>1923090.55</v>
      </c>
      <c r="L86" s="126">
        <v>1923090.55</v>
      </c>
      <c r="M86" s="125">
        <v>0</v>
      </c>
      <c r="N86" s="125">
        <v>0</v>
      </c>
      <c r="O86" s="126"/>
      <c r="P86" s="124">
        <f t="shared" ref="P86" si="20">SUM(Q86:S86)</f>
        <v>1930440.8099999998</v>
      </c>
      <c r="Q86" s="126">
        <v>1930440.8099999998</v>
      </c>
      <c r="R86" s="125">
        <v>0</v>
      </c>
      <c r="S86" s="125">
        <v>0</v>
      </c>
      <c r="T86" s="183"/>
      <c r="U86" s="183"/>
      <c r="V86" s="183"/>
    </row>
    <row r="87" spans="1:33" ht="15.75" x14ac:dyDescent="0.25">
      <c r="A87" s="26"/>
      <c r="B87" s="110"/>
      <c r="C87" s="110"/>
      <c r="D87" s="114"/>
      <c r="E87" s="113" t="s">
        <v>497</v>
      </c>
      <c r="F87" s="134">
        <f>F79-F86</f>
        <v>14594959.600000001</v>
      </c>
      <c r="G87" s="134">
        <f>G79-G86</f>
        <v>14594959.600000001</v>
      </c>
      <c r="H87" s="134">
        <f t="shared" ref="H87:I87" si="21">SUM(H79:H86)</f>
        <v>0</v>
      </c>
      <c r="I87" s="134">
        <f t="shared" si="21"/>
        <v>0</v>
      </c>
      <c r="J87" s="113"/>
      <c r="K87" s="134">
        <f>K79-K86</f>
        <v>10742668.699999999</v>
      </c>
      <c r="L87" s="134">
        <f>L79-L86</f>
        <v>10742668.699999999</v>
      </c>
      <c r="M87" s="134">
        <f t="shared" ref="M87:N87" si="22">SUM(M79:M86)</f>
        <v>0</v>
      </c>
      <c r="N87" s="134">
        <f t="shared" si="22"/>
        <v>0</v>
      </c>
      <c r="O87" s="126"/>
      <c r="P87" s="134">
        <f>P79-P86</f>
        <v>9730957.5999999996</v>
      </c>
      <c r="Q87" s="134">
        <v>9730957.5999999996</v>
      </c>
      <c r="R87" s="134">
        <v>0</v>
      </c>
      <c r="S87" s="134">
        <v>0</v>
      </c>
      <c r="T87" s="183"/>
      <c r="U87" s="183">
        <f>+K87-P87</f>
        <v>1011711.0999999996</v>
      </c>
      <c r="V87" s="183"/>
    </row>
    <row r="88" spans="1:33" ht="15.75" x14ac:dyDescent="0.25">
      <c r="A88" s="26"/>
      <c r="B88" s="110"/>
      <c r="C88" s="110"/>
      <c r="D88" s="114" t="s">
        <v>498</v>
      </c>
      <c r="E88" s="26"/>
      <c r="F88" s="124">
        <f t="shared" ref="F88:F97" si="23">SUM(G88:I88)</f>
        <v>349690</v>
      </c>
      <c r="G88" s="498">
        <v>349690</v>
      </c>
      <c r="H88" s="125">
        <v>0</v>
      </c>
      <c r="I88" s="125"/>
      <c r="J88" s="26"/>
      <c r="K88" s="124">
        <f t="shared" si="15"/>
        <v>353170</v>
      </c>
      <c r="L88" s="127">
        <v>353170</v>
      </c>
      <c r="M88" s="125"/>
      <c r="N88" s="125"/>
      <c r="O88" s="126"/>
      <c r="P88" s="124">
        <f t="shared" ref="P88:P97" si="24">SUM(Q88:S88)</f>
        <v>393610</v>
      </c>
      <c r="Q88" s="127">
        <v>393610</v>
      </c>
      <c r="R88" s="125">
        <v>0</v>
      </c>
      <c r="S88" s="125">
        <v>0</v>
      </c>
      <c r="T88" s="183"/>
      <c r="U88" s="183"/>
      <c r="V88" s="183"/>
    </row>
    <row r="89" spans="1:33" ht="15.75" x14ac:dyDescent="0.25">
      <c r="A89" s="26"/>
      <c r="B89" s="110"/>
      <c r="C89" s="110"/>
      <c r="D89" s="114" t="s">
        <v>499</v>
      </c>
      <c r="E89" s="26"/>
      <c r="F89" s="124">
        <f t="shared" si="23"/>
        <v>1629607</v>
      </c>
      <c r="G89" s="498">
        <v>1629607</v>
      </c>
      <c r="H89" s="125">
        <v>0</v>
      </c>
      <c r="I89" s="125"/>
      <c r="J89" s="26"/>
      <c r="K89" s="124">
        <f t="shared" si="15"/>
        <v>2103314.5</v>
      </c>
      <c r="L89" s="127">
        <v>2103314.5</v>
      </c>
      <c r="M89" s="125"/>
      <c r="N89" s="125"/>
      <c r="O89" s="126"/>
      <c r="P89" s="124">
        <f t="shared" si="24"/>
        <v>2216526.65</v>
      </c>
      <c r="Q89" s="127">
        <v>2216526.65</v>
      </c>
      <c r="R89" s="125">
        <v>0</v>
      </c>
      <c r="S89" s="125">
        <v>0</v>
      </c>
      <c r="T89" s="183"/>
      <c r="U89" s="183"/>
      <c r="V89" s="183"/>
    </row>
    <row r="90" spans="1:33" ht="15.75" hidden="1" x14ac:dyDescent="0.25">
      <c r="A90" s="26"/>
      <c r="B90" s="110"/>
      <c r="C90" s="110"/>
      <c r="D90" s="114" t="s">
        <v>500</v>
      </c>
      <c r="E90" s="26"/>
      <c r="F90" s="124">
        <f t="shared" si="23"/>
        <v>0</v>
      </c>
      <c r="G90" s="498"/>
      <c r="H90" s="125"/>
      <c r="I90" s="125"/>
      <c r="J90" s="26"/>
      <c r="K90" s="124">
        <f t="shared" si="15"/>
        <v>0</v>
      </c>
      <c r="L90" s="127"/>
      <c r="M90" s="125"/>
      <c r="N90" s="125"/>
      <c r="O90" s="126"/>
      <c r="P90" s="124">
        <f t="shared" si="24"/>
        <v>0</v>
      </c>
      <c r="Q90" s="127"/>
      <c r="R90" s="125"/>
      <c r="S90" s="125"/>
      <c r="T90" s="183"/>
      <c r="U90" s="183"/>
      <c r="V90" s="183"/>
    </row>
    <row r="91" spans="1:33" ht="15.75" x14ac:dyDescent="0.25">
      <c r="A91" s="26"/>
      <c r="B91" s="110"/>
      <c r="C91" s="110"/>
      <c r="D91" s="114" t="s">
        <v>501</v>
      </c>
      <c r="E91" s="26"/>
      <c r="F91" s="124">
        <f t="shared" si="23"/>
        <v>498300.18000000005</v>
      </c>
      <c r="G91" s="498">
        <v>463019.52000000002</v>
      </c>
      <c r="H91" s="125">
        <v>35280.660000000003</v>
      </c>
      <c r="I91" s="125">
        <v>0</v>
      </c>
      <c r="J91" s="26"/>
      <c r="K91" s="124">
        <f t="shared" si="15"/>
        <v>2739676.5900000003</v>
      </c>
      <c r="L91" s="127">
        <v>2677236.5700000003</v>
      </c>
      <c r="M91" s="125">
        <v>62440.02</v>
      </c>
      <c r="N91" s="125">
        <v>0</v>
      </c>
      <c r="O91" s="125" t="s">
        <v>4</v>
      </c>
      <c r="P91" s="124">
        <f t="shared" si="24"/>
        <v>1388389.33</v>
      </c>
      <c r="Q91" s="127">
        <v>1324689.3600000001</v>
      </c>
      <c r="R91" s="125">
        <v>63699.97</v>
      </c>
      <c r="S91" s="125">
        <v>0</v>
      </c>
      <c r="T91" s="183"/>
      <c r="U91" s="183"/>
      <c r="V91" s="183"/>
    </row>
    <row r="92" spans="1:33" ht="15.75" hidden="1" x14ac:dyDescent="0.25">
      <c r="A92" s="26"/>
      <c r="B92" s="110"/>
      <c r="C92" s="110"/>
      <c r="D92" s="114" t="s">
        <v>502</v>
      </c>
      <c r="E92" s="26"/>
      <c r="F92" s="124">
        <f t="shared" si="23"/>
        <v>0</v>
      </c>
      <c r="G92" s="498"/>
      <c r="H92" s="125"/>
      <c r="I92" s="125"/>
      <c r="J92" s="26"/>
      <c r="K92" s="124">
        <f t="shared" si="15"/>
        <v>0</v>
      </c>
      <c r="L92" s="127"/>
      <c r="M92" s="125"/>
      <c r="N92" s="125"/>
      <c r="O92" s="126"/>
      <c r="P92" s="124">
        <f t="shared" si="24"/>
        <v>0</v>
      </c>
      <c r="Q92" s="127"/>
      <c r="R92" s="125"/>
      <c r="S92" s="125"/>
      <c r="T92" s="183"/>
      <c r="U92" s="183"/>
      <c r="V92" s="183"/>
    </row>
    <row r="93" spans="1:33" ht="15.75" hidden="1" x14ac:dyDescent="0.25">
      <c r="A93" s="26"/>
      <c r="B93" s="110"/>
      <c r="C93" s="110"/>
      <c r="D93" s="114" t="s">
        <v>503</v>
      </c>
      <c r="E93" s="26"/>
      <c r="F93" s="124">
        <f t="shared" si="23"/>
        <v>0</v>
      </c>
      <c r="G93" s="498"/>
      <c r="H93" s="125"/>
      <c r="I93" s="125"/>
      <c r="J93" s="26"/>
      <c r="K93" s="124">
        <f t="shared" si="15"/>
        <v>0</v>
      </c>
      <c r="L93" s="127"/>
      <c r="M93" s="125"/>
      <c r="N93" s="125"/>
      <c r="O93" s="128"/>
      <c r="P93" s="124">
        <f t="shared" si="24"/>
        <v>0</v>
      </c>
      <c r="Q93" s="127"/>
      <c r="R93" s="125"/>
      <c r="S93" s="125"/>
      <c r="T93" s="183"/>
      <c r="U93" s="183"/>
      <c r="V93" s="198"/>
      <c r="W93" s="50"/>
      <c r="X93" s="50"/>
      <c r="Z93" s="50"/>
      <c r="AA93" s="50"/>
      <c r="AB93" s="50"/>
      <c r="AC93" s="50"/>
      <c r="AD93" s="50"/>
      <c r="AE93" s="50"/>
      <c r="AF93" s="50"/>
      <c r="AG93" s="50"/>
    </row>
    <row r="94" spans="1:33" ht="15.75" hidden="1" x14ac:dyDescent="0.25">
      <c r="A94" s="26"/>
      <c r="B94" s="110"/>
      <c r="C94" s="110"/>
      <c r="D94" s="114" t="s">
        <v>504</v>
      </c>
      <c r="E94" s="26"/>
      <c r="F94" s="124">
        <f t="shared" si="23"/>
        <v>0</v>
      </c>
      <c r="G94" s="498"/>
      <c r="H94" s="125"/>
      <c r="I94" s="125"/>
      <c r="J94" s="26"/>
      <c r="K94" s="124">
        <f t="shared" si="15"/>
        <v>0</v>
      </c>
      <c r="L94" s="127"/>
      <c r="M94" s="125"/>
      <c r="N94" s="125"/>
      <c r="O94" s="128"/>
      <c r="P94" s="124">
        <f t="shared" si="24"/>
        <v>0</v>
      </c>
      <c r="Q94" s="127"/>
      <c r="R94" s="125"/>
      <c r="S94" s="125"/>
      <c r="T94" s="183"/>
      <c r="U94" s="183"/>
      <c r="V94" s="198"/>
      <c r="W94" s="50"/>
      <c r="X94" s="50"/>
      <c r="Z94" s="50"/>
      <c r="AA94" s="50"/>
      <c r="AB94" s="50"/>
      <c r="AC94" s="50"/>
      <c r="AD94" s="50"/>
      <c r="AE94" s="50"/>
      <c r="AF94" s="50"/>
      <c r="AG94" s="50"/>
    </row>
    <row r="95" spans="1:33" ht="15.75" hidden="1" x14ac:dyDescent="0.25">
      <c r="A95" s="26"/>
      <c r="B95" s="110"/>
      <c r="C95" s="110"/>
      <c r="D95" s="114" t="s">
        <v>505</v>
      </c>
      <c r="E95" s="26"/>
      <c r="F95" s="124">
        <f t="shared" si="23"/>
        <v>0</v>
      </c>
      <c r="G95" s="498"/>
      <c r="H95" s="125"/>
      <c r="I95" s="125"/>
      <c r="J95" s="26"/>
      <c r="K95" s="124">
        <f t="shared" si="15"/>
        <v>0</v>
      </c>
      <c r="L95" s="127"/>
      <c r="M95" s="125"/>
      <c r="N95" s="125"/>
      <c r="O95" s="126"/>
      <c r="P95" s="124">
        <f t="shared" si="24"/>
        <v>0</v>
      </c>
      <c r="Q95" s="127"/>
      <c r="R95" s="125"/>
      <c r="S95" s="125"/>
      <c r="T95" s="183"/>
      <c r="U95" s="183"/>
      <c r="V95" s="183"/>
    </row>
    <row r="96" spans="1:33" ht="15.75" x14ac:dyDescent="0.25">
      <c r="A96" s="26"/>
      <c r="B96" s="110"/>
      <c r="C96" s="110"/>
      <c r="D96" s="114" t="s">
        <v>506</v>
      </c>
      <c r="E96" s="26"/>
      <c r="F96" s="124">
        <f t="shared" si="23"/>
        <v>1934253.6799999997</v>
      </c>
      <c r="G96" s="498">
        <v>1934253.6799999997</v>
      </c>
      <c r="H96" s="125">
        <v>0</v>
      </c>
      <c r="I96" s="125"/>
      <c r="J96" s="26"/>
      <c r="K96" s="124">
        <f t="shared" si="15"/>
        <v>2033658.32</v>
      </c>
      <c r="L96" s="127">
        <v>2033658.32</v>
      </c>
      <c r="M96" s="125"/>
      <c r="N96" s="125"/>
      <c r="O96" s="126"/>
      <c r="P96" s="124">
        <f t="shared" si="24"/>
        <v>2234330.73</v>
      </c>
      <c r="Q96" s="127">
        <v>2234330.73</v>
      </c>
      <c r="R96" s="125">
        <v>0</v>
      </c>
      <c r="S96" s="125">
        <v>0</v>
      </c>
      <c r="T96" s="183"/>
      <c r="U96" s="183"/>
      <c r="V96" s="183"/>
    </row>
    <row r="97" spans="1:22" ht="15.75" hidden="1" x14ac:dyDescent="0.25">
      <c r="A97" s="26"/>
      <c r="B97" s="110"/>
      <c r="C97" s="110"/>
      <c r="D97" s="114" t="s">
        <v>507</v>
      </c>
      <c r="E97" s="26"/>
      <c r="F97" s="124">
        <f t="shared" si="23"/>
        <v>0</v>
      </c>
      <c r="G97" s="498"/>
      <c r="H97" s="125"/>
      <c r="I97" s="125"/>
      <c r="J97" s="26"/>
      <c r="K97" s="124">
        <f t="shared" si="15"/>
        <v>0</v>
      </c>
      <c r="L97" s="127"/>
      <c r="M97" s="125"/>
      <c r="N97" s="125"/>
      <c r="O97" s="126"/>
      <c r="P97" s="124">
        <f t="shared" si="24"/>
        <v>0</v>
      </c>
      <c r="Q97" s="127"/>
      <c r="R97" s="125"/>
      <c r="S97" s="125"/>
      <c r="T97" s="183"/>
      <c r="U97" s="183"/>
      <c r="V97" s="183"/>
    </row>
    <row r="98" spans="1:22" ht="15.75" x14ac:dyDescent="0.25">
      <c r="A98" s="26"/>
      <c r="B98" s="110"/>
      <c r="C98" s="110"/>
      <c r="D98" s="108" t="s">
        <v>508</v>
      </c>
      <c r="E98" s="26"/>
      <c r="F98" s="131">
        <f>SUM(F49:F78)+SUM(F87:F97)</f>
        <v>143469416.89000002</v>
      </c>
      <c r="G98" s="504">
        <f>SUM(G49:G78)+SUM(G87:G97)</f>
        <v>143434136.23000002</v>
      </c>
      <c r="H98" s="131">
        <f t="shared" ref="H98:I98" si="25">SUM(H49:H78)+SUM(H87:H97)</f>
        <v>35280.660000000003</v>
      </c>
      <c r="I98" s="131">
        <f t="shared" si="25"/>
        <v>0</v>
      </c>
      <c r="J98" s="26"/>
      <c r="K98" s="131">
        <f>SUM(K49:K78)+SUM(K87:K97)</f>
        <v>118252477.56</v>
      </c>
      <c r="L98" s="131">
        <f>SUM(L49:L78)+SUM(L87:L97)</f>
        <v>118190037.54000001</v>
      </c>
      <c r="M98" s="131">
        <f t="shared" ref="M98:N98" si="26">SUM(M49:M78)+SUM(M87:M97)</f>
        <v>62440.02</v>
      </c>
      <c r="N98" s="131">
        <f t="shared" si="26"/>
        <v>0</v>
      </c>
      <c r="O98" s="126"/>
      <c r="P98" s="131">
        <f>SUM(P49:P78)+SUM(P87:P97)</f>
        <v>145855133.90000001</v>
      </c>
      <c r="Q98" s="131">
        <v>145791433.93000001</v>
      </c>
      <c r="R98" s="131">
        <v>63699.97</v>
      </c>
      <c r="S98" s="131">
        <v>0</v>
      </c>
      <c r="T98" s="183"/>
      <c r="U98" s="183">
        <f>+K98-P98</f>
        <v>-27602656.340000004</v>
      </c>
      <c r="V98" s="183"/>
    </row>
    <row r="99" spans="1:22" ht="15.75" x14ac:dyDescent="0.25">
      <c r="A99" s="26"/>
      <c r="B99" s="108" t="s">
        <v>509</v>
      </c>
      <c r="C99" s="110"/>
      <c r="D99" s="110"/>
      <c r="E99" s="110"/>
      <c r="F99" s="124"/>
      <c r="G99" s="503"/>
      <c r="H99" s="128"/>
      <c r="I99" s="128"/>
      <c r="J99" s="110"/>
      <c r="K99" s="124"/>
      <c r="L99" s="128"/>
      <c r="M99" s="128"/>
      <c r="N99" s="128"/>
      <c r="O99" s="126"/>
      <c r="P99" s="124"/>
      <c r="Q99" s="128"/>
      <c r="R99" s="128"/>
      <c r="S99" s="128"/>
      <c r="T99" s="183"/>
      <c r="U99" s="183"/>
      <c r="V99" s="183"/>
    </row>
    <row r="100" spans="1:22" ht="15.75" x14ac:dyDescent="0.25">
      <c r="A100" s="26"/>
      <c r="B100" s="110"/>
      <c r="C100" s="108" t="s">
        <v>510</v>
      </c>
      <c r="D100" s="110"/>
      <c r="E100" s="26"/>
      <c r="F100" s="124"/>
      <c r="G100" s="499"/>
      <c r="H100" s="126"/>
      <c r="I100" s="126"/>
      <c r="J100" s="26"/>
      <c r="K100" s="124"/>
      <c r="L100" s="126"/>
      <c r="M100" s="126"/>
      <c r="N100" s="126"/>
      <c r="O100" s="126"/>
      <c r="P100" s="124"/>
      <c r="Q100" s="126"/>
      <c r="R100" s="126"/>
      <c r="S100" s="126"/>
      <c r="T100" s="183"/>
      <c r="U100" s="183"/>
      <c r="V100" s="183"/>
    </row>
    <row r="101" spans="1:22" ht="15.75" hidden="1" x14ac:dyDescent="0.25">
      <c r="A101" s="26"/>
      <c r="B101" s="110"/>
      <c r="C101" s="108"/>
      <c r="D101" s="114" t="s">
        <v>511</v>
      </c>
      <c r="E101" s="114"/>
      <c r="F101" s="124">
        <f>SUM(G101:I101)</f>
        <v>0</v>
      </c>
      <c r="G101" s="500">
        <v>0</v>
      </c>
      <c r="H101" s="125">
        <v>0</v>
      </c>
      <c r="I101" s="125">
        <v>0</v>
      </c>
      <c r="J101" s="114"/>
      <c r="K101" s="124">
        <f>SUM(L101:N101)</f>
        <v>0</v>
      </c>
      <c r="L101" s="125">
        <v>0</v>
      </c>
      <c r="M101" s="125">
        <v>0</v>
      </c>
      <c r="N101" s="125">
        <v>0</v>
      </c>
      <c r="O101" s="126"/>
      <c r="P101" s="124">
        <f>SUM(Q101:S101)</f>
        <v>0</v>
      </c>
      <c r="Q101" s="125">
        <v>0</v>
      </c>
      <c r="R101" s="125">
        <v>0</v>
      </c>
      <c r="S101" s="125">
        <v>0</v>
      </c>
      <c r="T101" s="183"/>
      <c r="U101" s="183"/>
      <c r="V101" s="183"/>
    </row>
    <row r="102" spans="1:22" ht="15.75" x14ac:dyDescent="0.25">
      <c r="A102" s="26"/>
      <c r="B102" s="110"/>
      <c r="C102" s="108"/>
      <c r="D102" s="114" t="s">
        <v>512</v>
      </c>
      <c r="E102" s="114"/>
      <c r="F102" s="124">
        <f>SUM(G102:I102)</f>
        <v>1192785.32</v>
      </c>
      <c r="G102" s="497">
        <v>1192785.32</v>
      </c>
      <c r="H102" s="125">
        <v>0</v>
      </c>
      <c r="I102" s="125">
        <v>0</v>
      </c>
      <c r="J102" s="114"/>
      <c r="K102" s="124">
        <f>SUM(L102:N102)</f>
        <v>218580.68</v>
      </c>
      <c r="L102" s="126">
        <v>218580.68</v>
      </c>
      <c r="M102" s="125">
        <v>0</v>
      </c>
      <c r="N102" s="125">
        <v>0</v>
      </c>
      <c r="O102" s="126"/>
      <c r="P102" s="124">
        <f>SUM(Q102:S102)</f>
        <v>637969.80000000005</v>
      </c>
      <c r="Q102" s="126">
        <v>637969.80000000005</v>
      </c>
      <c r="R102" s="125">
        <v>0</v>
      </c>
      <c r="S102" s="125">
        <v>0</v>
      </c>
      <c r="T102" s="183"/>
      <c r="U102" s="183"/>
      <c r="V102" s="183"/>
    </row>
    <row r="103" spans="1:22" ht="15.75" x14ac:dyDescent="0.25">
      <c r="A103" s="26"/>
      <c r="B103" s="110"/>
      <c r="C103" s="108" t="s">
        <v>513</v>
      </c>
      <c r="D103" s="110"/>
      <c r="E103" s="26"/>
      <c r="F103" s="124"/>
      <c r="G103" s="499"/>
      <c r="H103" s="126"/>
      <c r="I103" s="126"/>
      <c r="J103" s="26"/>
      <c r="K103" s="124"/>
      <c r="L103" s="126"/>
      <c r="M103" s="126"/>
      <c r="N103" s="126"/>
      <c r="O103" s="126"/>
      <c r="P103" s="124"/>
      <c r="Q103" s="126"/>
      <c r="R103" s="126"/>
      <c r="S103" s="126"/>
      <c r="T103" s="183"/>
      <c r="U103" s="183"/>
      <c r="V103" s="183"/>
    </row>
    <row r="104" spans="1:22" ht="15.75" x14ac:dyDescent="0.25">
      <c r="A104" s="26"/>
      <c r="B104" s="110"/>
      <c r="C104" s="110"/>
      <c r="D104" s="114" t="s">
        <v>514</v>
      </c>
      <c r="E104" s="26"/>
      <c r="F104" s="124">
        <f>SUM(G104:I104)</f>
        <v>0</v>
      </c>
      <c r="G104" s="497">
        <v>0</v>
      </c>
      <c r="H104" s="125">
        <v>0</v>
      </c>
      <c r="I104" s="125">
        <v>0</v>
      </c>
      <c r="J104" s="26"/>
      <c r="K104" s="124">
        <f>SUM(L104:N104)</f>
        <v>70182910.280000001</v>
      </c>
      <c r="L104" s="127">
        <v>69326571</v>
      </c>
      <c r="M104" s="125">
        <v>0</v>
      </c>
      <c r="N104" s="125">
        <v>856339.28</v>
      </c>
      <c r="O104" s="126"/>
      <c r="P104" s="124">
        <f>SUM(Q104:S104)</f>
        <v>4127741.25</v>
      </c>
      <c r="Q104" s="127">
        <v>0</v>
      </c>
      <c r="R104" s="125">
        <v>0</v>
      </c>
      <c r="S104" s="125">
        <v>4127741.25</v>
      </c>
      <c r="T104" s="183"/>
      <c r="U104" s="183"/>
      <c r="V104" s="183"/>
    </row>
    <row r="105" spans="1:22" ht="15.75" x14ac:dyDescent="0.25">
      <c r="A105" s="26"/>
      <c r="B105" s="110"/>
      <c r="C105" s="110"/>
      <c r="D105" s="114" t="s">
        <v>515</v>
      </c>
      <c r="E105" s="26"/>
      <c r="F105" s="124">
        <f>SUM(G105:I105)</f>
        <v>3355968.3</v>
      </c>
      <c r="G105" s="497">
        <v>3355968.3</v>
      </c>
      <c r="H105" s="125">
        <v>0</v>
      </c>
      <c r="I105" s="125">
        <v>0</v>
      </c>
      <c r="J105" s="26"/>
      <c r="K105" s="124">
        <f>SUM(L105:N105)</f>
        <v>2400000</v>
      </c>
      <c r="L105" s="127">
        <v>2400000</v>
      </c>
      <c r="M105" s="125">
        <v>0</v>
      </c>
      <c r="N105" s="125">
        <v>0</v>
      </c>
      <c r="O105" s="126"/>
      <c r="P105" s="124">
        <f>SUM(Q105:S105)</f>
        <v>7741067.4400000004</v>
      </c>
      <c r="Q105" s="125">
        <v>7741067.4400000004</v>
      </c>
      <c r="R105" s="125">
        <v>0</v>
      </c>
      <c r="S105" s="125">
        <v>0</v>
      </c>
      <c r="T105" s="183"/>
      <c r="U105" s="183"/>
      <c r="V105" s="183"/>
    </row>
    <row r="106" spans="1:22" ht="15.75" hidden="1" x14ac:dyDescent="0.25">
      <c r="A106" s="26"/>
      <c r="B106" s="110"/>
      <c r="C106" s="110"/>
      <c r="D106" s="114" t="s">
        <v>516</v>
      </c>
      <c r="E106" s="26"/>
      <c r="F106" s="124">
        <f>SUM(G106:I106)</f>
        <v>0</v>
      </c>
      <c r="G106" s="498"/>
      <c r="H106" s="125"/>
      <c r="I106" s="125"/>
      <c r="J106" s="26"/>
      <c r="K106" s="124">
        <f>SUM(L106:N106)</f>
        <v>0</v>
      </c>
      <c r="L106" s="127"/>
      <c r="M106" s="125"/>
      <c r="N106" s="125"/>
      <c r="O106" s="126"/>
      <c r="P106" s="124">
        <f>SUM(Q106:S106)</f>
        <v>0</v>
      </c>
      <c r="Q106" s="127"/>
      <c r="R106" s="125"/>
      <c r="S106" s="125"/>
      <c r="T106" s="183"/>
      <c r="U106" s="183"/>
      <c r="V106" s="183"/>
    </row>
    <row r="107" spans="1:22" ht="15.75" x14ac:dyDescent="0.25">
      <c r="A107" s="26"/>
      <c r="B107" s="110"/>
      <c r="C107" s="110"/>
      <c r="D107" s="108" t="s">
        <v>517</v>
      </c>
      <c r="E107" s="26"/>
      <c r="F107" s="134">
        <f>SUM(F101:F106)</f>
        <v>4548753.62</v>
      </c>
      <c r="G107" s="507">
        <f>SUM(G101:G106)</f>
        <v>4548753.62</v>
      </c>
      <c r="H107" s="134">
        <f t="shared" ref="H107:I107" si="27">SUM(H101:H106)</f>
        <v>0</v>
      </c>
      <c r="I107" s="134">
        <f t="shared" si="27"/>
        <v>0</v>
      </c>
      <c r="J107" s="26"/>
      <c r="K107" s="134">
        <f>SUM(K101:K106)</f>
        <v>72801490.960000008</v>
      </c>
      <c r="L107" s="134">
        <f>SUM(L101:L106)</f>
        <v>71945151.680000007</v>
      </c>
      <c r="M107" s="134">
        <f t="shared" ref="M107:N107" si="28">SUM(M101:M106)</f>
        <v>0</v>
      </c>
      <c r="N107" s="134">
        <f t="shared" si="28"/>
        <v>856339.28</v>
      </c>
      <c r="O107" s="135"/>
      <c r="P107" s="134">
        <f>SUM(P101:P106)</f>
        <v>12506778.49</v>
      </c>
      <c r="Q107" s="134">
        <v>8379037.2400000002</v>
      </c>
      <c r="R107" s="134">
        <v>0</v>
      </c>
      <c r="S107" s="134">
        <v>4127741.25</v>
      </c>
      <c r="T107" s="183"/>
      <c r="U107" s="183">
        <f>+K107-P107</f>
        <v>60294712.470000006</v>
      </c>
      <c r="V107" s="183"/>
    </row>
    <row r="108" spans="1:22" ht="15.75" hidden="1" x14ac:dyDescent="0.25">
      <c r="A108" s="26"/>
      <c r="B108" s="108" t="s">
        <v>518</v>
      </c>
      <c r="C108" s="110"/>
      <c r="D108" s="110"/>
      <c r="E108" s="110"/>
      <c r="F108" s="124"/>
      <c r="G108" s="505"/>
      <c r="H108" s="132"/>
      <c r="I108" s="132"/>
      <c r="J108" s="110"/>
      <c r="K108" s="124"/>
      <c r="L108" s="132"/>
      <c r="M108" s="132"/>
      <c r="N108" s="132"/>
      <c r="O108" s="126"/>
      <c r="P108" s="124"/>
      <c r="Q108" s="132"/>
      <c r="R108" s="132"/>
      <c r="S108" s="132"/>
      <c r="T108" s="183"/>
      <c r="U108" s="183"/>
      <c r="V108" s="183"/>
    </row>
    <row r="109" spans="1:22" ht="15.75" hidden="1" x14ac:dyDescent="0.25">
      <c r="A109" s="26"/>
      <c r="B109" s="110"/>
      <c r="C109" s="108" t="s">
        <v>519</v>
      </c>
      <c r="D109" s="110"/>
      <c r="E109" s="26"/>
      <c r="F109" s="124"/>
      <c r="G109" s="499"/>
      <c r="H109" s="126"/>
      <c r="I109" s="126"/>
      <c r="J109" s="26"/>
      <c r="K109" s="124"/>
      <c r="L109" s="126"/>
      <c r="M109" s="126"/>
      <c r="N109" s="126"/>
      <c r="O109" s="126"/>
      <c r="P109" s="124"/>
      <c r="Q109" s="126"/>
      <c r="R109" s="126"/>
      <c r="S109" s="126"/>
      <c r="T109" s="183"/>
      <c r="U109" s="183"/>
      <c r="V109" s="183"/>
    </row>
    <row r="110" spans="1:22" ht="15.75" hidden="1" x14ac:dyDescent="0.25">
      <c r="A110" s="26"/>
      <c r="B110" s="110"/>
      <c r="C110" s="110"/>
      <c r="D110" s="114" t="s">
        <v>520</v>
      </c>
      <c r="E110" s="114"/>
      <c r="F110" s="124">
        <f t="shared" ref="F110:F114" si="29">SUM(G110:I110)</f>
        <v>0</v>
      </c>
      <c r="G110" s="500"/>
      <c r="H110" s="125"/>
      <c r="I110" s="125"/>
      <c r="J110" s="114"/>
      <c r="K110" s="124">
        <f t="shared" ref="K110:K114" si="30">SUM(L110:N110)</f>
        <v>0</v>
      </c>
      <c r="L110" s="125"/>
      <c r="M110" s="125"/>
      <c r="N110" s="125"/>
      <c r="O110" s="126"/>
      <c r="P110" s="124">
        <f t="shared" ref="P110:P114" si="31">SUM(Q110:S110)</f>
        <v>0</v>
      </c>
      <c r="Q110" s="125"/>
      <c r="R110" s="125"/>
      <c r="S110" s="125"/>
      <c r="T110" s="183"/>
      <c r="U110" s="183"/>
      <c r="V110" s="183"/>
    </row>
    <row r="111" spans="1:22" ht="15.75" hidden="1" x14ac:dyDescent="0.25">
      <c r="A111" s="26"/>
      <c r="B111" s="110"/>
      <c r="C111" s="110"/>
      <c r="D111" s="114" t="s">
        <v>521</v>
      </c>
      <c r="E111" s="114"/>
      <c r="F111" s="124">
        <f t="shared" si="29"/>
        <v>0</v>
      </c>
      <c r="G111" s="500"/>
      <c r="H111" s="125"/>
      <c r="I111" s="125"/>
      <c r="J111" s="114"/>
      <c r="K111" s="124">
        <f t="shared" si="30"/>
        <v>0</v>
      </c>
      <c r="L111" s="125"/>
      <c r="M111" s="125"/>
      <c r="N111" s="125"/>
      <c r="O111" s="126"/>
      <c r="P111" s="124">
        <f t="shared" si="31"/>
        <v>0</v>
      </c>
      <c r="Q111" s="125"/>
      <c r="R111" s="125"/>
      <c r="S111" s="125"/>
      <c r="T111" s="183"/>
      <c r="U111" s="183"/>
      <c r="V111" s="183"/>
    </row>
    <row r="112" spans="1:22" ht="15.75" hidden="1" x14ac:dyDescent="0.25">
      <c r="A112" s="26"/>
      <c r="B112" s="110"/>
      <c r="C112" s="110"/>
      <c r="D112" s="114" t="s">
        <v>522</v>
      </c>
      <c r="E112" s="114"/>
      <c r="F112" s="124">
        <f t="shared" si="29"/>
        <v>0</v>
      </c>
      <c r="G112" s="499"/>
      <c r="H112" s="126"/>
      <c r="I112" s="126"/>
      <c r="J112" s="114"/>
      <c r="K112" s="124">
        <f t="shared" si="30"/>
        <v>0</v>
      </c>
      <c r="L112" s="126"/>
      <c r="M112" s="126"/>
      <c r="N112" s="126"/>
      <c r="O112" s="126"/>
      <c r="P112" s="124">
        <f t="shared" si="31"/>
        <v>0</v>
      </c>
      <c r="Q112" s="126"/>
      <c r="R112" s="126"/>
      <c r="S112" s="126"/>
      <c r="T112" s="183"/>
      <c r="U112" s="183"/>
      <c r="V112" s="183"/>
    </row>
    <row r="113" spans="1:22" ht="15.75" hidden="1" x14ac:dyDescent="0.25">
      <c r="A113" s="26"/>
      <c r="B113" s="110"/>
      <c r="C113" s="110"/>
      <c r="D113" s="114" t="s">
        <v>523</v>
      </c>
      <c r="E113" s="114"/>
      <c r="F113" s="124">
        <f t="shared" si="29"/>
        <v>0</v>
      </c>
      <c r="G113" s="500"/>
      <c r="H113" s="125"/>
      <c r="I113" s="125"/>
      <c r="J113" s="114"/>
      <c r="K113" s="124">
        <f t="shared" si="30"/>
        <v>0</v>
      </c>
      <c r="L113" s="125"/>
      <c r="M113" s="125"/>
      <c r="N113" s="125"/>
      <c r="O113" s="126"/>
      <c r="P113" s="124">
        <f t="shared" si="31"/>
        <v>0</v>
      </c>
      <c r="Q113" s="125"/>
      <c r="R113" s="125"/>
      <c r="S113" s="125"/>
      <c r="T113" s="183"/>
      <c r="U113" s="183"/>
      <c r="V113" s="183"/>
    </row>
    <row r="114" spans="1:22" ht="15.75" hidden="1" x14ac:dyDescent="0.25">
      <c r="A114" s="26"/>
      <c r="B114" s="110"/>
      <c r="C114" s="110"/>
      <c r="D114" s="114" t="s">
        <v>524</v>
      </c>
      <c r="E114" s="114"/>
      <c r="F114" s="124">
        <f t="shared" si="29"/>
        <v>0</v>
      </c>
      <c r="G114" s="500"/>
      <c r="H114" s="125"/>
      <c r="I114" s="125"/>
      <c r="J114" s="114"/>
      <c r="K114" s="124">
        <f t="shared" si="30"/>
        <v>0</v>
      </c>
      <c r="L114" s="125"/>
      <c r="M114" s="125"/>
      <c r="N114" s="125"/>
      <c r="O114" s="126"/>
      <c r="P114" s="124">
        <f t="shared" si="31"/>
        <v>0</v>
      </c>
      <c r="Q114" s="125"/>
      <c r="R114" s="125"/>
      <c r="S114" s="125"/>
      <c r="T114" s="183"/>
      <c r="U114" s="183"/>
      <c r="V114" s="183"/>
    </row>
    <row r="115" spans="1:22" ht="15.75" hidden="1" x14ac:dyDescent="0.25">
      <c r="A115" s="26"/>
      <c r="B115" s="110"/>
      <c r="C115" s="110"/>
      <c r="D115" s="108" t="s">
        <v>525</v>
      </c>
      <c r="E115" s="114"/>
      <c r="F115" s="126">
        <f>SUM(F110:F114)</f>
        <v>0</v>
      </c>
      <c r="G115" s="503">
        <f t="shared" ref="G115:I115" si="32">SUM(G110:G114)</f>
        <v>0</v>
      </c>
      <c r="H115" s="128">
        <f t="shared" si="32"/>
        <v>0</v>
      </c>
      <c r="I115" s="128">
        <f t="shared" si="32"/>
        <v>0</v>
      </c>
      <c r="J115" s="114"/>
      <c r="K115" s="126">
        <f>SUM(K110:K114)</f>
        <v>0</v>
      </c>
      <c r="L115" s="128">
        <f t="shared" ref="L115:N115" si="33">SUM(L110:L114)</f>
        <v>0</v>
      </c>
      <c r="M115" s="128">
        <f t="shared" si="33"/>
        <v>0</v>
      </c>
      <c r="N115" s="128">
        <f t="shared" si="33"/>
        <v>0</v>
      </c>
      <c r="O115" s="126"/>
      <c r="P115" s="126">
        <f>SUM(P110:P114)</f>
        <v>0</v>
      </c>
      <c r="Q115" s="128">
        <v>0</v>
      </c>
      <c r="R115" s="128">
        <v>0</v>
      </c>
      <c r="S115" s="128">
        <v>0</v>
      </c>
      <c r="T115" s="183"/>
      <c r="U115" s="183"/>
      <c r="V115" s="183"/>
    </row>
    <row r="116" spans="1:22" ht="15.75" x14ac:dyDescent="0.25">
      <c r="A116" s="108" t="s">
        <v>526</v>
      </c>
      <c r="B116" s="110"/>
      <c r="C116" s="110"/>
      <c r="D116" s="110"/>
      <c r="E116" s="115"/>
      <c r="F116" s="136">
        <f>F37+F39+F46+F98+F107+F115</f>
        <v>1332017484.8900001</v>
      </c>
      <c r="G116" s="508">
        <f>G37+G39+G46+G98+G107+G115</f>
        <v>1268952532.4199998</v>
      </c>
      <c r="H116" s="136">
        <f>H37+H39+H46+H98+H107+H115</f>
        <v>63064952.469999991</v>
      </c>
      <c r="I116" s="136">
        <f>I37+I39+I46+I98+I107+I115</f>
        <v>0</v>
      </c>
      <c r="J116" s="115"/>
      <c r="K116" s="136">
        <f>K37+K39+K46+K98+K107+K115</f>
        <v>1307302599.03</v>
      </c>
      <c r="L116" s="136">
        <f>L37+L39+L46+L98+L107+L115</f>
        <v>1247097140.27</v>
      </c>
      <c r="M116" s="136">
        <f>M37+M39+M46+M98+M107+M115</f>
        <v>59349119.479999997</v>
      </c>
      <c r="N116" s="136">
        <f>N37+N39+N46+N98+N107+N115</f>
        <v>856339.28</v>
      </c>
      <c r="O116" s="137"/>
      <c r="P116" s="136">
        <f>P37+P39+P46+P98+P107+P115</f>
        <v>1178030962.1499999</v>
      </c>
      <c r="Q116" s="136">
        <v>1115632016.3999999</v>
      </c>
      <c r="R116" s="136">
        <v>58271204.499999993</v>
      </c>
      <c r="S116" s="136">
        <v>4127741.25</v>
      </c>
      <c r="T116" s="183"/>
      <c r="U116" s="183">
        <f>+K116-P116</f>
        <v>129271636.88000011</v>
      </c>
      <c r="V116" s="183"/>
    </row>
    <row r="117" spans="1:22" ht="15.75" x14ac:dyDescent="0.25">
      <c r="A117" s="108" t="s">
        <v>527</v>
      </c>
      <c r="B117" s="110"/>
      <c r="C117" s="110"/>
      <c r="D117" s="110"/>
      <c r="E117" s="116"/>
      <c r="F117" s="124"/>
      <c r="G117" s="499"/>
      <c r="H117" s="126"/>
      <c r="I117" s="126"/>
      <c r="J117" s="116"/>
      <c r="K117" s="124"/>
      <c r="L117" s="126"/>
      <c r="M117" s="126"/>
      <c r="N117" s="126"/>
      <c r="O117" s="126"/>
      <c r="P117" s="124"/>
      <c r="Q117" s="126"/>
      <c r="R117" s="126"/>
      <c r="S117" s="126"/>
      <c r="T117" s="183"/>
      <c r="U117" s="183"/>
      <c r="V117" s="183"/>
    </row>
    <row r="118" spans="1:22" ht="15.75" x14ac:dyDescent="0.25">
      <c r="A118" s="110"/>
      <c r="B118" s="108" t="s">
        <v>528</v>
      </c>
      <c r="C118" s="110"/>
      <c r="D118" s="116"/>
      <c r="E118" s="23"/>
      <c r="F118" s="124"/>
      <c r="G118" s="499"/>
      <c r="H118" s="126"/>
      <c r="I118" s="126"/>
      <c r="J118" s="23"/>
      <c r="K118" s="124"/>
      <c r="L118" s="126"/>
      <c r="M118" s="126"/>
      <c r="N118" s="126"/>
      <c r="O118" s="126"/>
      <c r="P118" s="124"/>
      <c r="Q118" s="126"/>
      <c r="R118" s="126"/>
      <c r="S118" s="126"/>
      <c r="T118" s="183"/>
      <c r="U118" s="183"/>
      <c r="V118" s="183"/>
    </row>
    <row r="119" spans="1:22" ht="15.75" x14ac:dyDescent="0.25">
      <c r="A119" s="110"/>
      <c r="B119" s="108"/>
      <c r="C119" s="108" t="s">
        <v>529</v>
      </c>
      <c r="D119" s="116"/>
      <c r="E119" s="23"/>
      <c r="F119" s="124"/>
      <c r="G119" s="499"/>
      <c r="H119" s="126"/>
      <c r="I119" s="126"/>
      <c r="J119" s="23"/>
      <c r="K119" s="124"/>
      <c r="L119" s="126"/>
      <c r="M119" s="126"/>
      <c r="N119" s="126"/>
      <c r="O119" s="126"/>
      <c r="P119" s="124"/>
      <c r="Q119" s="126"/>
      <c r="R119" s="126"/>
      <c r="S119" s="126"/>
      <c r="T119" s="183"/>
      <c r="U119" s="183"/>
      <c r="V119" s="183"/>
    </row>
    <row r="120" spans="1:22" ht="15.75" x14ac:dyDescent="0.25">
      <c r="A120" s="117"/>
      <c r="B120" s="108"/>
      <c r="C120" s="108"/>
      <c r="D120" s="114" t="s">
        <v>530</v>
      </c>
      <c r="E120" s="112"/>
      <c r="F120" s="124">
        <f>SUM(G120:I120)</f>
        <v>179498455.47</v>
      </c>
      <c r="G120" s="497">
        <v>179498455.47</v>
      </c>
      <c r="H120" s="490">
        <v>0</v>
      </c>
      <c r="I120" s="125">
        <v>0</v>
      </c>
      <c r="J120" s="112"/>
      <c r="K120" s="124">
        <f>SUM(L120:N120)</f>
        <v>161056245.48000005</v>
      </c>
      <c r="L120" s="127">
        <v>161056245.48000005</v>
      </c>
      <c r="M120" s="125">
        <v>0</v>
      </c>
      <c r="N120" s="125">
        <v>0</v>
      </c>
      <c r="O120" s="126"/>
      <c r="P120" s="124">
        <f>SUM(Q120:S120)</f>
        <v>148898830.09</v>
      </c>
      <c r="Q120" s="127">
        <v>148898830.09</v>
      </c>
      <c r="R120" s="125">
        <v>0</v>
      </c>
      <c r="S120" s="125">
        <v>0</v>
      </c>
      <c r="T120" s="183"/>
      <c r="U120" s="183"/>
      <c r="V120" s="183"/>
    </row>
    <row r="121" spans="1:22" ht="15.75" x14ac:dyDescent="0.25">
      <c r="A121" s="111"/>
      <c r="B121" s="108"/>
      <c r="C121" s="108"/>
      <c r="D121" s="114" t="s">
        <v>531</v>
      </c>
      <c r="E121" s="23"/>
      <c r="F121" s="124">
        <f>SUM(G121:I121)</f>
        <v>37877821.100000001</v>
      </c>
      <c r="G121" s="497">
        <v>37877821.100000001</v>
      </c>
      <c r="H121" s="490">
        <v>0</v>
      </c>
      <c r="I121" s="125">
        <v>0</v>
      </c>
      <c r="J121" s="23"/>
      <c r="K121" s="124">
        <f>SUM(L121:N121)</f>
        <v>37464975.079999998</v>
      </c>
      <c r="L121" s="127">
        <v>37464975.079999998</v>
      </c>
      <c r="M121" s="125">
        <v>0</v>
      </c>
      <c r="N121" s="125">
        <v>0</v>
      </c>
      <c r="O121" s="126"/>
      <c r="P121" s="124">
        <f>SUM(Q121:S121)</f>
        <v>31842682.959999997</v>
      </c>
      <c r="Q121" s="127">
        <v>31842682.959999997</v>
      </c>
      <c r="R121" s="125">
        <v>0</v>
      </c>
      <c r="S121" s="125">
        <v>0</v>
      </c>
      <c r="T121" s="183"/>
      <c r="U121" s="183"/>
      <c r="V121" s="183"/>
    </row>
    <row r="122" spans="1:22" ht="15.75" x14ac:dyDescent="0.25">
      <c r="A122" s="111"/>
      <c r="B122" s="108"/>
      <c r="C122" s="108" t="s">
        <v>532</v>
      </c>
      <c r="D122" s="116"/>
      <c r="E122" s="23"/>
      <c r="F122" s="124"/>
      <c r="G122" s="498"/>
      <c r="H122" s="490"/>
      <c r="I122" s="126"/>
      <c r="J122" s="23"/>
      <c r="K122" s="124"/>
      <c r="L122" s="127"/>
      <c r="M122" s="126"/>
      <c r="N122" s="126"/>
      <c r="O122" s="126"/>
      <c r="P122" s="124"/>
      <c r="Q122" s="126"/>
      <c r="R122" s="126"/>
      <c r="S122" s="126"/>
      <c r="T122" s="183"/>
      <c r="U122" s="183"/>
      <c r="V122" s="183"/>
    </row>
    <row r="123" spans="1:22" ht="15.75" x14ac:dyDescent="0.25">
      <c r="A123" s="111"/>
      <c r="B123" s="108"/>
      <c r="C123" s="116"/>
      <c r="D123" s="114" t="s">
        <v>533</v>
      </c>
      <c r="E123" s="114"/>
      <c r="F123" s="124">
        <f t="shared" ref="F123:F129" si="34">SUM(G123:I123)</f>
        <v>20077028.41</v>
      </c>
      <c r="G123" s="497">
        <v>20077028.41</v>
      </c>
      <c r="H123" s="490"/>
      <c r="I123" s="125">
        <v>0</v>
      </c>
      <c r="J123" s="114"/>
      <c r="K123" s="124">
        <f t="shared" ref="K123:K134" si="35">SUM(L123:N123)</f>
        <v>18787072.93</v>
      </c>
      <c r="L123" s="127">
        <v>18787072.93</v>
      </c>
      <c r="M123" s="125">
        <v>0</v>
      </c>
      <c r="N123" s="125">
        <v>0</v>
      </c>
      <c r="O123" s="126"/>
      <c r="P123" s="124">
        <f t="shared" ref="P123:P134" si="36">SUM(Q123:S123)</f>
        <v>17600528.510000002</v>
      </c>
      <c r="Q123" s="127">
        <v>17600528.510000002</v>
      </c>
      <c r="R123" s="125">
        <v>0</v>
      </c>
      <c r="S123" s="125">
        <v>0</v>
      </c>
      <c r="T123" s="183"/>
      <c r="U123" s="183"/>
      <c r="V123" s="183"/>
    </row>
    <row r="124" spans="1:22" ht="15.75" x14ac:dyDescent="0.25">
      <c r="A124" s="111"/>
      <c r="B124" s="108"/>
      <c r="C124" s="116"/>
      <c r="D124" s="114" t="s">
        <v>534</v>
      </c>
      <c r="E124" s="114"/>
      <c r="F124" s="124">
        <f t="shared" si="34"/>
        <v>3298950</v>
      </c>
      <c r="G124" s="497">
        <v>3298950</v>
      </c>
      <c r="H124" s="490">
        <v>0</v>
      </c>
      <c r="I124" s="125">
        <v>0</v>
      </c>
      <c r="J124" s="114"/>
      <c r="K124" s="124">
        <f t="shared" si="35"/>
        <v>3320018.1799999997</v>
      </c>
      <c r="L124" s="127">
        <v>3320018.1799999997</v>
      </c>
      <c r="M124" s="125">
        <v>0</v>
      </c>
      <c r="N124" s="125">
        <v>0</v>
      </c>
      <c r="O124" s="126"/>
      <c r="P124" s="124">
        <f t="shared" si="36"/>
        <v>3431137.5</v>
      </c>
      <c r="Q124" s="127">
        <v>3431137.5</v>
      </c>
      <c r="R124" s="125">
        <v>0</v>
      </c>
      <c r="S124" s="125">
        <v>0</v>
      </c>
      <c r="T124" s="183"/>
      <c r="U124" s="183"/>
      <c r="V124" s="183"/>
    </row>
    <row r="125" spans="1:22" ht="15.75" x14ac:dyDescent="0.25">
      <c r="A125" s="111"/>
      <c r="B125" s="108"/>
      <c r="C125" s="116"/>
      <c r="D125" s="114" t="s">
        <v>535</v>
      </c>
      <c r="E125" s="114"/>
      <c r="F125" s="124">
        <f t="shared" si="34"/>
        <v>909409.09</v>
      </c>
      <c r="G125" s="497">
        <v>909409.09</v>
      </c>
      <c r="H125" s="490">
        <v>0</v>
      </c>
      <c r="I125" s="125">
        <v>0</v>
      </c>
      <c r="J125" s="114"/>
      <c r="K125" s="124">
        <f t="shared" si="35"/>
        <v>824880.67999999993</v>
      </c>
      <c r="L125" s="127">
        <v>824880.67999999993</v>
      </c>
      <c r="M125" s="125">
        <v>0</v>
      </c>
      <c r="N125" s="125">
        <v>0</v>
      </c>
      <c r="O125" s="126"/>
      <c r="P125" s="124">
        <f t="shared" si="36"/>
        <v>1020375</v>
      </c>
      <c r="Q125" s="127">
        <v>1020375</v>
      </c>
      <c r="R125" s="125">
        <v>0</v>
      </c>
      <c r="S125" s="125">
        <v>0</v>
      </c>
      <c r="T125" s="183"/>
      <c r="U125" s="183"/>
      <c r="V125" s="183"/>
    </row>
    <row r="126" spans="1:22" ht="15.75" x14ac:dyDescent="0.25">
      <c r="A126" s="111"/>
      <c r="B126" s="108"/>
      <c r="C126" s="116"/>
      <c r="D126" s="114" t="s">
        <v>536</v>
      </c>
      <c r="E126" s="114"/>
      <c r="F126" s="124">
        <f t="shared" si="34"/>
        <v>4884000</v>
      </c>
      <c r="G126" s="497">
        <v>4884000</v>
      </c>
      <c r="H126" s="490">
        <v>0</v>
      </c>
      <c r="I126" s="125">
        <v>0</v>
      </c>
      <c r="J126" s="114"/>
      <c r="K126" s="124">
        <f t="shared" si="35"/>
        <v>4614000</v>
      </c>
      <c r="L126" s="127">
        <v>4614000</v>
      </c>
      <c r="M126" s="125">
        <v>0</v>
      </c>
      <c r="N126" s="125">
        <v>0</v>
      </c>
      <c r="O126" s="126"/>
      <c r="P126" s="124">
        <f t="shared" si="36"/>
        <v>4332000</v>
      </c>
      <c r="Q126" s="127">
        <v>4332000</v>
      </c>
      <c r="R126" s="125">
        <v>0</v>
      </c>
      <c r="S126" s="125">
        <v>0</v>
      </c>
      <c r="T126" s="183"/>
      <c r="U126" s="183"/>
      <c r="V126" s="183"/>
    </row>
    <row r="127" spans="1:22" ht="15.75" x14ac:dyDescent="0.25">
      <c r="A127" s="111"/>
      <c r="B127" s="108"/>
      <c r="C127" s="116"/>
      <c r="D127" s="114" t="s">
        <v>537</v>
      </c>
      <c r="E127" s="114"/>
      <c r="F127" s="124">
        <f t="shared" si="34"/>
        <v>941504.54</v>
      </c>
      <c r="G127" s="497">
        <v>941504.54</v>
      </c>
      <c r="H127" s="490">
        <v>0</v>
      </c>
      <c r="I127" s="125">
        <v>0</v>
      </c>
      <c r="J127" s="114"/>
      <c r="K127" s="124">
        <f t="shared" si="35"/>
        <v>872069.4800000001</v>
      </c>
      <c r="L127" s="127">
        <v>872069.4800000001</v>
      </c>
      <c r="M127" s="125">
        <v>0</v>
      </c>
      <c r="N127" s="125">
        <v>0</v>
      </c>
      <c r="O127" s="126"/>
      <c r="P127" s="124">
        <f t="shared" si="36"/>
        <v>730738.97</v>
      </c>
      <c r="Q127" s="127">
        <v>730738.97</v>
      </c>
      <c r="R127" s="125">
        <v>0</v>
      </c>
      <c r="S127" s="125">
        <v>0</v>
      </c>
      <c r="T127" s="183"/>
      <c r="U127" s="183"/>
      <c r="V127" s="183"/>
    </row>
    <row r="128" spans="1:22" ht="15.75" x14ac:dyDescent="0.25">
      <c r="A128" s="111"/>
      <c r="B128" s="108"/>
      <c r="C128" s="116"/>
      <c r="D128" s="114" t="s">
        <v>538</v>
      </c>
      <c r="E128" s="114"/>
      <c r="F128" s="124">
        <f t="shared" si="34"/>
        <v>121387.39</v>
      </c>
      <c r="G128" s="497">
        <v>121387.39</v>
      </c>
      <c r="H128" s="490"/>
      <c r="I128" s="125">
        <v>0</v>
      </c>
      <c r="J128" s="114"/>
      <c r="K128" s="124">
        <f t="shared" si="35"/>
        <v>64230.52</v>
      </c>
      <c r="L128" s="127">
        <v>64230.52</v>
      </c>
      <c r="M128" s="125">
        <v>0</v>
      </c>
      <c r="N128" s="125">
        <v>0</v>
      </c>
      <c r="O128" s="126"/>
      <c r="P128" s="124">
        <f t="shared" si="36"/>
        <v>75858.98</v>
      </c>
      <c r="Q128" s="127">
        <v>75858.98</v>
      </c>
      <c r="R128" s="125">
        <v>0</v>
      </c>
      <c r="S128" s="125">
        <v>0</v>
      </c>
      <c r="T128" s="183"/>
      <c r="U128" s="183"/>
      <c r="V128" s="183"/>
    </row>
    <row r="129" spans="1:33" ht="15.75" hidden="1" x14ac:dyDescent="0.25">
      <c r="A129" s="111"/>
      <c r="B129" s="108"/>
      <c r="C129" s="116"/>
      <c r="D129" s="114" t="s">
        <v>539</v>
      </c>
      <c r="E129" s="114"/>
      <c r="F129" s="124">
        <f t="shared" si="34"/>
        <v>0</v>
      </c>
      <c r="G129" s="509"/>
      <c r="H129" s="125">
        <v>0</v>
      </c>
      <c r="I129" s="125">
        <v>0</v>
      </c>
      <c r="J129" s="114"/>
      <c r="K129" s="124">
        <f t="shared" si="35"/>
        <v>0</v>
      </c>
      <c r="L129" s="11"/>
      <c r="M129" s="125">
        <v>0</v>
      </c>
      <c r="N129" s="125">
        <v>0</v>
      </c>
      <c r="O129" s="126"/>
      <c r="P129" s="124">
        <f t="shared" si="36"/>
        <v>0</v>
      </c>
      <c r="Q129" s="127"/>
      <c r="R129" s="125">
        <v>0</v>
      </c>
      <c r="S129" s="125">
        <v>0</v>
      </c>
      <c r="T129" s="183"/>
      <c r="U129" s="183"/>
      <c r="V129" s="183"/>
    </row>
    <row r="130" spans="1:33" ht="15.75" x14ac:dyDescent="0.25">
      <c r="A130" s="111"/>
      <c r="B130" s="108"/>
      <c r="C130" s="116"/>
      <c r="D130" s="114" t="s">
        <v>540</v>
      </c>
      <c r="E130" s="114"/>
      <c r="F130" s="124">
        <f>SUM(G130:I130)</f>
        <v>4287000</v>
      </c>
      <c r="G130" s="497">
        <v>4287000</v>
      </c>
      <c r="H130" s="490">
        <v>0</v>
      </c>
      <c r="I130" s="125">
        <v>0</v>
      </c>
      <c r="J130" s="114"/>
      <c r="K130" s="124">
        <f>SUM(L130:N130)</f>
        <v>3912000</v>
      </c>
      <c r="L130" s="127">
        <v>3912000</v>
      </c>
      <c r="M130" s="125">
        <v>0</v>
      </c>
      <c r="N130" s="125">
        <v>0</v>
      </c>
      <c r="O130" s="126"/>
      <c r="P130" s="124">
        <f t="shared" si="36"/>
        <v>3867000</v>
      </c>
      <c r="Q130" s="127">
        <v>3867000</v>
      </c>
      <c r="R130" s="125">
        <v>0</v>
      </c>
      <c r="S130" s="125">
        <v>0</v>
      </c>
      <c r="T130" s="183"/>
      <c r="U130" s="183"/>
      <c r="V130" s="183"/>
    </row>
    <row r="131" spans="1:33" ht="15.75" hidden="1" x14ac:dyDescent="0.25">
      <c r="A131" s="111"/>
      <c r="B131" s="108"/>
      <c r="C131" s="116"/>
      <c r="D131" s="114" t="s">
        <v>541</v>
      </c>
      <c r="E131" s="114"/>
      <c r="F131" s="124">
        <f t="shared" ref="F131:F134" si="37">SUM(G131:I131)</f>
        <v>0</v>
      </c>
      <c r="G131" s="509"/>
      <c r="H131" s="125">
        <v>0</v>
      </c>
      <c r="I131" s="125"/>
      <c r="J131" s="114"/>
      <c r="K131" s="124">
        <f t="shared" si="35"/>
        <v>0</v>
      </c>
      <c r="L131" s="11"/>
      <c r="M131" s="125">
        <v>0</v>
      </c>
      <c r="N131" s="125"/>
      <c r="O131" s="128"/>
      <c r="P131" s="124">
        <f t="shared" si="36"/>
        <v>0</v>
      </c>
      <c r="Q131" s="127"/>
      <c r="R131" s="125">
        <v>0</v>
      </c>
      <c r="S131" s="125">
        <v>0</v>
      </c>
      <c r="T131" s="183"/>
      <c r="U131" s="183"/>
      <c r="V131" s="198"/>
      <c r="W131" s="50"/>
      <c r="X131" s="50"/>
      <c r="Z131" s="50"/>
      <c r="AA131" s="50"/>
      <c r="AB131" s="50"/>
      <c r="AC131" s="50"/>
      <c r="AD131" s="50"/>
      <c r="AE131" s="50"/>
      <c r="AF131" s="50"/>
      <c r="AG131" s="50"/>
    </row>
    <row r="132" spans="1:33" ht="15.75" x14ac:dyDescent="0.25">
      <c r="A132" s="111"/>
      <c r="B132" s="108"/>
      <c r="C132" s="116"/>
      <c r="D132" s="114" t="s">
        <v>542</v>
      </c>
      <c r="E132" s="114"/>
      <c r="F132" s="124">
        <f t="shared" si="37"/>
        <v>2548780.9699999997</v>
      </c>
      <c r="G132" s="497">
        <v>2548780.9699999997</v>
      </c>
      <c r="H132" s="490">
        <v>0</v>
      </c>
      <c r="I132" s="125">
        <v>0</v>
      </c>
      <c r="J132" s="114"/>
      <c r="K132" s="124">
        <f t="shared" si="35"/>
        <v>2706487.96</v>
      </c>
      <c r="L132" s="127">
        <v>2654487.96</v>
      </c>
      <c r="M132" s="125">
        <v>0</v>
      </c>
      <c r="N132" s="125">
        <v>52000</v>
      </c>
      <c r="O132" s="126"/>
      <c r="P132" s="124">
        <f t="shared" si="36"/>
        <v>1521869.23</v>
      </c>
      <c r="Q132" s="127">
        <v>1521869.23</v>
      </c>
      <c r="R132" s="125">
        <v>0</v>
      </c>
      <c r="S132" s="125">
        <v>0</v>
      </c>
      <c r="T132" s="183"/>
      <c r="U132" s="183"/>
      <c r="V132" s="183"/>
    </row>
    <row r="133" spans="1:33" ht="15.75" x14ac:dyDescent="0.25">
      <c r="A133" s="111"/>
      <c r="B133" s="108"/>
      <c r="C133" s="116"/>
      <c r="D133" s="114" t="s">
        <v>543</v>
      </c>
      <c r="E133" s="114"/>
      <c r="F133" s="124">
        <f t="shared" si="37"/>
        <v>6337157.790000001</v>
      </c>
      <c r="G133" s="497">
        <v>6337157.790000001</v>
      </c>
      <c r="H133" s="490">
        <v>0</v>
      </c>
      <c r="I133" s="125">
        <v>0</v>
      </c>
      <c r="J133" s="114"/>
      <c r="K133" s="124">
        <f t="shared" si="35"/>
        <v>7751490.7999999998</v>
      </c>
      <c r="L133" s="127">
        <v>7751490.7999999998</v>
      </c>
      <c r="M133" s="125">
        <v>0</v>
      </c>
      <c r="N133" s="125">
        <v>0</v>
      </c>
      <c r="O133" s="126"/>
      <c r="P133" s="124">
        <f t="shared" si="36"/>
        <v>4449946.6499999994</v>
      </c>
      <c r="Q133" s="127">
        <v>4449946.6499999994</v>
      </c>
      <c r="R133" s="125">
        <v>0</v>
      </c>
      <c r="S133" s="125">
        <v>0</v>
      </c>
      <c r="T133" s="183"/>
      <c r="U133" s="183"/>
      <c r="V133" s="183"/>
    </row>
    <row r="134" spans="1:33" ht="15.75" x14ac:dyDescent="0.25">
      <c r="A134" s="111"/>
      <c r="B134" s="108"/>
      <c r="C134" s="116"/>
      <c r="D134" s="114" t="s">
        <v>544</v>
      </c>
      <c r="E134" s="114"/>
      <c r="F134" s="124">
        <f t="shared" si="37"/>
        <v>285000</v>
      </c>
      <c r="G134" s="497">
        <v>285000</v>
      </c>
      <c r="H134" s="490">
        <v>0</v>
      </c>
      <c r="I134" s="125">
        <v>0</v>
      </c>
      <c r="J134" s="114"/>
      <c r="K134" s="124">
        <f t="shared" si="35"/>
        <v>255000</v>
      </c>
      <c r="L134" s="127">
        <v>255000</v>
      </c>
      <c r="M134" s="125">
        <v>0</v>
      </c>
      <c r="N134" s="125">
        <v>0</v>
      </c>
      <c r="O134" s="126"/>
      <c r="P134" s="124">
        <f t="shared" si="36"/>
        <v>645000</v>
      </c>
      <c r="Q134" s="127">
        <v>645000</v>
      </c>
      <c r="R134" s="125">
        <v>0</v>
      </c>
      <c r="S134" s="125">
        <v>0</v>
      </c>
      <c r="T134" s="183"/>
      <c r="U134" s="183"/>
      <c r="V134" s="183"/>
    </row>
    <row r="135" spans="1:33" ht="15.75" x14ac:dyDescent="0.25">
      <c r="A135" s="111"/>
      <c r="B135" s="108"/>
      <c r="C135" s="116"/>
      <c r="D135" s="114" t="s">
        <v>545</v>
      </c>
      <c r="E135" s="114"/>
      <c r="F135" s="124">
        <f>SUM(G135:I135)</f>
        <v>4361686.67</v>
      </c>
      <c r="G135" s="497">
        <v>4361686.67</v>
      </c>
      <c r="H135" s="490">
        <v>0</v>
      </c>
      <c r="I135" s="125">
        <v>0</v>
      </c>
      <c r="J135" s="114"/>
      <c r="K135" s="124">
        <f>SUM(L135:N135)</f>
        <v>4846062.0199999996</v>
      </c>
      <c r="L135" s="127">
        <v>4846062.0199999996</v>
      </c>
      <c r="M135" s="125">
        <v>0</v>
      </c>
      <c r="N135" s="125">
        <v>0</v>
      </c>
      <c r="O135" s="126"/>
      <c r="P135" s="124">
        <f>SUM(Q135:S135)</f>
        <v>4271665.3599999994</v>
      </c>
      <c r="Q135" s="127">
        <v>4271665.3599999994</v>
      </c>
      <c r="R135" s="125">
        <v>0</v>
      </c>
      <c r="S135" s="125">
        <v>0</v>
      </c>
      <c r="T135" s="183"/>
      <c r="U135" s="183"/>
      <c r="V135" s="183"/>
    </row>
    <row r="136" spans="1:33" ht="15.75" x14ac:dyDescent="0.25">
      <c r="A136" s="111"/>
      <c r="B136" s="108"/>
      <c r="C136" s="116"/>
      <c r="D136" s="114" t="s">
        <v>546</v>
      </c>
      <c r="E136" s="114"/>
      <c r="F136" s="124">
        <f>SUM(G136:I136)</f>
        <v>18138903.399999999</v>
      </c>
      <c r="G136" s="497">
        <v>18138903.399999999</v>
      </c>
      <c r="H136" s="490">
        <v>0</v>
      </c>
      <c r="I136" s="125">
        <v>0</v>
      </c>
      <c r="J136" s="114"/>
      <c r="K136" s="124">
        <f>SUM(L136:N136)</f>
        <v>15824595.779999999</v>
      </c>
      <c r="L136" s="127">
        <v>15824595.779999999</v>
      </c>
      <c r="M136" s="125">
        <v>0</v>
      </c>
      <c r="N136" s="125">
        <v>0</v>
      </c>
      <c r="O136" s="126"/>
      <c r="P136" s="124">
        <f>SUM(Q136:S136)</f>
        <v>16247499.949999999</v>
      </c>
      <c r="Q136" s="127">
        <v>16247499.949999999</v>
      </c>
      <c r="R136" s="125">
        <v>0</v>
      </c>
      <c r="S136" s="125">
        <v>0</v>
      </c>
      <c r="T136" s="183"/>
      <c r="U136" s="183"/>
      <c r="V136" s="183"/>
    </row>
    <row r="137" spans="1:33" ht="15.75" x14ac:dyDescent="0.25">
      <c r="A137" s="111"/>
      <c r="B137" s="108"/>
      <c r="C137" s="116"/>
      <c r="D137" s="114" t="s">
        <v>547</v>
      </c>
      <c r="E137" s="114"/>
      <c r="F137" s="124">
        <f>SUM(G137:I137)</f>
        <v>4255000</v>
      </c>
      <c r="G137" s="497">
        <v>4255000</v>
      </c>
      <c r="H137" s="490">
        <v>0</v>
      </c>
      <c r="I137" s="125">
        <v>0</v>
      </c>
      <c r="J137" s="114"/>
      <c r="K137" s="124">
        <f>SUM(L137:N137)</f>
        <v>3851250</v>
      </c>
      <c r="L137" s="127">
        <v>3851250</v>
      </c>
      <c r="M137" s="125">
        <v>0</v>
      </c>
      <c r="N137" s="125">
        <v>0</v>
      </c>
      <c r="O137" s="126"/>
      <c r="P137" s="124">
        <f>SUM(Q137:S137)</f>
        <v>4300298</v>
      </c>
      <c r="Q137" s="127">
        <v>4300298</v>
      </c>
      <c r="R137" s="125">
        <v>0</v>
      </c>
      <c r="S137" s="125">
        <v>0</v>
      </c>
      <c r="T137" s="183"/>
      <c r="U137" s="183"/>
      <c r="V137" s="183"/>
    </row>
    <row r="138" spans="1:33" ht="15.75" x14ac:dyDescent="0.25">
      <c r="A138" s="111"/>
      <c r="B138" s="108"/>
      <c r="C138" s="111"/>
      <c r="D138" s="114" t="s">
        <v>548</v>
      </c>
      <c r="E138" s="114"/>
      <c r="F138" s="124">
        <f>SUM(G138:I138)</f>
        <v>48694728.200000003</v>
      </c>
      <c r="G138" s="497">
        <v>47086565.68</v>
      </c>
      <c r="H138" s="490">
        <v>0</v>
      </c>
      <c r="I138" s="125">
        <v>1608162.52</v>
      </c>
      <c r="J138" s="114"/>
      <c r="K138" s="124">
        <f>SUM(L138:N138)</f>
        <v>61973762.5</v>
      </c>
      <c r="L138" s="127">
        <v>61674522</v>
      </c>
      <c r="M138" s="125">
        <v>0</v>
      </c>
      <c r="N138" s="125">
        <v>299240.5</v>
      </c>
      <c r="O138" s="126"/>
      <c r="P138" s="124">
        <f>SUM(Q138:S138)</f>
        <v>48438605</v>
      </c>
      <c r="Q138" s="127">
        <v>48438605</v>
      </c>
      <c r="R138" s="125">
        <v>0</v>
      </c>
      <c r="S138" s="125">
        <v>0</v>
      </c>
      <c r="T138" s="183"/>
      <c r="U138" s="183"/>
      <c r="V138" s="183"/>
    </row>
    <row r="139" spans="1:33" ht="15.75" x14ac:dyDescent="0.25">
      <c r="A139" s="110"/>
      <c r="B139" s="108"/>
      <c r="C139" s="108" t="s">
        <v>549</v>
      </c>
      <c r="D139" s="110"/>
      <c r="E139" s="26"/>
      <c r="F139" s="124"/>
      <c r="G139" s="497"/>
      <c r="H139" s="490"/>
      <c r="I139" s="126"/>
      <c r="J139" s="26"/>
      <c r="K139" s="124"/>
      <c r="L139" s="127"/>
      <c r="M139" s="126"/>
      <c r="N139" s="126"/>
      <c r="O139" s="126"/>
      <c r="P139" s="124"/>
      <c r="Q139" s="126"/>
      <c r="R139" s="126"/>
      <c r="S139" s="126"/>
      <c r="T139" s="183"/>
      <c r="U139" s="183"/>
      <c r="V139" s="183"/>
    </row>
    <row r="140" spans="1:33" ht="15.75" x14ac:dyDescent="0.25">
      <c r="A140" s="111"/>
      <c r="B140" s="108"/>
      <c r="C140" s="108"/>
      <c r="D140" s="114" t="s">
        <v>550</v>
      </c>
      <c r="E140" s="116"/>
      <c r="F140" s="124">
        <f t="shared" ref="F140:F144" si="38">SUM(G140:I140)</f>
        <v>26325059.049999997</v>
      </c>
      <c r="G140" s="497">
        <v>26325059.049999997</v>
      </c>
      <c r="H140" s="490"/>
      <c r="I140" s="125">
        <v>0</v>
      </c>
      <c r="J140" s="116"/>
      <c r="K140" s="124">
        <f t="shared" ref="K140:K149" si="39">SUM(L140:N140)</f>
        <v>24076394.260000005</v>
      </c>
      <c r="L140" s="127">
        <v>24076394.260000005</v>
      </c>
      <c r="M140" s="125">
        <v>0</v>
      </c>
      <c r="N140" s="125">
        <v>0</v>
      </c>
      <c r="O140" s="126"/>
      <c r="P140" s="124">
        <f t="shared" ref="P140:P144" si="40">SUM(Q140:S140)</f>
        <v>21941119.030000001</v>
      </c>
      <c r="Q140" s="127">
        <v>21941119.030000001</v>
      </c>
      <c r="R140" s="125">
        <v>0</v>
      </c>
      <c r="S140" s="125">
        <v>0</v>
      </c>
      <c r="T140" s="183"/>
      <c r="U140" s="183"/>
      <c r="V140" s="183"/>
    </row>
    <row r="141" spans="1:33" ht="15.75" x14ac:dyDescent="0.25">
      <c r="A141" s="111"/>
      <c r="B141" s="108"/>
      <c r="C141" s="108"/>
      <c r="D141" s="114" t="s">
        <v>551</v>
      </c>
      <c r="E141" s="116"/>
      <c r="F141" s="124">
        <f t="shared" si="38"/>
        <v>1045271.64</v>
      </c>
      <c r="G141" s="497">
        <v>1045271.64</v>
      </c>
      <c r="H141" s="490">
        <v>0</v>
      </c>
      <c r="I141" s="125">
        <v>0</v>
      </c>
      <c r="J141" s="116"/>
      <c r="K141" s="124">
        <f t="shared" si="39"/>
        <v>1215109.8599999999</v>
      </c>
      <c r="L141" s="127">
        <v>1215109.8599999999</v>
      </c>
      <c r="M141" s="125">
        <v>0</v>
      </c>
      <c r="N141" s="125">
        <v>0</v>
      </c>
      <c r="O141" s="126"/>
      <c r="P141" s="124">
        <f t="shared" si="40"/>
        <v>967913.0199999999</v>
      </c>
      <c r="Q141" s="127">
        <v>967913.0199999999</v>
      </c>
      <c r="R141" s="125">
        <v>0</v>
      </c>
      <c r="S141" s="125">
        <v>0</v>
      </c>
      <c r="T141" s="183"/>
      <c r="U141" s="183"/>
      <c r="V141" s="183"/>
    </row>
    <row r="142" spans="1:33" ht="15.75" x14ac:dyDescent="0.25">
      <c r="A142" s="111"/>
      <c r="B142" s="108"/>
      <c r="C142" s="108"/>
      <c r="D142" s="114" t="s">
        <v>552</v>
      </c>
      <c r="E142" s="116"/>
      <c r="F142" s="124">
        <f t="shared" si="38"/>
        <v>3071702.37</v>
      </c>
      <c r="G142" s="497">
        <v>3071702.37</v>
      </c>
      <c r="H142" s="490">
        <v>0</v>
      </c>
      <c r="I142" s="125">
        <v>0</v>
      </c>
      <c r="J142" s="116"/>
      <c r="K142" s="124">
        <f t="shared" si="39"/>
        <v>2808165.77</v>
      </c>
      <c r="L142" s="127">
        <v>2808165.77</v>
      </c>
      <c r="M142" s="125">
        <v>0</v>
      </c>
      <c r="N142" s="125">
        <v>0</v>
      </c>
      <c r="O142" s="126"/>
      <c r="P142" s="124">
        <f t="shared" si="40"/>
        <v>2202073.1100000003</v>
      </c>
      <c r="Q142" s="127">
        <v>2202073.1100000003</v>
      </c>
      <c r="R142" s="125">
        <v>0</v>
      </c>
      <c r="S142" s="125">
        <v>0</v>
      </c>
      <c r="T142" s="183"/>
      <c r="U142" s="183"/>
      <c r="V142" s="183"/>
    </row>
    <row r="143" spans="1:33" ht="15.75" x14ac:dyDescent="0.25">
      <c r="A143" s="111"/>
      <c r="B143" s="108"/>
      <c r="C143" s="108"/>
      <c r="D143" s="114" t="s">
        <v>553</v>
      </c>
      <c r="E143" s="116"/>
      <c r="F143" s="124">
        <f t="shared" si="38"/>
        <v>1027700</v>
      </c>
      <c r="G143" s="497">
        <v>1027700</v>
      </c>
      <c r="H143" s="490">
        <v>0</v>
      </c>
      <c r="I143" s="125">
        <v>0</v>
      </c>
      <c r="J143" s="116"/>
      <c r="K143" s="124">
        <f t="shared" si="39"/>
        <v>972559.07000000018</v>
      </c>
      <c r="L143" s="127">
        <v>972559.07000000018</v>
      </c>
      <c r="M143" s="125">
        <v>0</v>
      </c>
      <c r="N143" s="125">
        <v>0</v>
      </c>
      <c r="O143" s="126"/>
      <c r="P143" s="124">
        <f t="shared" si="40"/>
        <v>1021422.66</v>
      </c>
      <c r="Q143" s="127">
        <v>1021422.66</v>
      </c>
      <c r="R143" s="125">
        <v>0</v>
      </c>
      <c r="S143" s="125">
        <v>0</v>
      </c>
      <c r="T143" s="183"/>
      <c r="U143" s="183"/>
      <c r="V143" s="183"/>
    </row>
    <row r="144" spans="1:33" ht="15.75" hidden="1" x14ac:dyDescent="0.25">
      <c r="A144" s="111"/>
      <c r="B144" s="108"/>
      <c r="C144" s="108"/>
      <c r="D144" s="114" t="s">
        <v>554</v>
      </c>
      <c r="E144" s="116"/>
      <c r="F144" s="124">
        <f t="shared" si="38"/>
        <v>0</v>
      </c>
      <c r="G144" s="498"/>
      <c r="H144" s="125"/>
      <c r="I144" s="125"/>
      <c r="J144" s="116"/>
      <c r="K144" s="124">
        <f t="shared" si="39"/>
        <v>0</v>
      </c>
      <c r="L144" s="127"/>
      <c r="M144" s="125"/>
      <c r="N144" s="125"/>
      <c r="O144" s="126"/>
      <c r="P144" s="124">
        <f t="shared" si="40"/>
        <v>0</v>
      </c>
      <c r="Q144" s="127"/>
      <c r="R144" s="125"/>
      <c r="S144" s="125"/>
      <c r="T144" s="183"/>
      <c r="U144" s="183"/>
      <c r="V144" s="183"/>
    </row>
    <row r="145" spans="1:22" ht="15.75" x14ac:dyDescent="0.25">
      <c r="A145" s="110"/>
      <c r="B145" s="108"/>
      <c r="C145" s="108" t="s">
        <v>555</v>
      </c>
      <c r="D145" s="110"/>
      <c r="E145" s="26"/>
      <c r="F145" s="124"/>
      <c r="G145" s="497"/>
      <c r="H145" s="490"/>
      <c r="I145" s="126"/>
      <c r="J145" s="26"/>
      <c r="K145" s="124"/>
      <c r="L145" s="127"/>
      <c r="M145" s="126"/>
      <c r="N145" s="126"/>
      <c r="O145" s="126"/>
      <c r="P145" s="124"/>
      <c r="Q145" s="126"/>
      <c r="R145" s="126"/>
      <c r="S145" s="126"/>
      <c r="T145" s="183"/>
      <c r="U145" s="183"/>
      <c r="V145" s="183"/>
    </row>
    <row r="146" spans="1:22" ht="15.75" hidden="1" x14ac:dyDescent="0.25">
      <c r="A146" s="111"/>
      <c r="B146" s="108"/>
      <c r="C146" s="108"/>
      <c r="D146" s="114" t="s">
        <v>556</v>
      </c>
      <c r="E146" s="23"/>
      <c r="F146" s="124">
        <f t="shared" ref="F146:F149" si="41">SUM(G146:I146)</f>
        <v>0</v>
      </c>
      <c r="G146" s="498"/>
      <c r="H146" s="125"/>
      <c r="I146" s="125"/>
      <c r="J146" s="23"/>
      <c r="K146" s="124">
        <f t="shared" si="39"/>
        <v>0</v>
      </c>
      <c r="L146" s="127"/>
      <c r="M146" s="125"/>
      <c r="N146" s="125"/>
      <c r="O146" s="126"/>
      <c r="P146" s="124">
        <f t="shared" ref="P146:P149" si="42">SUM(Q146:S146)</f>
        <v>0</v>
      </c>
      <c r="Q146" s="127"/>
      <c r="R146" s="125"/>
      <c r="S146" s="125"/>
      <c r="T146" s="183"/>
      <c r="U146" s="183"/>
      <c r="V146" s="183"/>
    </row>
    <row r="147" spans="1:22" ht="15.75" hidden="1" x14ac:dyDescent="0.25">
      <c r="A147" s="111"/>
      <c r="B147" s="108"/>
      <c r="C147" s="108"/>
      <c r="D147" s="114" t="s">
        <v>557</v>
      </c>
      <c r="E147" s="23"/>
      <c r="F147" s="124">
        <f t="shared" si="41"/>
        <v>0</v>
      </c>
      <c r="G147" s="498"/>
      <c r="H147" s="125"/>
      <c r="I147" s="125"/>
      <c r="J147" s="23"/>
      <c r="K147" s="124">
        <f t="shared" si="39"/>
        <v>0</v>
      </c>
      <c r="L147" s="127">
        <v>0</v>
      </c>
      <c r="M147" s="125"/>
      <c r="N147" s="125"/>
      <c r="O147" s="126"/>
      <c r="P147" s="124">
        <f t="shared" si="42"/>
        <v>0</v>
      </c>
      <c r="Q147" s="127">
        <v>0</v>
      </c>
      <c r="R147" s="125">
        <v>0</v>
      </c>
      <c r="S147" s="125">
        <v>0</v>
      </c>
      <c r="T147" s="183"/>
      <c r="U147" s="183"/>
      <c r="V147" s="183"/>
    </row>
    <row r="148" spans="1:22" ht="15.75" x14ac:dyDescent="0.25">
      <c r="A148" s="111"/>
      <c r="B148" s="108"/>
      <c r="C148" s="108"/>
      <c r="D148" s="114" t="s">
        <v>558</v>
      </c>
      <c r="E148" s="23"/>
      <c r="F148" s="124">
        <f t="shared" si="41"/>
        <v>3289017.1799999997</v>
      </c>
      <c r="G148" s="497">
        <v>3289017.1799999997</v>
      </c>
      <c r="H148" s="490">
        <v>0</v>
      </c>
      <c r="I148" s="125">
        <v>0</v>
      </c>
      <c r="J148" s="23"/>
      <c r="K148" s="124">
        <f t="shared" si="39"/>
        <v>3925281.08</v>
      </c>
      <c r="L148" s="127">
        <v>3925281.08</v>
      </c>
      <c r="M148" s="125">
        <v>0</v>
      </c>
      <c r="N148" s="125">
        <v>0</v>
      </c>
      <c r="O148" s="126"/>
      <c r="P148" s="124">
        <f t="shared" si="42"/>
        <v>4537362.79</v>
      </c>
      <c r="Q148" s="127">
        <v>4537362.79</v>
      </c>
      <c r="R148" s="125">
        <v>0</v>
      </c>
      <c r="S148" s="125">
        <v>0</v>
      </c>
      <c r="T148" s="183"/>
      <c r="U148" s="183"/>
      <c r="V148" s="183"/>
    </row>
    <row r="149" spans="1:22" ht="15.75" x14ac:dyDescent="0.25">
      <c r="A149" s="111"/>
      <c r="B149" s="108"/>
      <c r="C149" s="108"/>
      <c r="D149" s="114" t="s">
        <v>555</v>
      </c>
      <c r="E149" s="23"/>
      <c r="F149" s="124">
        <f t="shared" si="41"/>
        <v>12820069.550000001</v>
      </c>
      <c r="G149" s="497">
        <v>12820069.550000001</v>
      </c>
      <c r="H149" s="490">
        <v>0</v>
      </c>
      <c r="I149" s="125">
        <v>0</v>
      </c>
      <c r="J149" s="23"/>
      <c r="K149" s="124">
        <f t="shared" si="39"/>
        <v>3137602.7399999998</v>
      </c>
      <c r="L149" s="127">
        <v>3137602.7399999998</v>
      </c>
      <c r="M149" s="125">
        <v>0</v>
      </c>
      <c r="N149" s="125">
        <v>0</v>
      </c>
      <c r="O149" s="126"/>
      <c r="P149" s="124">
        <f t="shared" si="42"/>
        <v>3949156.1500000004</v>
      </c>
      <c r="Q149" s="127">
        <v>3949156.1500000004</v>
      </c>
      <c r="R149" s="125">
        <v>0</v>
      </c>
      <c r="S149" s="125">
        <v>0</v>
      </c>
      <c r="T149" s="183"/>
      <c r="U149" s="183"/>
      <c r="V149" s="183"/>
    </row>
    <row r="150" spans="1:22" ht="15.75" x14ac:dyDescent="0.25">
      <c r="A150" s="110"/>
      <c r="B150" s="108"/>
      <c r="C150" s="108" t="s">
        <v>559</v>
      </c>
      <c r="D150" s="110"/>
      <c r="E150" s="26"/>
      <c r="F150" s="131">
        <f>SUM(F120:F149)</f>
        <v>384095632.81999993</v>
      </c>
      <c r="G150" s="504">
        <f t="shared" ref="G150:I150" si="43">SUM(G120:G149)</f>
        <v>382487470.29999995</v>
      </c>
      <c r="H150" s="131">
        <f t="shared" si="43"/>
        <v>0</v>
      </c>
      <c r="I150" s="131">
        <f t="shared" si="43"/>
        <v>1608162.52</v>
      </c>
      <c r="J150" s="26"/>
      <c r="K150" s="131">
        <f>SUM(K120:K149)</f>
        <v>364259254.19000006</v>
      </c>
      <c r="L150" s="131">
        <f t="shared" ref="L150:N150" si="44">SUM(L120:L149)</f>
        <v>363908013.69000006</v>
      </c>
      <c r="M150" s="131">
        <f t="shared" si="44"/>
        <v>0</v>
      </c>
      <c r="N150" s="131">
        <f t="shared" si="44"/>
        <v>351240.5</v>
      </c>
      <c r="O150" s="126"/>
      <c r="P150" s="131">
        <f>SUM(P120:P149)</f>
        <v>326293082.96000004</v>
      </c>
      <c r="Q150" s="131">
        <v>326293082.96000004</v>
      </c>
      <c r="R150" s="131">
        <v>0</v>
      </c>
      <c r="S150" s="131">
        <v>0</v>
      </c>
      <c r="T150" s="183"/>
      <c r="U150" s="183">
        <f>+K150-P150</f>
        <v>37966171.230000019</v>
      </c>
      <c r="V150" s="183"/>
    </row>
    <row r="151" spans="1:22" ht="15.75" x14ac:dyDescent="0.25">
      <c r="A151" s="110"/>
      <c r="B151" s="108" t="s">
        <v>560</v>
      </c>
      <c r="C151" s="115"/>
      <c r="D151" s="110"/>
      <c r="E151" s="26"/>
      <c r="F151" s="124"/>
      <c r="G151" s="499"/>
      <c r="H151" s="126"/>
      <c r="I151" s="126"/>
      <c r="J151" s="26"/>
      <c r="K151" s="124"/>
      <c r="L151" s="126"/>
      <c r="M151" s="126"/>
      <c r="N151" s="126"/>
      <c r="O151" s="126"/>
      <c r="P151" s="124"/>
      <c r="Q151" s="126"/>
      <c r="R151" s="126"/>
      <c r="S151" s="126"/>
      <c r="T151" s="183"/>
      <c r="U151" s="183"/>
      <c r="V151" s="183"/>
    </row>
    <row r="152" spans="1:22" ht="15.75" x14ac:dyDescent="0.25">
      <c r="A152" s="110"/>
      <c r="B152" s="108"/>
      <c r="C152" s="108" t="s">
        <v>561</v>
      </c>
      <c r="D152" s="110"/>
      <c r="E152" s="26"/>
      <c r="F152" s="124"/>
      <c r="G152" s="499"/>
      <c r="H152" s="126"/>
      <c r="I152" s="126"/>
      <c r="J152" s="26"/>
      <c r="K152" s="124"/>
      <c r="L152" s="126"/>
      <c r="M152" s="126"/>
      <c r="N152" s="126"/>
      <c r="O152" s="126"/>
      <c r="P152" s="124"/>
      <c r="Q152" s="126"/>
      <c r="R152" s="126"/>
      <c r="S152" s="126"/>
      <c r="T152" s="183"/>
      <c r="U152" s="183"/>
      <c r="V152" s="183"/>
    </row>
    <row r="153" spans="1:22" ht="15.75" x14ac:dyDescent="0.25">
      <c r="A153" s="111"/>
      <c r="B153" s="108"/>
      <c r="C153" s="108"/>
      <c r="D153" s="114" t="s">
        <v>562</v>
      </c>
      <c r="E153" s="23"/>
      <c r="F153" s="124">
        <f>SUM(G153:I153)</f>
        <v>1231503</v>
      </c>
      <c r="G153" s="497">
        <v>1169853</v>
      </c>
      <c r="H153" s="125">
        <v>0</v>
      </c>
      <c r="I153" s="491">
        <v>61650</v>
      </c>
      <c r="J153" s="23"/>
      <c r="K153" s="124">
        <f>SUM(L153:N153)</f>
        <v>1792322.6600000001</v>
      </c>
      <c r="L153" s="127">
        <v>1573362.9000000001</v>
      </c>
      <c r="M153" s="125">
        <v>156559.76</v>
      </c>
      <c r="N153" s="125">
        <v>62400</v>
      </c>
      <c r="O153" s="126"/>
      <c r="P153" s="124">
        <f>SUM(Q153:S153)</f>
        <v>6542926.4900000002</v>
      </c>
      <c r="Q153" s="127">
        <v>4976714.49</v>
      </c>
      <c r="R153" s="125">
        <v>1500212</v>
      </c>
      <c r="S153" s="125">
        <v>66000</v>
      </c>
      <c r="T153" s="183"/>
      <c r="U153" s="183">
        <f t="shared" ref="U153:U216" si="45">+K153-P153</f>
        <v>-4750603.83</v>
      </c>
      <c r="V153" s="183"/>
    </row>
    <row r="154" spans="1:22" ht="15.75" x14ac:dyDescent="0.25">
      <c r="A154" s="111"/>
      <c r="B154" s="108"/>
      <c r="C154" s="108"/>
      <c r="D154" s="114" t="s">
        <v>563</v>
      </c>
      <c r="E154" s="23"/>
      <c r="F154" s="124">
        <f>SUM(G154:I154)</f>
        <v>0</v>
      </c>
      <c r="G154" s="497">
        <v>0</v>
      </c>
      <c r="H154" s="490">
        <v>0</v>
      </c>
      <c r="I154" s="491">
        <v>0</v>
      </c>
      <c r="J154" s="23"/>
      <c r="K154" s="124">
        <f>SUM(L154:N154)</f>
        <v>0</v>
      </c>
      <c r="L154" s="127">
        <v>0</v>
      </c>
      <c r="M154" s="125">
        <v>0</v>
      </c>
      <c r="N154" s="125">
        <v>0</v>
      </c>
      <c r="O154" s="126"/>
      <c r="P154" s="124">
        <f>SUM(Q154:S154)</f>
        <v>4205.08</v>
      </c>
      <c r="Q154" s="126">
        <v>4205.08</v>
      </c>
      <c r="R154" s="125">
        <v>0</v>
      </c>
      <c r="S154" s="125">
        <v>0</v>
      </c>
      <c r="T154" s="183"/>
      <c r="U154" s="183">
        <f t="shared" si="45"/>
        <v>-4205.08</v>
      </c>
      <c r="V154" s="183"/>
    </row>
    <row r="155" spans="1:22" ht="15.75" x14ac:dyDescent="0.25">
      <c r="A155" s="110"/>
      <c r="B155" s="108"/>
      <c r="C155" s="108" t="s">
        <v>564</v>
      </c>
      <c r="D155" s="110"/>
      <c r="E155" s="26"/>
      <c r="F155" s="124"/>
      <c r="G155" s="497"/>
      <c r="H155" s="490"/>
      <c r="I155" s="491"/>
      <c r="J155" s="26"/>
      <c r="K155" s="124"/>
      <c r="L155" s="127"/>
      <c r="M155" s="126"/>
      <c r="N155" s="126"/>
      <c r="O155" s="126"/>
      <c r="P155" s="124"/>
      <c r="Q155" s="126"/>
      <c r="R155" s="126"/>
      <c r="S155" s="126"/>
      <c r="T155" s="183"/>
      <c r="U155" s="183">
        <f t="shared" si="45"/>
        <v>0</v>
      </c>
      <c r="V155" s="183"/>
    </row>
    <row r="156" spans="1:22" ht="15.75" x14ac:dyDescent="0.25">
      <c r="A156" s="111"/>
      <c r="B156" s="108"/>
      <c r="C156" s="108"/>
      <c r="D156" s="114" t="s">
        <v>565</v>
      </c>
      <c r="E156" s="23"/>
      <c r="F156" s="124">
        <f>SUM(G156:I156)</f>
        <v>21041919.510000002</v>
      </c>
      <c r="G156" s="497">
        <v>20356551.510000002</v>
      </c>
      <c r="H156" s="490">
        <v>289318</v>
      </c>
      <c r="I156" s="491">
        <v>396050</v>
      </c>
      <c r="J156" s="23"/>
      <c r="K156" s="124">
        <f>SUM(L156:N156)</f>
        <v>13127478.570000002</v>
      </c>
      <c r="L156" s="127">
        <v>12855980.920000002</v>
      </c>
      <c r="M156" s="125">
        <v>29250</v>
      </c>
      <c r="N156" s="125">
        <v>242247.65000000002</v>
      </c>
      <c r="O156" s="126"/>
      <c r="P156" s="124">
        <f>SUM(Q156:S156)</f>
        <v>27512018.889999993</v>
      </c>
      <c r="Q156" s="127">
        <v>22414684.139999993</v>
      </c>
      <c r="R156" s="125">
        <v>4914107</v>
      </c>
      <c r="S156" s="125">
        <v>183227.75</v>
      </c>
      <c r="T156" s="183"/>
      <c r="U156" s="183">
        <f t="shared" si="45"/>
        <v>-14384540.319999991</v>
      </c>
      <c r="V156" s="183"/>
    </row>
    <row r="157" spans="1:22" ht="15.75" x14ac:dyDescent="0.25">
      <c r="A157" s="111"/>
      <c r="B157" s="108"/>
      <c r="C157" s="108"/>
      <c r="D157" s="114" t="s">
        <v>566</v>
      </c>
      <c r="E157" s="23"/>
      <c r="F157" s="124">
        <f>SUM(G157:I157)</f>
        <v>7461251.4000000004</v>
      </c>
      <c r="G157" s="497">
        <v>7461251.4000000004</v>
      </c>
      <c r="H157" s="490"/>
      <c r="I157" s="491"/>
      <c r="J157" s="23"/>
      <c r="K157" s="124">
        <f>SUM(L157:N157)</f>
        <v>5592367.9000000004</v>
      </c>
      <c r="L157" s="127">
        <v>5592367.9000000004</v>
      </c>
      <c r="M157" s="125">
        <v>0</v>
      </c>
      <c r="N157" s="125">
        <v>0</v>
      </c>
      <c r="O157" s="126"/>
      <c r="P157" s="124">
        <f>SUM(Q157:S157)</f>
        <v>4134345</v>
      </c>
      <c r="Q157" s="126">
        <v>4134345</v>
      </c>
      <c r="R157" s="125">
        <v>0</v>
      </c>
      <c r="S157" s="125">
        <v>0</v>
      </c>
      <c r="T157" s="183"/>
      <c r="U157" s="183">
        <f t="shared" si="45"/>
        <v>1458022.9000000004</v>
      </c>
      <c r="V157" s="183"/>
    </row>
    <row r="158" spans="1:22" ht="15.75" x14ac:dyDescent="0.25">
      <c r="A158" s="110"/>
      <c r="B158" s="108"/>
      <c r="C158" s="108" t="s">
        <v>567</v>
      </c>
      <c r="D158" s="110"/>
      <c r="E158" s="26"/>
      <c r="F158" s="124"/>
      <c r="G158" s="497"/>
      <c r="H158" s="490"/>
      <c r="I158" s="491"/>
      <c r="J158" s="26"/>
      <c r="K158" s="124"/>
      <c r="L158" s="127"/>
      <c r="M158" s="126"/>
      <c r="N158" s="126"/>
      <c r="O158" s="126"/>
      <c r="P158" s="124"/>
      <c r="Q158" s="126"/>
      <c r="R158" s="126"/>
      <c r="S158" s="126"/>
      <c r="T158" s="183"/>
      <c r="U158" s="183">
        <f t="shared" si="45"/>
        <v>0</v>
      </c>
      <c r="V158" s="183"/>
    </row>
    <row r="159" spans="1:22" ht="15.75" x14ac:dyDescent="0.25">
      <c r="A159" s="111"/>
      <c r="B159" s="108"/>
      <c r="C159" s="108"/>
      <c r="D159" s="114" t="s">
        <v>568</v>
      </c>
      <c r="E159" s="114"/>
      <c r="F159" s="124">
        <f t="shared" ref="F159:F167" si="46">SUM(G159:I159)</f>
        <v>4874368.9400000004</v>
      </c>
      <c r="G159" s="497">
        <v>4874368.9400000004</v>
      </c>
      <c r="H159" s="490"/>
      <c r="I159" s="491"/>
      <c r="J159" s="114"/>
      <c r="K159" s="124">
        <f t="shared" ref="K159:K167" si="47">SUM(L159:N159)</f>
        <v>4510988.37</v>
      </c>
      <c r="L159" s="127">
        <v>4398269.6500000004</v>
      </c>
      <c r="M159" s="125">
        <v>58736.72</v>
      </c>
      <c r="N159" s="125">
        <v>53982</v>
      </c>
      <c r="O159" s="126"/>
      <c r="P159" s="124">
        <f t="shared" ref="P159:P167" si="48">SUM(Q159:S159)</f>
        <v>5193747.3499999996</v>
      </c>
      <c r="Q159" s="127">
        <v>5012636.8499999996</v>
      </c>
      <c r="R159" s="125">
        <v>93057.5</v>
      </c>
      <c r="S159" s="125">
        <v>88053</v>
      </c>
      <c r="T159" s="183"/>
      <c r="U159" s="183">
        <f t="shared" si="45"/>
        <v>-682758.97999999952</v>
      </c>
      <c r="V159" s="183"/>
    </row>
    <row r="160" spans="1:22" ht="15.75" x14ac:dyDescent="0.25">
      <c r="A160" s="111"/>
      <c r="B160" s="108"/>
      <c r="C160" s="108"/>
      <c r="D160" s="114" t="s">
        <v>569</v>
      </c>
      <c r="E160" s="114"/>
      <c r="F160" s="124">
        <f t="shared" si="46"/>
        <v>2765260.12</v>
      </c>
      <c r="G160" s="497">
        <v>2765260.12</v>
      </c>
      <c r="H160" s="490">
        <v>0</v>
      </c>
      <c r="I160" s="491">
        <v>0</v>
      </c>
      <c r="J160" s="114"/>
      <c r="K160" s="124">
        <f t="shared" si="47"/>
        <v>3044993</v>
      </c>
      <c r="L160" s="127">
        <v>3044993</v>
      </c>
      <c r="M160" s="125">
        <v>0</v>
      </c>
      <c r="N160" s="125">
        <v>0</v>
      </c>
      <c r="O160" s="126"/>
      <c r="P160" s="124">
        <f t="shared" si="48"/>
        <v>1007500</v>
      </c>
      <c r="Q160" s="127">
        <v>1007500</v>
      </c>
      <c r="R160" s="125">
        <v>0</v>
      </c>
      <c r="S160" s="125">
        <v>0</v>
      </c>
      <c r="T160" s="183"/>
      <c r="U160" s="183">
        <f t="shared" si="45"/>
        <v>2037493</v>
      </c>
      <c r="V160" s="183"/>
    </row>
    <row r="161" spans="1:22" ht="15.75" x14ac:dyDescent="0.25">
      <c r="A161" s="111"/>
      <c r="B161" s="108"/>
      <c r="C161" s="108"/>
      <c r="D161" s="114" t="s">
        <v>570</v>
      </c>
      <c r="E161" s="114"/>
      <c r="F161" s="124">
        <f t="shared" si="46"/>
        <v>106960</v>
      </c>
      <c r="G161" s="497">
        <v>106960</v>
      </c>
      <c r="H161" s="490">
        <v>0</v>
      </c>
      <c r="I161" s="491">
        <v>0</v>
      </c>
      <c r="J161" s="114"/>
      <c r="K161" s="124">
        <f t="shared" si="47"/>
        <v>0</v>
      </c>
      <c r="L161" s="127">
        <v>0</v>
      </c>
      <c r="M161" s="125">
        <v>0</v>
      </c>
      <c r="N161" s="125">
        <v>0</v>
      </c>
      <c r="O161" s="126"/>
      <c r="P161" s="124">
        <f t="shared" si="48"/>
        <v>27155</v>
      </c>
      <c r="Q161" s="125">
        <v>27155</v>
      </c>
      <c r="R161" s="125">
        <v>0</v>
      </c>
      <c r="S161" s="125">
        <v>0</v>
      </c>
      <c r="T161" s="183"/>
      <c r="U161" s="183">
        <f t="shared" si="45"/>
        <v>-27155</v>
      </c>
      <c r="V161" s="183"/>
    </row>
    <row r="162" spans="1:22" ht="15.75" x14ac:dyDescent="0.25">
      <c r="A162" s="111"/>
      <c r="B162" s="108"/>
      <c r="C162" s="108"/>
      <c r="D162" s="114" t="s">
        <v>571</v>
      </c>
      <c r="E162" s="114"/>
      <c r="F162" s="124">
        <f t="shared" si="46"/>
        <v>1323549.5</v>
      </c>
      <c r="G162" s="497">
        <v>984399.5</v>
      </c>
      <c r="H162" s="490">
        <v>0</v>
      </c>
      <c r="I162" s="491">
        <v>339150</v>
      </c>
      <c r="J162" s="114"/>
      <c r="K162" s="124">
        <f t="shared" si="47"/>
        <v>873353.5</v>
      </c>
      <c r="L162" s="127">
        <v>873353.5</v>
      </c>
      <c r="M162" s="125">
        <v>0</v>
      </c>
      <c r="N162" s="125">
        <v>0</v>
      </c>
      <c r="O162" s="126"/>
      <c r="P162" s="124">
        <f t="shared" si="48"/>
        <v>1132306.75</v>
      </c>
      <c r="Q162" s="127">
        <v>1132306.75</v>
      </c>
      <c r="R162" s="125">
        <v>0</v>
      </c>
      <c r="S162" s="125">
        <v>0</v>
      </c>
      <c r="T162" s="183"/>
      <c r="U162" s="183">
        <f t="shared" si="45"/>
        <v>-258953.25</v>
      </c>
      <c r="V162" s="183"/>
    </row>
    <row r="163" spans="1:22" ht="15.75" x14ac:dyDescent="0.25">
      <c r="A163" s="111"/>
      <c r="B163" s="108"/>
      <c r="C163" s="108"/>
      <c r="D163" s="114" t="s">
        <v>572</v>
      </c>
      <c r="E163" s="114"/>
      <c r="F163" s="124">
        <f t="shared" si="46"/>
        <v>5648180.2000000002</v>
      </c>
      <c r="G163" s="497">
        <v>5648180.2000000002</v>
      </c>
      <c r="H163" s="490">
        <v>0</v>
      </c>
      <c r="I163" s="491">
        <v>0</v>
      </c>
      <c r="J163" s="114"/>
      <c r="K163" s="124">
        <f t="shared" si="47"/>
        <v>60251022.5</v>
      </c>
      <c r="L163" s="127">
        <v>60251022.5</v>
      </c>
      <c r="M163" s="125">
        <v>0</v>
      </c>
      <c r="N163" s="125">
        <v>0</v>
      </c>
      <c r="O163" s="126"/>
      <c r="P163" s="124">
        <f t="shared" si="48"/>
        <v>3190946</v>
      </c>
      <c r="Q163" s="127">
        <v>3190946</v>
      </c>
      <c r="R163" s="125">
        <v>0</v>
      </c>
      <c r="S163" s="125">
        <v>0</v>
      </c>
      <c r="T163" s="183"/>
      <c r="U163" s="231">
        <f t="shared" si="45"/>
        <v>57060076.5</v>
      </c>
      <c r="V163" s="183"/>
    </row>
    <row r="164" spans="1:22" ht="15.75" hidden="1" x14ac:dyDescent="0.25">
      <c r="A164" s="111"/>
      <c r="B164" s="108"/>
      <c r="C164" s="108"/>
      <c r="D164" s="114" t="s">
        <v>573</v>
      </c>
      <c r="E164" s="114"/>
      <c r="F164" s="124">
        <f t="shared" si="46"/>
        <v>0</v>
      </c>
      <c r="G164" s="497"/>
      <c r="H164" s="490"/>
      <c r="I164" s="491"/>
      <c r="J164" s="114"/>
      <c r="K164" s="124">
        <f t="shared" si="47"/>
        <v>0</v>
      </c>
      <c r="L164" s="127"/>
      <c r="M164" s="125"/>
      <c r="N164" s="125"/>
      <c r="O164" s="126"/>
      <c r="P164" s="124">
        <f t="shared" si="48"/>
        <v>0</v>
      </c>
      <c r="Q164" s="127"/>
      <c r="R164" s="125"/>
      <c r="S164" s="125"/>
      <c r="T164" s="183"/>
      <c r="U164" s="183">
        <f t="shared" si="45"/>
        <v>0</v>
      </c>
      <c r="V164" s="183"/>
    </row>
    <row r="165" spans="1:22" ht="15.75" x14ac:dyDescent="0.25">
      <c r="A165" s="111"/>
      <c r="B165" s="108"/>
      <c r="C165" s="108"/>
      <c r="D165" s="114" t="s">
        <v>574</v>
      </c>
      <c r="E165" s="114"/>
      <c r="F165" s="124">
        <f t="shared" si="46"/>
        <v>7535344.2299999995</v>
      </c>
      <c r="G165" s="497">
        <v>7535344.2299999995</v>
      </c>
      <c r="H165" s="490">
        <v>0</v>
      </c>
      <c r="I165" s="491">
        <v>0</v>
      </c>
      <c r="J165" s="114"/>
      <c r="K165" s="124">
        <f t="shared" si="47"/>
        <v>10477538.4</v>
      </c>
      <c r="L165" s="127">
        <v>10294528.4</v>
      </c>
      <c r="M165" s="125">
        <v>109010</v>
      </c>
      <c r="N165" s="125">
        <v>74000</v>
      </c>
      <c r="O165" s="126"/>
      <c r="P165" s="124">
        <f t="shared" si="48"/>
        <v>8509716.0399999991</v>
      </c>
      <c r="Q165" s="127">
        <v>8268743.04</v>
      </c>
      <c r="R165" s="125">
        <v>20726</v>
      </c>
      <c r="S165" s="125">
        <v>220247</v>
      </c>
      <c r="T165" s="183"/>
      <c r="U165" s="183">
        <f t="shared" si="45"/>
        <v>1967822.3600000013</v>
      </c>
      <c r="V165" s="183"/>
    </row>
    <row r="166" spans="1:22" ht="15.75" x14ac:dyDescent="0.25">
      <c r="A166" s="111"/>
      <c r="B166" s="108"/>
      <c r="C166" s="108"/>
      <c r="D166" s="114" t="s">
        <v>575</v>
      </c>
      <c r="E166" s="114"/>
      <c r="F166" s="124">
        <f t="shared" si="46"/>
        <v>7616738.5</v>
      </c>
      <c r="G166" s="497">
        <v>7616738.5</v>
      </c>
      <c r="H166" s="490">
        <v>0</v>
      </c>
      <c r="I166" s="491">
        <v>0</v>
      </c>
      <c r="J166" s="114"/>
      <c r="K166" s="124">
        <f t="shared" si="47"/>
        <v>3717547.5</v>
      </c>
      <c r="L166" s="127">
        <v>3442395.5</v>
      </c>
      <c r="M166" s="125">
        <v>0</v>
      </c>
      <c r="N166" s="125">
        <v>275152</v>
      </c>
      <c r="O166" s="126"/>
      <c r="P166" s="124">
        <f t="shared" si="48"/>
        <v>2706074.9699999997</v>
      </c>
      <c r="Q166" s="127">
        <v>2289483.9699999997</v>
      </c>
      <c r="R166" s="125">
        <v>121868</v>
      </c>
      <c r="S166" s="125">
        <v>294723</v>
      </c>
      <c r="T166" s="183"/>
      <c r="U166" s="183">
        <f t="shared" si="45"/>
        <v>1011472.5300000003</v>
      </c>
      <c r="V166" s="183"/>
    </row>
    <row r="167" spans="1:22" ht="15.75" x14ac:dyDescent="0.25">
      <c r="A167" s="111"/>
      <c r="B167" s="108"/>
      <c r="C167" s="108"/>
      <c r="D167" s="114" t="s">
        <v>576</v>
      </c>
      <c r="E167" s="114"/>
      <c r="F167" s="124">
        <f t="shared" si="46"/>
        <v>37110983.780000001</v>
      </c>
      <c r="G167" s="497">
        <v>37110983.780000001</v>
      </c>
      <c r="H167" s="490">
        <v>0</v>
      </c>
      <c r="I167" s="491">
        <v>0</v>
      </c>
      <c r="J167" s="114"/>
      <c r="K167" s="124">
        <f t="shared" si="47"/>
        <v>29504310.199999996</v>
      </c>
      <c r="L167" s="127">
        <v>29504310.199999996</v>
      </c>
      <c r="M167" s="125">
        <v>0</v>
      </c>
      <c r="N167" s="125">
        <v>0</v>
      </c>
      <c r="O167" s="126"/>
      <c r="P167" s="124">
        <f t="shared" si="48"/>
        <v>33049891.569999997</v>
      </c>
      <c r="Q167" s="127">
        <v>33049891.569999997</v>
      </c>
      <c r="R167" s="125">
        <v>0</v>
      </c>
      <c r="S167" s="125">
        <v>0</v>
      </c>
      <c r="T167" s="183"/>
      <c r="U167" s="183">
        <f t="shared" si="45"/>
        <v>-3545581.370000001</v>
      </c>
      <c r="V167" s="183"/>
    </row>
    <row r="168" spans="1:22" ht="15.75" x14ac:dyDescent="0.25">
      <c r="A168" s="111"/>
      <c r="B168" s="108"/>
      <c r="C168" s="108"/>
      <c r="D168" s="114" t="s">
        <v>577</v>
      </c>
      <c r="E168" s="114"/>
      <c r="F168" s="124">
        <f>SUM(G168:I168)</f>
        <v>3540401.5</v>
      </c>
      <c r="G168" s="497">
        <v>2941301.5</v>
      </c>
      <c r="H168" s="490">
        <v>0</v>
      </c>
      <c r="I168" s="491">
        <v>599100</v>
      </c>
      <c r="J168" s="114"/>
      <c r="K168" s="124">
        <f>SUM(L168:N168)</f>
        <v>3787298.04</v>
      </c>
      <c r="L168" s="127">
        <v>3403718.04</v>
      </c>
      <c r="M168" s="125">
        <v>0</v>
      </c>
      <c r="N168" s="125">
        <v>383580</v>
      </c>
      <c r="O168" s="126"/>
      <c r="P168" s="124">
        <f>SUM(Q168:S168)</f>
        <v>2404701</v>
      </c>
      <c r="Q168" s="127">
        <v>2404701</v>
      </c>
      <c r="R168" s="125">
        <v>0</v>
      </c>
      <c r="S168" s="125">
        <v>0</v>
      </c>
      <c r="T168" s="183"/>
      <c r="U168" s="183">
        <f t="shared" si="45"/>
        <v>1382597.04</v>
      </c>
      <c r="V168" s="183"/>
    </row>
    <row r="169" spans="1:22" ht="15.75" hidden="1" x14ac:dyDescent="0.25">
      <c r="A169" s="111"/>
      <c r="B169" s="108"/>
      <c r="C169" s="108"/>
      <c r="D169" s="114" t="s">
        <v>578</v>
      </c>
      <c r="E169" s="114"/>
      <c r="F169" s="124">
        <f>SUM(G169:I169)</f>
        <v>0</v>
      </c>
      <c r="G169" s="498"/>
      <c r="H169" s="125"/>
      <c r="I169" s="125"/>
      <c r="J169" s="114"/>
      <c r="K169" s="124">
        <f>SUM(L169:N169)</f>
        <v>0</v>
      </c>
      <c r="L169" s="127"/>
      <c r="M169" s="125"/>
      <c r="N169" s="125"/>
      <c r="O169" s="126"/>
      <c r="P169" s="124">
        <f>SUM(Q169:S169)</f>
        <v>0</v>
      </c>
      <c r="Q169" s="127">
        <v>0</v>
      </c>
      <c r="R169" s="125"/>
      <c r="S169" s="125"/>
      <c r="T169" s="183"/>
      <c r="U169" s="183">
        <f t="shared" si="45"/>
        <v>0</v>
      </c>
      <c r="V169" s="183"/>
    </row>
    <row r="170" spans="1:22" ht="15.75" hidden="1" x14ac:dyDescent="0.25">
      <c r="A170" s="111"/>
      <c r="B170" s="108"/>
      <c r="C170" s="108"/>
      <c r="D170" s="114" t="s">
        <v>579</v>
      </c>
      <c r="E170" s="114"/>
      <c r="F170" s="124">
        <f>SUM(G170:I170)</f>
        <v>0</v>
      </c>
      <c r="G170" s="498"/>
      <c r="H170" s="125"/>
      <c r="I170" s="125"/>
      <c r="J170" s="114"/>
      <c r="K170" s="124">
        <f>SUM(L170:N170)</f>
        <v>0</v>
      </c>
      <c r="L170" s="127"/>
      <c r="M170" s="125"/>
      <c r="N170" s="125"/>
      <c r="O170" s="126"/>
      <c r="P170" s="124">
        <f>SUM(Q170:S170)</f>
        <v>0</v>
      </c>
      <c r="Q170" s="127"/>
      <c r="R170" s="125"/>
      <c r="S170" s="125"/>
      <c r="T170" s="183"/>
      <c r="U170" s="183">
        <f t="shared" si="45"/>
        <v>0</v>
      </c>
      <c r="V170" s="183"/>
    </row>
    <row r="171" spans="1:22" ht="15.75" hidden="1" x14ac:dyDescent="0.25">
      <c r="A171" s="111"/>
      <c r="B171" s="108"/>
      <c r="C171" s="108"/>
      <c r="D171" s="114" t="s">
        <v>580</v>
      </c>
      <c r="E171" s="114"/>
      <c r="F171" s="124">
        <f>SUM(G171:I171)</f>
        <v>0</v>
      </c>
      <c r="G171" s="498"/>
      <c r="H171" s="125"/>
      <c r="I171" s="125"/>
      <c r="J171" s="114"/>
      <c r="K171" s="124">
        <f>SUM(L171:N171)</f>
        <v>0</v>
      </c>
      <c r="L171" s="127"/>
      <c r="M171" s="125"/>
      <c r="N171" s="125"/>
      <c r="O171" s="126"/>
      <c r="P171" s="124">
        <f>SUM(Q171:S171)</f>
        <v>0</v>
      </c>
      <c r="Q171" s="127"/>
      <c r="R171" s="125"/>
      <c r="S171" s="125"/>
      <c r="T171" s="183"/>
      <c r="U171" s="183">
        <f t="shared" si="45"/>
        <v>0</v>
      </c>
      <c r="V171" s="183"/>
    </row>
    <row r="172" spans="1:22" ht="15.75" x14ac:dyDescent="0.25">
      <c r="A172" s="111"/>
      <c r="B172" s="108"/>
      <c r="C172" s="108"/>
      <c r="D172" s="114" t="s">
        <v>581</v>
      </c>
      <c r="E172" s="114"/>
      <c r="F172" s="124">
        <f>SUM(G172:I172)</f>
        <v>15456052.800000001</v>
      </c>
      <c r="G172" s="497">
        <v>15293082.800000001</v>
      </c>
      <c r="H172" s="490">
        <v>0</v>
      </c>
      <c r="I172" s="491">
        <v>162970</v>
      </c>
      <c r="J172" s="114"/>
      <c r="K172" s="124">
        <f>SUM(L172:N172)</f>
        <v>18877824</v>
      </c>
      <c r="L172" s="127">
        <v>15606902.32</v>
      </c>
      <c r="M172" s="125">
        <v>2339146.6800000002</v>
      </c>
      <c r="N172" s="125">
        <v>931775</v>
      </c>
      <c r="O172" s="126"/>
      <c r="P172" s="124">
        <f>SUM(Q172:S172)</f>
        <v>20505591.099999998</v>
      </c>
      <c r="Q172" s="127">
        <v>16316040.699999999</v>
      </c>
      <c r="R172" s="125">
        <v>3912606.4</v>
      </c>
      <c r="S172" s="125">
        <v>276944</v>
      </c>
      <c r="T172" s="183"/>
      <c r="U172" s="183">
        <f t="shared" si="45"/>
        <v>-1627767.0999999978</v>
      </c>
      <c r="V172" s="183"/>
    </row>
    <row r="173" spans="1:22" ht="15.75" x14ac:dyDescent="0.25">
      <c r="A173" s="110"/>
      <c r="B173" s="108"/>
      <c r="C173" s="108" t="s">
        <v>582</v>
      </c>
      <c r="D173" s="110"/>
      <c r="E173" s="26"/>
      <c r="F173" s="124"/>
      <c r="G173" s="497"/>
      <c r="H173" s="490"/>
      <c r="I173" s="491"/>
      <c r="J173" s="26"/>
      <c r="K173" s="124"/>
      <c r="L173" s="127"/>
      <c r="M173" s="126"/>
      <c r="N173" s="126"/>
      <c r="O173" s="126"/>
      <c r="P173" s="124"/>
      <c r="Q173" s="126"/>
      <c r="R173" s="126"/>
      <c r="S173" s="126"/>
      <c r="T173" s="183"/>
      <c r="U173" s="183">
        <f t="shared" si="45"/>
        <v>0</v>
      </c>
      <c r="V173" s="183"/>
    </row>
    <row r="174" spans="1:22" ht="15.75" x14ac:dyDescent="0.25">
      <c r="A174" s="111"/>
      <c r="B174" s="108"/>
      <c r="C174" s="116"/>
      <c r="D174" s="114" t="s">
        <v>583</v>
      </c>
      <c r="E174" s="23"/>
      <c r="F174" s="124">
        <f>SUM(G174:I174)</f>
        <v>6558154.1599999992</v>
      </c>
      <c r="G174" s="497">
        <v>6554310.4999999991</v>
      </c>
      <c r="H174" s="490">
        <v>3843.6600000000003</v>
      </c>
      <c r="I174" s="491">
        <v>0</v>
      </c>
      <c r="J174" s="23"/>
      <c r="K174" s="124">
        <f>SUM(L174:N174)</f>
        <v>2937459.7</v>
      </c>
      <c r="L174" s="127">
        <v>2933865.35</v>
      </c>
      <c r="M174" s="125">
        <v>3594.35</v>
      </c>
      <c r="N174" s="125">
        <v>0</v>
      </c>
      <c r="O174" s="126"/>
      <c r="P174" s="124">
        <f>SUM(Q174:S174)</f>
        <v>3858873.16</v>
      </c>
      <c r="Q174" s="127">
        <v>3853877.54</v>
      </c>
      <c r="R174" s="125">
        <v>3945.619999999999</v>
      </c>
      <c r="S174" s="125">
        <v>1050</v>
      </c>
      <c r="T174" s="183"/>
      <c r="U174" s="183">
        <f t="shared" si="45"/>
        <v>-921413.46</v>
      </c>
      <c r="V174" s="183"/>
    </row>
    <row r="175" spans="1:22" ht="15.75" x14ac:dyDescent="0.25">
      <c r="A175" s="111"/>
      <c r="B175" s="108"/>
      <c r="C175" s="116"/>
      <c r="D175" s="114" t="s">
        <v>584</v>
      </c>
      <c r="E175" s="23"/>
      <c r="F175" s="124">
        <f>SUM(G175:I175)</f>
        <v>58140892.539999992</v>
      </c>
      <c r="G175" s="497">
        <v>58039444.749999993</v>
      </c>
      <c r="H175" s="490">
        <v>101447.79</v>
      </c>
      <c r="I175" s="491">
        <v>0</v>
      </c>
      <c r="J175" s="23"/>
      <c r="K175" s="124">
        <f>SUM(L175:N175)</f>
        <v>53351201.239999995</v>
      </c>
      <c r="L175" s="127">
        <v>53217949.019999996</v>
      </c>
      <c r="M175" s="125">
        <v>133252.22000000003</v>
      </c>
      <c r="N175" s="125">
        <v>0</v>
      </c>
      <c r="O175" s="126"/>
      <c r="P175" s="124">
        <f>SUM(Q175:S175)</f>
        <v>51411113.940000005</v>
      </c>
      <c r="Q175" s="127">
        <v>51265507.920000002</v>
      </c>
      <c r="R175" s="125">
        <v>145606.01999999999</v>
      </c>
      <c r="S175" s="125">
        <v>0</v>
      </c>
      <c r="T175" s="183"/>
      <c r="U175" s="183">
        <f t="shared" si="45"/>
        <v>1940087.2999999896</v>
      </c>
      <c r="V175" s="183"/>
    </row>
    <row r="176" spans="1:22" ht="15.75" x14ac:dyDescent="0.25">
      <c r="A176" s="110"/>
      <c r="B176" s="108"/>
      <c r="C176" s="108" t="s">
        <v>585</v>
      </c>
      <c r="D176" s="110"/>
      <c r="E176" s="26"/>
      <c r="F176" s="124"/>
      <c r="G176" s="497"/>
      <c r="H176" s="490"/>
      <c r="I176" s="491"/>
      <c r="J176" s="26"/>
      <c r="K176" s="124"/>
      <c r="L176" s="127"/>
      <c r="M176" s="126"/>
      <c r="N176" s="126"/>
      <c r="O176" s="126"/>
      <c r="P176" s="124"/>
      <c r="Q176" s="126"/>
      <c r="R176" s="126"/>
      <c r="S176" s="126"/>
      <c r="T176" s="183"/>
      <c r="U176" s="183">
        <f t="shared" si="45"/>
        <v>0</v>
      </c>
      <c r="V176" s="183"/>
    </row>
    <row r="177" spans="1:22" ht="15.75" x14ac:dyDescent="0.25">
      <c r="A177" s="111"/>
      <c r="B177" s="108"/>
      <c r="C177" s="116"/>
      <c r="D177" s="114" t="s">
        <v>586</v>
      </c>
      <c r="E177" s="114"/>
      <c r="F177" s="124">
        <f>SUM(G177:I177)</f>
        <v>2315</v>
      </c>
      <c r="G177" s="497">
        <v>2315</v>
      </c>
      <c r="H177" s="490"/>
      <c r="I177" s="491"/>
      <c r="J177" s="114"/>
      <c r="K177" s="124">
        <f>SUM(L177:N177)</f>
        <v>3000</v>
      </c>
      <c r="L177" s="127">
        <v>3000</v>
      </c>
      <c r="M177" s="125">
        <v>0</v>
      </c>
      <c r="N177" s="125">
        <v>0</v>
      </c>
      <c r="O177" s="126"/>
      <c r="P177" s="124">
        <f>SUM(Q177:S177)</f>
        <v>11915</v>
      </c>
      <c r="Q177" s="127">
        <v>11915</v>
      </c>
      <c r="R177" s="125">
        <v>0</v>
      </c>
      <c r="S177" s="125">
        <v>0</v>
      </c>
      <c r="T177" s="183"/>
      <c r="U177" s="183">
        <f t="shared" si="45"/>
        <v>-8915</v>
      </c>
      <c r="V177" s="183"/>
    </row>
    <row r="178" spans="1:22" ht="15.75" x14ac:dyDescent="0.25">
      <c r="A178" s="111"/>
      <c r="B178" s="108"/>
      <c r="C178" s="116"/>
      <c r="D178" s="114" t="s">
        <v>587</v>
      </c>
      <c r="E178" s="114"/>
      <c r="F178" s="124">
        <f>SUM(G178:I178)</f>
        <v>1700836.27</v>
      </c>
      <c r="G178" s="497">
        <v>1700836.27</v>
      </c>
      <c r="H178" s="490"/>
      <c r="I178" s="491"/>
      <c r="J178" s="114"/>
      <c r="K178" s="124">
        <f>SUM(L178:N178)</f>
        <v>1711466.5999999999</v>
      </c>
      <c r="L178" s="127">
        <v>1711466.5999999999</v>
      </c>
      <c r="M178" s="125">
        <v>0</v>
      </c>
      <c r="N178" s="125">
        <v>0</v>
      </c>
      <c r="O178" s="126"/>
      <c r="P178" s="124">
        <f>SUM(Q178:S178)</f>
        <v>1875256.42</v>
      </c>
      <c r="Q178" s="127">
        <v>1875256.42</v>
      </c>
      <c r="R178" s="125">
        <v>0</v>
      </c>
      <c r="S178" s="125">
        <v>0</v>
      </c>
      <c r="T178" s="183"/>
      <c r="U178" s="183">
        <f t="shared" si="45"/>
        <v>-163789.82000000007</v>
      </c>
      <c r="V178" s="183"/>
    </row>
    <row r="179" spans="1:22" ht="15.75" x14ac:dyDescent="0.25">
      <c r="A179" s="111"/>
      <c r="B179" s="108"/>
      <c r="C179" s="116"/>
      <c r="D179" s="114" t="s">
        <v>588</v>
      </c>
      <c r="E179" s="114"/>
      <c r="F179" s="124">
        <f>SUM(G179:I179)</f>
        <v>1463827.9000000001</v>
      </c>
      <c r="G179" s="497">
        <v>1463827.9000000001</v>
      </c>
      <c r="H179" s="490">
        <v>0</v>
      </c>
      <c r="I179" s="491">
        <v>0</v>
      </c>
      <c r="J179" s="114"/>
      <c r="K179" s="124">
        <f>SUM(L179:N179)</f>
        <v>955923.72</v>
      </c>
      <c r="L179" s="127">
        <v>955923.72</v>
      </c>
      <c r="M179" s="125">
        <v>0</v>
      </c>
      <c r="N179" s="125">
        <v>0</v>
      </c>
      <c r="O179" s="126"/>
      <c r="P179" s="124">
        <f>SUM(Q179:S179)</f>
        <v>913656.83</v>
      </c>
      <c r="Q179" s="127">
        <v>894034.26</v>
      </c>
      <c r="R179" s="125">
        <v>16122.57</v>
      </c>
      <c r="S179" s="125">
        <v>3500</v>
      </c>
      <c r="T179" s="183"/>
      <c r="U179" s="183">
        <f t="shared" si="45"/>
        <v>42266.890000000014</v>
      </c>
      <c r="V179" s="183"/>
    </row>
    <row r="180" spans="1:22" ht="15.75" x14ac:dyDescent="0.25">
      <c r="A180" s="111"/>
      <c r="B180" s="108"/>
      <c r="C180" s="116"/>
      <c r="D180" s="114" t="s">
        <v>589</v>
      </c>
      <c r="E180" s="114"/>
      <c r="F180" s="124">
        <f>SUM(G180:I180)</f>
        <v>175185.22</v>
      </c>
      <c r="G180" s="497">
        <v>175185.22</v>
      </c>
      <c r="H180" s="490"/>
      <c r="I180" s="491"/>
      <c r="J180" s="114"/>
      <c r="K180" s="124">
        <f>SUM(L180:N180)</f>
        <v>112683.75</v>
      </c>
      <c r="L180" s="127">
        <v>112683.75</v>
      </c>
      <c r="M180" s="125">
        <v>0</v>
      </c>
      <c r="N180" s="125">
        <v>0</v>
      </c>
      <c r="O180" s="126"/>
      <c r="P180" s="124">
        <f>SUM(Q180:S180)</f>
        <v>42404.61</v>
      </c>
      <c r="Q180" s="127">
        <v>42404.61</v>
      </c>
      <c r="R180" s="125">
        <v>0</v>
      </c>
      <c r="S180" s="125">
        <v>0</v>
      </c>
      <c r="T180" s="183"/>
      <c r="U180" s="183">
        <f t="shared" si="45"/>
        <v>70279.14</v>
      </c>
      <c r="V180" s="183"/>
    </row>
    <row r="181" spans="1:22" ht="15.75" x14ac:dyDescent="0.25">
      <c r="A181" s="111"/>
      <c r="B181" s="108"/>
      <c r="C181" s="108" t="s">
        <v>590</v>
      </c>
      <c r="D181" s="111"/>
      <c r="E181" s="23"/>
      <c r="F181" s="124"/>
      <c r="G181" s="497"/>
      <c r="H181" s="490"/>
      <c r="I181" s="491"/>
      <c r="J181" s="23"/>
      <c r="K181" s="124"/>
      <c r="L181" s="127"/>
      <c r="M181" s="126"/>
      <c r="N181" s="126"/>
      <c r="O181" s="126"/>
      <c r="P181" s="124"/>
      <c r="Q181" s="126"/>
      <c r="R181" s="126"/>
      <c r="S181" s="126"/>
      <c r="T181" s="183"/>
      <c r="U181" s="183">
        <f t="shared" si="45"/>
        <v>0</v>
      </c>
      <c r="V181" s="183"/>
    </row>
    <row r="182" spans="1:22" ht="15.75" x14ac:dyDescent="0.25">
      <c r="A182" s="111"/>
      <c r="B182" s="108"/>
      <c r="C182" s="116"/>
      <c r="D182" s="114" t="s">
        <v>591</v>
      </c>
      <c r="E182" s="23"/>
      <c r="F182" s="124">
        <f>SUM(G182:I182)</f>
        <v>7950</v>
      </c>
      <c r="G182" s="497">
        <v>7950</v>
      </c>
      <c r="H182" s="490"/>
      <c r="I182" s="491"/>
      <c r="J182" s="23"/>
      <c r="K182" s="124">
        <f>SUM(L182:N182)</f>
        <v>28000</v>
      </c>
      <c r="L182" s="127">
        <v>28000</v>
      </c>
      <c r="M182" s="125">
        <v>0</v>
      </c>
      <c r="N182" s="125">
        <v>0</v>
      </c>
      <c r="O182" s="126"/>
      <c r="P182" s="124">
        <f>SUM(Q182:S182)</f>
        <v>20800</v>
      </c>
      <c r="Q182" s="125">
        <v>16800</v>
      </c>
      <c r="R182" s="125">
        <v>4000</v>
      </c>
      <c r="S182" s="125">
        <v>0</v>
      </c>
      <c r="T182" s="183"/>
      <c r="U182" s="183">
        <f t="shared" si="45"/>
        <v>7200</v>
      </c>
      <c r="V182" s="183"/>
    </row>
    <row r="183" spans="1:22" ht="15.75" x14ac:dyDescent="0.25">
      <c r="A183" s="111"/>
      <c r="B183" s="108"/>
      <c r="C183" s="116"/>
      <c r="D183" s="114" t="s">
        <v>592</v>
      </c>
      <c r="E183" s="23"/>
      <c r="F183" s="124">
        <f>SUM(G183:I183)</f>
        <v>5818700</v>
      </c>
      <c r="G183" s="497">
        <v>5818700</v>
      </c>
      <c r="H183" s="490">
        <v>0</v>
      </c>
      <c r="I183" s="491">
        <v>0</v>
      </c>
      <c r="J183" s="23"/>
      <c r="K183" s="124">
        <f>SUM(L183:N183)</f>
        <v>1609200</v>
      </c>
      <c r="L183" s="127">
        <v>1609200</v>
      </c>
      <c r="M183" s="125">
        <v>0</v>
      </c>
      <c r="N183" s="125">
        <v>0</v>
      </c>
      <c r="O183" s="126"/>
      <c r="P183" s="124">
        <f>SUM(Q183:S183)</f>
        <v>5754500</v>
      </c>
      <c r="Q183" s="127">
        <v>5754500</v>
      </c>
      <c r="R183" s="125">
        <v>0</v>
      </c>
      <c r="S183" s="125">
        <v>0</v>
      </c>
      <c r="T183" s="183"/>
      <c r="U183" s="183">
        <f t="shared" si="45"/>
        <v>-4145300</v>
      </c>
      <c r="V183" s="183"/>
    </row>
    <row r="184" spans="1:22" ht="15.75" x14ac:dyDescent="0.25">
      <c r="A184" s="111"/>
      <c r="B184" s="108"/>
      <c r="C184" s="108" t="s">
        <v>593</v>
      </c>
      <c r="D184" s="111"/>
      <c r="E184" s="23"/>
      <c r="F184" s="124"/>
      <c r="G184" s="497"/>
      <c r="H184" s="490"/>
      <c r="I184" s="491"/>
      <c r="J184" s="23"/>
      <c r="K184" s="124"/>
      <c r="L184" s="127"/>
      <c r="M184" s="126"/>
      <c r="N184" s="126"/>
      <c r="O184" s="126"/>
      <c r="P184" s="124"/>
      <c r="Q184" s="126"/>
      <c r="R184" s="126"/>
      <c r="S184" s="126"/>
      <c r="T184" s="183"/>
      <c r="U184" s="183">
        <f t="shared" si="45"/>
        <v>0</v>
      </c>
      <c r="V184" s="183"/>
    </row>
    <row r="185" spans="1:22" ht="15.75" x14ac:dyDescent="0.25">
      <c r="A185" s="111"/>
      <c r="B185" s="108"/>
      <c r="C185" s="116"/>
      <c r="D185" s="114" t="s">
        <v>594</v>
      </c>
      <c r="E185" s="23"/>
      <c r="F185" s="124">
        <f>SUM(G185:I185)</f>
        <v>309000</v>
      </c>
      <c r="G185" s="497">
        <v>309000</v>
      </c>
      <c r="H185" s="490">
        <v>0</v>
      </c>
      <c r="I185" s="491">
        <v>0</v>
      </c>
      <c r="J185" s="23"/>
      <c r="K185" s="124">
        <f>SUM(L185:N185)</f>
        <v>69980</v>
      </c>
      <c r="L185" s="125">
        <v>69980</v>
      </c>
      <c r="M185" s="125">
        <v>0</v>
      </c>
      <c r="N185" s="125">
        <v>0</v>
      </c>
      <c r="O185" s="126"/>
      <c r="P185" s="124">
        <f>SUM(Q185:S185)</f>
        <v>0</v>
      </c>
      <c r="Q185" s="125">
        <v>0</v>
      </c>
      <c r="R185" s="125">
        <v>0</v>
      </c>
      <c r="S185" s="125">
        <v>0</v>
      </c>
      <c r="T185" s="183"/>
      <c r="U185" s="183">
        <f t="shared" si="45"/>
        <v>69980</v>
      </c>
      <c r="V185" s="183"/>
    </row>
    <row r="186" spans="1:22" ht="15.75" hidden="1" x14ac:dyDescent="0.25">
      <c r="A186" s="111"/>
      <c r="B186" s="108"/>
      <c r="C186" s="116"/>
      <c r="D186" s="114" t="s">
        <v>595</v>
      </c>
      <c r="E186" s="23"/>
      <c r="F186" s="124">
        <f>SUM(G186:I186)</f>
        <v>0</v>
      </c>
      <c r="G186" s="498"/>
      <c r="H186" s="125"/>
      <c r="I186" s="125"/>
      <c r="J186" s="23"/>
      <c r="K186" s="124">
        <f>SUM(L186:N186)</f>
        <v>0</v>
      </c>
      <c r="L186" s="127"/>
      <c r="M186" s="125"/>
      <c r="N186" s="125"/>
      <c r="O186" s="126"/>
      <c r="P186" s="124">
        <f>SUM(Q186:S186)</f>
        <v>0</v>
      </c>
      <c r="Q186" s="125"/>
      <c r="R186" s="125"/>
      <c r="S186" s="125"/>
      <c r="T186" s="183"/>
      <c r="U186" s="183">
        <f t="shared" si="45"/>
        <v>0</v>
      </c>
      <c r="V186" s="183"/>
    </row>
    <row r="187" spans="1:22" ht="15.75" hidden="1" x14ac:dyDescent="0.25">
      <c r="A187" s="111"/>
      <c r="B187" s="108"/>
      <c r="C187" s="108" t="s">
        <v>596</v>
      </c>
      <c r="D187" s="116"/>
      <c r="E187" s="23"/>
      <c r="F187" s="124"/>
      <c r="G187" s="498"/>
      <c r="H187" s="126"/>
      <c r="I187" s="126"/>
      <c r="J187" s="23"/>
      <c r="K187" s="124"/>
      <c r="L187" s="127"/>
      <c r="M187" s="126"/>
      <c r="N187" s="126"/>
      <c r="O187" s="126"/>
      <c r="P187" s="124"/>
      <c r="Q187" s="126"/>
      <c r="R187" s="126"/>
      <c r="S187" s="126"/>
      <c r="T187" s="183"/>
      <c r="U187" s="183">
        <f t="shared" si="45"/>
        <v>0</v>
      </c>
      <c r="V187" s="183"/>
    </row>
    <row r="188" spans="1:22" ht="15.75" hidden="1" x14ac:dyDescent="0.25">
      <c r="A188" s="111"/>
      <c r="B188" s="108"/>
      <c r="C188" s="116"/>
      <c r="D188" s="114" t="s">
        <v>597</v>
      </c>
      <c r="E188" s="114"/>
      <c r="F188" s="124">
        <f>SUM(G188:I188)</f>
        <v>0</v>
      </c>
      <c r="G188" s="498"/>
      <c r="H188" s="125"/>
      <c r="I188" s="125"/>
      <c r="J188" s="114"/>
      <c r="K188" s="124">
        <f>SUM(L188:N188)</f>
        <v>0</v>
      </c>
      <c r="L188" s="127"/>
      <c r="M188" s="125"/>
      <c r="N188" s="125"/>
      <c r="O188" s="126"/>
      <c r="P188" s="124">
        <f>SUM(Q188:S188)</f>
        <v>0</v>
      </c>
      <c r="Q188" s="125"/>
      <c r="R188" s="125"/>
      <c r="S188" s="125"/>
      <c r="T188" s="183"/>
      <c r="U188" s="183">
        <f t="shared" si="45"/>
        <v>0</v>
      </c>
      <c r="V188" s="183"/>
    </row>
    <row r="189" spans="1:22" ht="15.75" hidden="1" x14ac:dyDescent="0.25">
      <c r="A189" s="111"/>
      <c r="B189" s="108"/>
      <c r="C189" s="71"/>
      <c r="D189" s="114" t="s">
        <v>598</v>
      </c>
      <c r="E189" s="114"/>
      <c r="F189" s="124">
        <f>SUM(G189:I189)</f>
        <v>0</v>
      </c>
      <c r="G189" s="498"/>
      <c r="H189" s="125"/>
      <c r="I189" s="125"/>
      <c r="J189" s="114"/>
      <c r="K189" s="124">
        <f>SUM(L189:N189)</f>
        <v>0</v>
      </c>
      <c r="L189" s="127"/>
      <c r="M189" s="125"/>
      <c r="N189" s="125"/>
      <c r="O189" s="126"/>
      <c r="P189" s="124">
        <f>SUM(Q189:S189)</f>
        <v>0</v>
      </c>
      <c r="Q189" s="125"/>
      <c r="R189" s="125"/>
      <c r="S189" s="125"/>
      <c r="T189" s="183"/>
      <c r="U189" s="183">
        <f t="shared" si="45"/>
        <v>0</v>
      </c>
      <c r="V189" s="183"/>
    </row>
    <row r="190" spans="1:22" ht="15.75" hidden="1" x14ac:dyDescent="0.25">
      <c r="A190" s="111"/>
      <c r="B190" s="108"/>
      <c r="C190" s="108" t="s">
        <v>599</v>
      </c>
      <c r="D190" s="116"/>
      <c r="E190" s="23"/>
      <c r="F190" s="124"/>
      <c r="G190" s="498"/>
      <c r="H190" s="126"/>
      <c r="I190" s="126"/>
      <c r="J190" s="23"/>
      <c r="K190" s="124"/>
      <c r="L190" s="127"/>
      <c r="M190" s="126"/>
      <c r="N190" s="126"/>
      <c r="O190" s="126"/>
      <c r="P190" s="124"/>
      <c r="Q190" s="126"/>
      <c r="R190" s="126"/>
      <c r="S190" s="126"/>
      <c r="T190" s="183"/>
      <c r="U190" s="183">
        <f t="shared" si="45"/>
        <v>0</v>
      </c>
      <c r="V190" s="183"/>
    </row>
    <row r="191" spans="1:22" ht="15.75" hidden="1" x14ac:dyDescent="0.25">
      <c r="A191" s="111"/>
      <c r="B191" s="108"/>
      <c r="C191" s="108"/>
      <c r="D191" s="114" t="s">
        <v>599</v>
      </c>
      <c r="E191" s="23"/>
      <c r="F191" s="124">
        <f>SUM(G191:I191)</f>
        <v>0</v>
      </c>
      <c r="G191" s="498"/>
      <c r="H191" s="125"/>
      <c r="I191" s="125"/>
      <c r="J191" s="23"/>
      <c r="K191" s="124">
        <f>SUM(L191:N191)</f>
        <v>0</v>
      </c>
      <c r="L191" s="127"/>
      <c r="M191" s="125"/>
      <c r="N191" s="125"/>
      <c r="O191" s="126"/>
      <c r="P191" s="124">
        <f>SUM(Q191:S191)</f>
        <v>0</v>
      </c>
      <c r="Q191" s="125"/>
      <c r="R191" s="125"/>
      <c r="S191" s="125"/>
      <c r="T191" s="183"/>
      <c r="U191" s="183">
        <f t="shared" si="45"/>
        <v>0</v>
      </c>
      <c r="V191" s="183"/>
    </row>
    <row r="192" spans="1:22" ht="15.75" x14ac:dyDescent="0.25">
      <c r="A192" s="111"/>
      <c r="B192" s="108"/>
      <c r="C192" s="108" t="s">
        <v>600</v>
      </c>
      <c r="D192" s="116"/>
      <c r="E192" s="23"/>
      <c r="F192" s="124"/>
      <c r="G192" s="497"/>
      <c r="H192" s="490"/>
      <c r="I192" s="491"/>
      <c r="J192" s="23"/>
      <c r="K192" s="124"/>
      <c r="L192" s="127"/>
      <c r="M192" s="126"/>
      <c r="N192" s="126"/>
      <c r="O192" s="126"/>
      <c r="P192" s="124"/>
      <c r="Q192" s="126"/>
      <c r="R192" s="126"/>
      <c r="S192" s="126"/>
      <c r="T192" s="183"/>
      <c r="U192" s="183">
        <f t="shared" si="45"/>
        <v>0</v>
      </c>
      <c r="V192" s="183"/>
    </row>
    <row r="193" spans="1:22" ht="15.75" x14ac:dyDescent="0.25">
      <c r="A193" s="111"/>
      <c r="B193" s="108"/>
      <c r="C193" s="108"/>
      <c r="D193" s="114" t="s">
        <v>601</v>
      </c>
      <c r="E193" s="114"/>
      <c r="F193" s="124">
        <f>SUM(G193:I193)</f>
        <v>21330000</v>
      </c>
      <c r="G193" s="497">
        <v>21330000</v>
      </c>
      <c r="H193" s="490">
        <v>0</v>
      </c>
      <c r="I193" s="491">
        <v>0</v>
      </c>
      <c r="J193" s="114"/>
      <c r="K193" s="124">
        <f>SUM(L193:N193)</f>
        <v>20520000</v>
      </c>
      <c r="L193" s="127">
        <v>20520000</v>
      </c>
      <c r="M193" s="125">
        <v>0</v>
      </c>
      <c r="N193" s="125">
        <v>0</v>
      </c>
      <c r="O193" s="126"/>
      <c r="P193" s="124">
        <f>SUM(Q193:S193)</f>
        <v>18225000</v>
      </c>
      <c r="Q193" s="127">
        <v>18225000</v>
      </c>
      <c r="R193" s="125">
        <v>0</v>
      </c>
      <c r="S193" s="125">
        <v>0</v>
      </c>
      <c r="T193" s="183"/>
      <c r="U193" s="183">
        <f t="shared" si="45"/>
        <v>2295000</v>
      </c>
      <c r="V193" s="183"/>
    </row>
    <row r="194" spans="1:22" ht="15.75" hidden="1" x14ac:dyDescent="0.25">
      <c r="A194" s="110"/>
      <c r="B194" s="108"/>
      <c r="C194" s="108"/>
      <c r="D194" s="114" t="s">
        <v>602</v>
      </c>
      <c r="E194" s="114"/>
      <c r="F194" s="124">
        <f>SUM(G194:I194)</f>
        <v>0</v>
      </c>
      <c r="G194" s="498"/>
      <c r="H194" s="125">
        <v>0</v>
      </c>
      <c r="I194" s="125">
        <v>0</v>
      </c>
      <c r="J194" s="114"/>
      <c r="K194" s="124">
        <f>SUM(L194:N194)</f>
        <v>0</v>
      </c>
      <c r="L194" s="127"/>
      <c r="M194" s="125">
        <v>0</v>
      </c>
      <c r="N194" s="125">
        <v>0</v>
      </c>
      <c r="O194" s="126"/>
      <c r="P194" s="124">
        <f>SUM(Q194:S194)</f>
        <v>0</v>
      </c>
      <c r="Q194" s="125"/>
      <c r="R194" s="125"/>
      <c r="S194" s="125"/>
      <c r="T194" s="183"/>
      <c r="U194" s="183">
        <f t="shared" si="45"/>
        <v>0</v>
      </c>
      <c r="V194" s="183"/>
    </row>
    <row r="195" spans="1:22" ht="15.75" x14ac:dyDescent="0.25">
      <c r="A195" s="111"/>
      <c r="B195" s="108"/>
      <c r="C195" s="108"/>
      <c r="D195" s="114" t="s">
        <v>603</v>
      </c>
      <c r="E195" s="114"/>
      <c r="F195" s="124">
        <f>SUM(G195:I195)</f>
        <v>672292.51</v>
      </c>
      <c r="G195" s="497">
        <v>672292.51</v>
      </c>
      <c r="H195" s="490">
        <v>0</v>
      </c>
      <c r="I195" s="491">
        <v>0</v>
      </c>
      <c r="J195" s="114"/>
      <c r="K195" s="124">
        <f>SUM(L195:N195)</f>
        <v>604361.63</v>
      </c>
      <c r="L195" s="127">
        <v>604361.63</v>
      </c>
      <c r="M195" s="125">
        <v>0</v>
      </c>
      <c r="N195" s="125">
        <v>0</v>
      </c>
      <c r="O195" s="126"/>
      <c r="P195" s="124">
        <f>SUM(Q195:S195)</f>
        <v>567752.89999999991</v>
      </c>
      <c r="Q195" s="127">
        <v>567752.89999999991</v>
      </c>
      <c r="R195" s="125">
        <v>0</v>
      </c>
      <c r="S195" s="125">
        <v>0</v>
      </c>
      <c r="T195" s="183"/>
      <c r="U195" s="183">
        <f t="shared" si="45"/>
        <v>36608.730000000098</v>
      </c>
      <c r="V195" s="183"/>
    </row>
    <row r="196" spans="1:22" ht="15.75" x14ac:dyDescent="0.25">
      <c r="A196" s="111"/>
      <c r="B196" s="108"/>
      <c r="C196" s="108" t="s">
        <v>604</v>
      </c>
      <c r="D196" s="116"/>
      <c r="E196" s="23"/>
      <c r="F196" s="124"/>
      <c r="G196" s="497"/>
      <c r="H196" s="490"/>
      <c r="I196" s="491"/>
      <c r="J196" s="23"/>
      <c r="K196" s="124"/>
      <c r="L196" s="127"/>
      <c r="M196" s="126"/>
      <c r="N196" s="126"/>
      <c r="O196" s="126"/>
      <c r="P196" s="124"/>
      <c r="Q196" s="126"/>
      <c r="R196" s="126"/>
      <c r="S196" s="126"/>
      <c r="T196" s="183"/>
      <c r="U196" s="183">
        <f t="shared" si="45"/>
        <v>0</v>
      </c>
      <c r="V196" s="183"/>
    </row>
    <row r="197" spans="1:22" ht="15.75" hidden="1" x14ac:dyDescent="0.25">
      <c r="A197" s="111"/>
      <c r="B197" s="108"/>
      <c r="C197" s="108"/>
      <c r="D197" s="114" t="s">
        <v>605</v>
      </c>
      <c r="E197" s="23"/>
      <c r="F197" s="124">
        <f>SUM(G197:I197)</f>
        <v>0</v>
      </c>
      <c r="G197" s="498"/>
      <c r="H197" s="125"/>
      <c r="I197" s="125"/>
      <c r="J197" s="23"/>
      <c r="K197" s="124">
        <f>SUM(L197:N197)</f>
        <v>0</v>
      </c>
      <c r="L197" s="127"/>
      <c r="M197" s="125"/>
      <c r="N197" s="125"/>
      <c r="O197" s="126"/>
      <c r="P197" s="124">
        <f>SUM(Q197:S197)</f>
        <v>0</v>
      </c>
      <c r="Q197" s="125">
        <v>0</v>
      </c>
      <c r="R197" s="125">
        <v>0</v>
      </c>
      <c r="S197" s="125">
        <v>0</v>
      </c>
      <c r="T197" s="183"/>
      <c r="U197" s="183">
        <f t="shared" si="45"/>
        <v>0</v>
      </c>
      <c r="V197" s="183"/>
    </row>
    <row r="198" spans="1:22" ht="15.75" x14ac:dyDescent="0.25">
      <c r="A198" s="111"/>
      <c r="B198" s="108"/>
      <c r="C198" s="108"/>
      <c r="D198" s="114" t="s">
        <v>606</v>
      </c>
      <c r="E198" s="23"/>
      <c r="F198" s="124">
        <f>SUM(G198:I198)</f>
        <v>146850.48000000001</v>
      </c>
      <c r="G198" s="497">
        <v>145641.48000000001</v>
      </c>
      <c r="H198" s="490">
        <v>0</v>
      </c>
      <c r="I198" s="491">
        <v>1209</v>
      </c>
      <c r="J198" s="23"/>
      <c r="K198" s="124">
        <f>SUM(L198:N198)</f>
        <v>106284.68999999999</v>
      </c>
      <c r="L198" s="127">
        <v>106284.68999999999</v>
      </c>
      <c r="M198" s="125">
        <v>0</v>
      </c>
      <c r="N198" s="125">
        <v>0</v>
      </c>
      <c r="O198" s="126"/>
      <c r="P198" s="124">
        <f>SUM(Q198:S198)</f>
        <v>156141.60999999999</v>
      </c>
      <c r="Q198" s="126">
        <v>156141.60999999999</v>
      </c>
      <c r="R198" s="125">
        <v>0</v>
      </c>
      <c r="S198" s="125">
        <v>0</v>
      </c>
      <c r="T198" s="183"/>
      <c r="U198" s="183">
        <f t="shared" si="45"/>
        <v>-49856.92</v>
      </c>
      <c r="V198" s="183"/>
    </row>
    <row r="199" spans="1:22" ht="15.75" x14ac:dyDescent="0.25">
      <c r="A199" s="111"/>
      <c r="B199" s="108"/>
      <c r="C199" s="108"/>
      <c r="D199" s="114" t="s">
        <v>607</v>
      </c>
      <c r="E199" s="23"/>
      <c r="F199" s="124">
        <f>SUM(G199:I199)</f>
        <v>0</v>
      </c>
      <c r="G199" s="497">
        <v>0</v>
      </c>
      <c r="H199" s="490">
        <v>0</v>
      </c>
      <c r="I199" s="491">
        <v>0</v>
      </c>
      <c r="J199" s="23"/>
      <c r="K199" s="124">
        <f>SUM(L199:N199)</f>
        <v>26000</v>
      </c>
      <c r="L199" s="127">
        <v>0</v>
      </c>
      <c r="M199" s="125">
        <v>0</v>
      </c>
      <c r="N199" s="125">
        <v>26000</v>
      </c>
      <c r="O199" s="126"/>
      <c r="P199" s="124">
        <f>SUM(Q199:S199)</f>
        <v>0</v>
      </c>
      <c r="Q199" s="126"/>
      <c r="R199" s="125"/>
      <c r="S199" s="125"/>
      <c r="T199" s="183"/>
      <c r="U199" s="183">
        <f t="shared" si="45"/>
        <v>26000</v>
      </c>
      <c r="V199" s="183"/>
    </row>
    <row r="200" spans="1:22" ht="15.75" x14ac:dyDescent="0.25">
      <c r="A200" s="111"/>
      <c r="B200" s="108"/>
      <c r="C200" s="108"/>
      <c r="D200" s="114" t="s">
        <v>608</v>
      </c>
      <c r="E200" s="23"/>
      <c r="F200" s="124">
        <f>SUM(G200:I200)</f>
        <v>49982981.649999991</v>
      </c>
      <c r="G200" s="497">
        <v>22916756.299999997</v>
      </c>
      <c r="H200" s="490">
        <v>13602397.080000002</v>
      </c>
      <c r="I200" s="491">
        <v>13463828.27</v>
      </c>
      <c r="J200" s="23"/>
      <c r="K200" s="124">
        <f>SUM(L200:N200)</f>
        <v>11132258.819999998</v>
      </c>
      <c r="L200" s="127">
        <v>9389258.8199999984</v>
      </c>
      <c r="M200" s="125">
        <v>1740000</v>
      </c>
      <c r="N200" s="125">
        <v>3000</v>
      </c>
      <c r="O200" s="126"/>
      <c r="P200" s="124">
        <f>SUM(Q200:S200)</f>
        <v>22580692.279999983</v>
      </c>
      <c r="Q200" s="127">
        <v>17110036.799999982</v>
      </c>
      <c r="R200" s="125">
        <v>5470655.4800000004</v>
      </c>
      <c r="S200" s="125">
        <v>0</v>
      </c>
      <c r="T200" s="183"/>
      <c r="U200" s="183">
        <f t="shared" si="45"/>
        <v>-11448433.459999984</v>
      </c>
      <c r="V200" s="183"/>
    </row>
    <row r="201" spans="1:22" ht="15.75" x14ac:dyDescent="0.25">
      <c r="A201" s="111"/>
      <c r="B201" s="108"/>
      <c r="C201" s="108" t="s">
        <v>609</v>
      </c>
      <c r="D201" s="111"/>
      <c r="E201" s="23"/>
      <c r="F201" s="124"/>
      <c r="G201" s="497"/>
      <c r="H201" s="490"/>
      <c r="I201" s="491"/>
      <c r="J201" s="23"/>
      <c r="K201" s="124"/>
      <c r="L201" s="127"/>
      <c r="M201" s="126"/>
      <c r="N201" s="126"/>
      <c r="O201" s="126"/>
      <c r="P201" s="124"/>
      <c r="Q201" s="126"/>
      <c r="R201" s="126"/>
      <c r="S201" s="126"/>
      <c r="T201" s="183"/>
      <c r="U201" s="183">
        <f t="shared" si="45"/>
        <v>0</v>
      </c>
      <c r="V201" s="183"/>
    </row>
    <row r="202" spans="1:22" ht="15.75" x14ac:dyDescent="0.25">
      <c r="A202" s="111"/>
      <c r="B202" s="108"/>
      <c r="C202" s="108"/>
      <c r="D202" s="114" t="s">
        <v>610</v>
      </c>
      <c r="E202" s="23"/>
      <c r="F202" s="124">
        <f>SUM(G202:I202)</f>
        <v>4706663.76</v>
      </c>
      <c r="G202" s="497">
        <v>4697572.96</v>
      </c>
      <c r="H202" s="490">
        <v>0</v>
      </c>
      <c r="I202" s="491">
        <v>9090.7999999999993</v>
      </c>
      <c r="J202" s="23"/>
      <c r="K202" s="124">
        <f>SUM(L202:N202)</f>
        <v>4346037.3499999996</v>
      </c>
      <c r="L202" s="127">
        <v>4346037.3499999996</v>
      </c>
      <c r="M202" s="125">
        <v>0</v>
      </c>
      <c r="N202" s="125">
        <v>0</v>
      </c>
      <c r="O202" s="126"/>
      <c r="P202" s="124">
        <f>SUM(Q202:S202)</f>
        <v>1356443.42</v>
      </c>
      <c r="Q202" s="126">
        <v>1356443.42</v>
      </c>
      <c r="R202" s="125">
        <v>0</v>
      </c>
      <c r="S202" s="125">
        <v>0</v>
      </c>
      <c r="T202" s="183"/>
      <c r="U202" s="183">
        <f t="shared" si="45"/>
        <v>2989593.9299999997</v>
      </c>
      <c r="V202" s="183"/>
    </row>
    <row r="203" spans="1:22" ht="15.75" hidden="1" x14ac:dyDescent="0.25">
      <c r="A203" s="111"/>
      <c r="B203" s="108"/>
      <c r="C203" s="108"/>
      <c r="D203" s="114" t="s">
        <v>611</v>
      </c>
      <c r="E203" s="23"/>
      <c r="F203" s="124">
        <f>SUM(G203:I203)</f>
        <v>0</v>
      </c>
      <c r="G203" s="498"/>
      <c r="H203" s="125"/>
      <c r="I203" s="125"/>
      <c r="J203" s="23"/>
      <c r="K203" s="124">
        <f>SUM(L203:N203)</f>
        <v>0</v>
      </c>
      <c r="L203" s="127"/>
      <c r="M203" s="125"/>
      <c r="N203" s="125"/>
      <c r="O203" s="126"/>
      <c r="P203" s="124">
        <f>SUM(Q203:S203)</f>
        <v>0</v>
      </c>
      <c r="Q203" s="126"/>
      <c r="R203" s="125">
        <v>0</v>
      </c>
      <c r="S203" s="125">
        <v>0</v>
      </c>
      <c r="T203" s="183"/>
      <c r="U203" s="183">
        <f t="shared" si="45"/>
        <v>0</v>
      </c>
      <c r="V203" s="183"/>
    </row>
    <row r="204" spans="1:22" ht="15.75" hidden="1" x14ac:dyDescent="0.25">
      <c r="A204" s="111"/>
      <c r="B204" s="108"/>
      <c r="C204" s="108"/>
      <c r="D204" s="114" t="s">
        <v>612</v>
      </c>
      <c r="E204" s="23"/>
      <c r="F204" s="124">
        <f>SUM(G204:I204)</f>
        <v>0</v>
      </c>
      <c r="G204" s="498"/>
      <c r="H204" s="125"/>
      <c r="I204" s="125"/>
      <c r="J204" s="23"/>
      <c r="K204" s="124">
        <f>SUM(L204:N204)</f>
        <v>0</v>
      </c>
      <c r="L204" s="127"/>
      <c r="M204" s="125"/>
      <c r="N204" s="125"/>
      <c r="O204" s="126"/>
      <c r="P204" s="124">
        <f>SUM(Q204:S204)</f>
        <v>0</v>
      </c>
      <c r="Q204" s="126"/>
      <c r="R204" s="125">
        <v>0</v>
      </c>
      <c r="S204" s="125">
        <v>0</v>
      </c>
      <c r="T204" s="183"/>
      <c r="U204" s="183">
        <f t="shared" si="45"/>
        <v>0</v>
      </c>
      <c r="V204" s="183"/>
    </row>
    <row r="205" spans="1:22" ht="15.75" x14ac:dyDescent="0.25">
      <c r="A205" s="111"/>
      <c r="B205" s="108"/>
      <c r="C205" s="108"/>
      <c r="D205" s="114" t="s">
        <v>613</v>
      </c>
      <c r="E205" s="23"/>
      <c r="F205" s="124">
        <f>SUM(G205:I205)</f>
        <v>126149815.62999998</v>
      </c>
      <c r="G205" s="497">
        <v>111263827.39999999</v>
      </c>
      <c r="H205" s="490">
        <v>1809043.1</v>
      </c>
      <c r="I205" s="491">
        <v>13076945.129999999</v>
      </c>
      <c r="J205" s="23"/>
      <c r="K205" s="124">
        <f>SUM(L205:N205)</f>
        <v>118208766.92999999</v>
      </c>
      <c r="L205" s="127">
        <v>109600924.28999999</v>
      </c>
      <c r="M205" s="125">
        <v>8607842.6400000006</v>
      </c>
      <c r="N205" s="125">
        <v>0</v>
      </c>
      <c r="O205" s="126"/>
      <c r="P205" s="124">
        <f>SUM(Q205:S205)</f>
        <v>82371312.429999977</v>
      </c>
      <c r="Q205" s="125">
        <v>82371312.429999977</v>
      </c>
      <c r="R205" s="125">
        <v>0</v>
      </c>
      <c r="S205" s="125">
        <v>0</v>
      </c>
      <c r="T205" s="183"/>
      <c r="U205" s="183">
        <f t="shared" si="45"/>
        <v>35837454.500000015</v>
      </c>
      <c r="V205" s="183"/>
    </row>
    <row r="206" spans="1:22" ht="15.75" x14ac:dyDescent="0.25">
      <c r="A206" s="111"/>
      <c r="B206" s="108"/>
      <c r="C206" s="108" t="s">
        <v>614</v>
      </c>
      <c r="D206" s="111"/>
      <c r="E206" s="23"/>
      <c r="F206" s="124"/>
      <c r="G206" s="497"/>
      <c r="H206" s="490"/>
      <c r="I206" s="491"/>
      <c r="J206" s="23"/>
      <c r="K206" s="124"/>
      <c r="L206" s="127"/>
      <c r="M206" s="126"/>
      <c r="N206" s="126"/>
      <c r="O206" s="126"/>
      <c r="P206" s="124"/>
      <c r="Q206" s="126"/>
      <c r="R206" s="126"/>
      <c r="S206" s="126"/>
      <c r="T206" s="183"/>
      <c r="U206" s="183">
        <f t="shared" si="45"/>
        <v>0</v>
      </c>
      <c r="V206" s="183"/>
    </row>
    <row r="207" spans="1:22" ht="15.75" hidden="1" x14ac:dyDescent="0.25">
      <c r="A207" s="111"/>
      <c r="B207" s="108"/>
      <c r="C207" s="108"/>
      <c r="D207" s="114" t="s">
        <v>615</v>
      </c>
      <c r="E207" s="23"/>
      <c r="F207" s="124">
        <f t="shared" ref="F207:F216" si="49">SUM(G207:I207)</f>
        <v>0</v>
      </c>
      <c r="G207" s="498"/>
      <c r="H207" s="125"/>
      <c r="I207" s="125"/>
      <c r="J207" s="23"/>
      <c r="K207" s="124">
        <f t="shared" ref="K207:K216" si="50">SUM(L207:N207)</f>
        <v>0</v>
      </c>
      <c r="L207" s="127"/>
      <c r="M207" s="125"/>
      <c r="N207" s="125"/>
      <c r="O207" s="126"/>
      <c r="P207" s="124">
        <f t="shared" ref="P207:P216" si="51">SUM(Q207:S207)</f>
        <v>0</v>
      </c>
      <c r="Q207" s="126"/>
      <c r="R207" s="125"/>
      <c r="S207" s="125"/>
      <c r="T207" s="183"/>
      <c r="U207" s="183">
        <f t="shared" si="45"/>
        <v>0</v>
      </c>
      <c r="V207" s="183"/>
    </row>
    <row r="208" spans="1:22" ht="15.75" hidden="1" x14ac:dyDescent="0.25">
      <c r="A208" s="111"/>
      <c r="B208" s="108"/>
      <c r="C208" s="108"/>
      <c r="D208" s="114" t="s">
        <v>616</v>
      </c>
      <c r="E208" s="23"/>
      <c r="F208" s="124">
        <f t="shared" si="49"/>
        <v>0</v>
      </c>
      <c r="G208" s="498"/>
      <c r="H208" s="125"/>
      <c r="I208" s="125"/>
      <c r="J208" s="23"/>
      <c r="K208" s="124">
        <f t="shared" si="50"/>
        <v>0</v>
      </c>
      <c r="L208" s="127"/>
      <c r="M208" s="125"/>
      <c r="N208" s="125"/>
      <c r="O208" s="126"/>
      <c r="P208" s="124">
        <f t="shared" si="51"/>
        <v>0</v>
      </c>
      <c r="Q208" s="126"/>
      <c r="R208" s="125"/>
      <c r="S208" s="125"/>
      <c r="T208" s="183"/>
      <c r="U208" s="183">
        <f t="shared" si="45"/>
        <v>0</v>
      </c>
      <c r="V208" s="183"/>
    </row>
    <row r="209" spans="1:22" ht="15.75" x14ac:dyDescent="0.25">
      <c r="A209" s="111"/>
      <c r="B209" s="108"/>
      <c r="C209" s="108"/>
      <c r="D209" s="114" t="s">
        <v>617</v>
      </c>
      <c r="E209" s="23"/>
      <c r="F209" s="124">
        <f t="shared" si="49"/>
        <v>663548.43000000005</v>
      </c>
      <c r="G209" s="497">
        <v>663548.43000000005</v>
      </c>
      <c r="H209" s="490">
        <v>0</v>
      </c>
      <c r="I209" s="491">
        <v>0</v>
      </c>
      <c r="J209" s="23"/>
      <c r="K209" s="124">
        <f t="shared" si="50"/>
        <v>25791550.930000003</v>
      </c>
      <c r="L209" s="127">
        <v>25568216.810000002</v>
      </c>
      <c r="M209" s="125">
        <v>223334.12</v>
      </c>
      <c r="N209" s="125">
        <v>0</v>
      </c>
      <c r="O209" s="126"/>
      <c r="P209" s="124">
        <f t="shared" si="51"/>
        <v>14585930.890000001</v>
      </c>
      <c r="Q209" s="127">
        <v>14585930.890000001</v>
      </c>
      <c r="R209" s="125">
        <v>0</v>
      </c>
      <c r="S209" s="125">
        <v>0</v>
      </c>
      <c r="T209" s="183"/>
      <c r="U209" s="183">
        <f t="shared" si="45"/>
        <v>11205620.040000003</v>
      </c>
      <c r="V209" s="183"/>
    </row>
    <row r="210" spans="1:22" ht="15.75" x14ac:dyDescent="0.25">
      <c r="A210" s="110"/>
      <c r="B210" s="108"/>
      <c r="C210" s="108"/>
      <c r="D210" s="114" t="s">
        <v>618</v>
      </c>
      <c r="E210" s="26"/>
      <c r="F210" s="124">
        <f t="shared" si="49"/>
        <v>2246700.13</v>
      </c>
      <c r="G210" s="497">
        <v>2149388.7599999998</v>
      </c>
      <c r="H210" s="490">
        <v>97311.37</v>
      </c>
      <c r="I210" s="491">
        <v>0</v>
      </c>
      <c r="J210" s="26"/>
      <c r="K210" s="124">
        <f t="shared" si="50"/>
        <v>5086017.1300000008</v>
      </c>
      <c r="L210" s="127">
        <v>2003735.62</v>
      </c>
      <c r="M210" s="125">
        <v>3064281.5100000002</v>
      </c>
      <c r="N210" s="125">
        <v>18000</v>
      </c>
      <c r="O210" s="126"/>
      <c r="P210" s="124">
        <f t="shared" si="51"/>
        <v>4026068.1799999997</v>
      </c>
      <c r="Q210" s="127">
        <v>919531.9</v>
      </c>
      <c r="R210" s="125">
        <v>3050536.28</v>
      </c>
      <c r="S210" s="125">
        <v>56000</v>
      </c>
      <c r="T210" s="183"/>
      <c r="U210" s="183">
        <f t="shared" si="45"/>
        <v>1059948.9500000011</v>
      </c>
      <c r="V210" s="183"/>
    </row>
    <row r="211" spans="1:22" ht="15.75" x14ac:dyDescent="0.25">
      <c r="A211" s="111"/>
      <c r="B211" s="108"/>
      <c r="C211" s="108"/>
      <c r="D211" s="114" t="s">
        <v>619</v>
      </c>
      <c r="E211" s="23"/>
      <c r="F211" s="124">
        <f t="shared" si="49"/>
        <v>9244895.3200000003</v>
      </c>
      <c r="G211" s="497">
        <v>9244895.3200000003</v>
      </c>
      <c r="H211" s="490"/>
      <c r="I211" s="491"/>
      <c r="J211" s="23"/>
      <c r="K211" s="124">
        <f t="shared" si="50"/>
        <v>7227667.79</v>
      </c>
      <c r="L211" s="127">
        <v>7227667.79</v>
      </c>
      <c r="M211" s="125">
        <v>0</v>
      </c>
      <c r="N211" s="125">
        <v>0</v>
      </c>
      <c r="O211" s="126"/>
      <c r="P211" s="124">
        <f t="shared" si="51"/>
        <v>7978745.3099999996</v>
      </c>
      <c r="Q211" s="127">
        <v>7978745.3099999996</v>
      </c>
      <c r="R211" s="125">
        <v>0</v>
      </c>
      <c r="S211" s="125">
        <v>0</v>
      </c>
      <c r="T211" s="183"/>
      <c r="U211" s="183">
        <f t="shared" si="45"/>
        <v>-751077.51999999955</v>
      </c>
      <c r="V211" s="183"/>
    </row>
    <row r="212" spans="1:22" ht="15.75" x14ac:dyDescent="0.25">
      <c r="A212" s="111"/>
      <c r="B212" s="108"/>
      <c r="C212" s="108"/>
      <c r="D212" s="114" t="s">
        <v>620</v>
      </c>
      <c r="E212" s="23"/>
      <c r="F212" s="124">
        <f t="shared" si="49"/>
        <v>8428882.0399999991</v>
      </c>
      <c r="G212" s="497">
        <v>8382892.04</v>
      </c>
      <c r="H212" s="490"/>
      <c r="I212" s="491">
        <v>45990</v>
      </c>
      <c r="J212" s="23"/>
      <c r="K212" s="124">
        <f t="shared" si="50"/>
        <v>7224253.4399999995</v>
      </c>
      <c r="L212" s="127">
        <v>7224253.4399999995</v>
      </c>
      <c r="M212" s="125">
        <v>0</v>
      </c>
      <c r="N212" s="125">
        <v>0</v>
      </c>
      <c r="O212" s="126"/>
      <c r="P212" s="124">
        <f t="shared" si="51"/>
        <v>6928845.7599999998</v>
      </c>
      <c r="Q212" s="127">
        <v>6928845.7599999998</v>
      </c>
      <c r="R212" s="125">
        <v>0</v>
      </c>
      <c r="S212" s="125">
        <v>0</v>
      </c>
      <c r="T212" s="183"/>
      <c r="U212" s="183">
        <f t="shared" si="45"/>
        <v>295407.6799999997</v>
      </c>
      <c r="V212" s="183"/>
    </row>
    <row r="213" spans="1:22" ht="15.75" hidden="1" x14ac:dyDescent="0.25">
      <c r="A213" s="111"/>
      <c r="B213" s="108"/>
      <c r="C213" s="108"/>
      <c r="D213" s="114" t="s">
        <v>621</v>
      </c>
      <c r="E213" s="23"/>
      <c r="F213" s="124">
        <f t="shared" si="49"/>
        <v>0</v>
      </c>
      <c r="G213" s="498"/>
      <c r="H213" s="125">
        <v>0</v>
      </c>
      <c r="I213" s="125">
        <v>0</v>
      </c>
      <c r="J213" s="23"/>
      <c r="K213" s="124">
        <f t="shared" si="50"/>
        <v>0</v>
      </c>
      <c r="L213" s="127"/>
      <c r="M213" s="125">
        <v>0</v>
      </c>
      <c r="N213" s="125">
        <v>0</v>
      </c>
      <c r="O213" s="126"/>
      <c r="P213" s="124">
        <f t="shared" si="51"/>
        <v>0</v>
      </c>
      <c r="Q213" s="127"/>
      <c r="R213" s="125"/>
      <c r="S213" s="125"/>
      <c r="T213" s="183"/>
      <c r="U213" s="183">
        <f t="shared" si="45"/>
        <v>0</v>
      </c>
      <c r="V213" s="183"/>
    </row>
    <row r="214" spans="1:22" ht="15.75" hidden="1" x14ac:dyDescent="0.25">
      <c r="A214" s="111"/>
      <c r="B214" s="108"/>
      <c r="C214" s="108"/>
      <c r="D214" s="114" t="s">
        <v>622</v>
      </c>
      <c r="E214" s="23"/>
      <c r="F214" s="124">
        <f t="shared" si="49"/>
        <v>0</v>
      </c>
      <c r="G214" s="498"/>
      <c r="H214" s="125">
        <v>0</v>
      </c>
      <c r="I214" s="125">
        <v>0</v>
      </c>
      <c r="J214" s="23"/>
      <c r="K214" s="124">
        <f t="shared" si="50"/>
        <v>0</v>
      </c>
      <c r="L214" s="127"/>
      <c r="M214" s="125">
        <v>0</v>
      </c>
      <c r="N214" s="125">
        <v>0</v>
      </c>
      <c r="O214" s="126"/>
      <c r="P214" s="124">
        <f t="shared" si="51"/>
        <v>0</v>
      </c>
      <c r="Q214" s="127"/>
      <c r="R214" s="125"/>
      <c r="S214" s="125"/>
      <c r="T214" s="183"/>
      <c r="U214" s="183">
        <f t="shared" si="45"/>
        <v>0</v>
      </c>
      <c r="V214" s="183"/>
    </row>
    <row r="215" spans="1:22" ht="15.75" hidden="1" x14ac:dyDescent="0.25">
      <c r="A215" s="111"/>
      <c r="B215" s="108"/>
      <c r="C215" s="108"/>
      <c r="D215" s="114" t="s">
        <v>623</v>
      </c>
      <c r="E215" s="23"/>
      <c r="F215" s="124">
        <f t="shared" si="49"/>
        <v>0</v>
      </c>
      <c r="G215" s="498"/>
      <c r="H215" s="125">
        <v>0</v>
      </c>
      <c r="I215" s="125">
        <v>0</v>
      </c>
      <c r="J215" s="23"/>
      <c r="K215" s="124">
        <f t="shared" si="50"/>
        <v>0</v>
      </c>
      <c r="L215" s="127"/>
      <c r="M215" s="125">
        <v>0</v>
      </c>
      <c r="N215" s="125">
        <v>0</v>
      </c>
      <c r="O215" s="126"/>
      <c r="P215" s="124">
        <f t="shared" si="51"/>
        <v>0</v>
      </c>
      <c r="Q215" s="127"/>
      <c r="R215" s="125"/>
      <c r="S215" s="125"/>
      <c r="T215" s="183"/>
      <c r="U215" s="183">
        <f t="shared" si="45"/>
        <v>0</v>
      </c>
      <c r="V215" s="183"/>
    </row>
    <row r="216" spans="1:22" ht="15.75" x14ac:dyDescent="0.25">
      <c r="A216" s="110"/>
      <c r="B216" s="108"/>
      <c r="C216" s="108"/>
      <c r="D216" s="114" t="s">
        <v>624</v>
      </c>
      <c r="E216" s="26"/>
      <c r="F216" s="124">
        <f t="shared" si="49"/>
        <v>434416</v>
      </c>
      <c r="G216" s="497">
        <v>434416</v>
      </c>
      <c r="H216" s="490">
        <v>0</v>
      </c>
      <c r="I216" s="491">
        <v>0</v>
      </c>
      <c r="J216" s="26"/>
      <c r="K216" s="124">
        <f t="shared" si="50"/>
        <v>22250</v>
      </c>
      <c r="L216" s="127">
        <v>22250</v>
      </c>
      <c r="M216" s="125">
        <v>0</v>
      </c>
      <c r="N216" s="125">
        <v>0</v>
      </c>
      <c r="O216" s="126"/>
      <c r="P216" s="124">
        <f t="shared" si="51"/>
        <v>22520</v>
      </c>
      <c r="Q216" s="127">
        <v>22520</v>
      </c>
      <c r="R216" s="125">
        <v>0</v>
      </c>
      <c r="S216" s="125">
        <v>0</v>
      </c>
      <c r="T216" s="183"/>
      <c r="U216" s="183">
        <f t="shared" si="45"/>
        <v>-270</v>
      </c>
      <c r="V216" s="183"/>
    </row>
    <row r="217" spans="1:22" ht="15.75" x14ac:dyDescent="0.25">
      <c r="A217" s="111"/>
      <c r="B217" s="108"/>
      <c r="C217" s="108" t="s">
        <v>625</v>
      </c>
      <c r="D217" s="111"/>
      <c r="E217" s="23"/>
      <c r="F217" s="124"/>
      <c r="G217" s="497"/>
      <c r="H217" s="490"/>
      <c r="I217" s="491"/>
      <c r="J217" s="23"/>
      <c r="K217" s="124"/>
      <c r="L217" s="127"/>
      <c r="M217" s="126"/>
      <c r="N217" s="126"/>
      <c r="O217" s="126"/>
      <c r="P217" s="124"/>
      <c r="Q217" s="126"/>
      <c r="R217" s="126"/>
      <c r="S217" s="126"/>
      <c r="T217" s="183"/>
      <c r="U217" s="183">
        <f t="shared" ref="U217:U230" si="52">+K217-P217</f>
        <v>0</v>
      </c>
      <c r="V217" s="183"/>
    </row>
    <row r="218" spans="1:22" ht="15.75" x14ac:dyDescent="0.25">
      <c r="A218" s="111"/>
      <c r="B218" s="108"/>
      <c r="C218" s="111"/>
      <c r="D218" s="114" t="s">
        <v>626</v>
      </c>
      <c r="E218" s="23"/>
      <c r="F218" s="124">
        <f>SUM(G218:I218)</f>
        <v>594146.60999999987</v>
      </c>
      <c r="G218" s="497">
        <v>587090.46999999986</v>
      </c>
      <c r="H218" s="490">
        <v>7056.14</v>
      </c>
      <c r="I218" s="491">
        <v>0</v>
      </c>
      <c r="J218" s="23"/>
      <c r="K218" s="124">
        <f>SUM(L218:N218)</f>
        <v>1167879.5100000002</v>
      </c>
      <c r="L218" s="127">
        <v>1155391.5100000002</v>
      </c>
      <c r="M218" s="125">
        <v>12488</v>
      </c>
      <c r="N218" s="125">
        <v>0</v>
      </c>
      <c r="O218" s="126"/>
      <c r="P218" s="124">
        <f>SUM(Q218:S218)</f>
        <v>1762680.9000000001</v>
      </c>
      <c r="Q218" s="127">
        <v>1743440.9100000001</v>
      </c>
      <c r="R218" s="125">
        <v>12739.99</v>
      </c>
      <c r="S218" s="125">
        <v>6500</v>
      </c>
      <c r="T218" s="183"/>
      <c r="U218" s="183">
        <f t="shared" si="52"/>
        <v>-594801.3899999999</v>
      </c>
      <c r="V218" s="183"/>
    </row>
    <row r="219" spans="1:22" ht="15.75" x14ac:dyDescent="0.25">
      <c r="A219" s="111"/>
      <c r="B219" s="108"/>
      <c r="C219" s="111"/>
      <c r="D219" s="114" t="s">
        <v>627</v>
      </c>
      <c r="E219" s="23"/>
      <c r="F219" s="124">
        <f>SUM(G219:I219)</f>
        <v>369341.25</v>
      </c>
      <c r="G219" s="497">
        <v>369341.25</v>
      </c>
      <c r="H219" s="490"/>
      <c r="I219" s="491"/>
      <c r="J219" s="23"/>
      <c r="K219" s="124">
        <f>SUM(L219:N219)</f>
        <v>585645.75</v>
      </c>
      <c r="L219" s="127">
        <v>585645.75</v>
      </c>
      <c r="M219" s="125">
        <v>0</v>
      </c>
      <c r="N219" s="125">
        <v>0</v>
      </c>
      <c r="O219" s="126"/>
      <c r="P219" s="124">
        <f>SUM(Q219:S219)</f>
        <v>359674</v>
      </c>
      <c r="Q219" s="127">
        <v>359674</v>
      </c>
      <c r="R219" s="125">
        <v>0</v>
      </c>
      <c r="S219" s="125">
        <v>0</v>
      </c>
      <c r="T219" s="183"/>
      <c r="U219" s="183">
        <f t="shared" si="52"/>
        <v>225971.75</v>
      </c>
      <c r="V219" s="183"/>
    </row>
    <row r="220" spans="1:22" ht="15.75" x14ac:dyDescent="0.25">
      <c r="A220" s="111"/>
      <c r="B220" s="108"/>
      <c r="C220" s="111"/>
      <c r="D220" s="114" t="s">
        <v>628</v>
      </c>
      <c r="E220" s="23"/>
      <c r="F220" s="124">
        <f>SUM(G220:I220)</f>
        <v>3589282.6799999997</v>
      </c>
      <c r="G220" s="497">
        <v>3454930.6799999997</v>
      </c>
      <c r="H220" s="490">
        <v>0</v>
      </c>
      <c r="I220" s="491">
        <v>134352</v>
      </c>
      <c r="J220" s="23"/>
      <c r="K220" s="124">
        <f>SUM(L220:N220)</f>
        <v>1729648.6099999999</v>
      </c>
      <c r="L220" s="127">
        <v>1729648.6099999999</v>
      </c>
      <c r="M220" s="125">
        <v>0</v>
      </c>
      <c r="N220" s="125">
        <v>0</v>
      </c>
      <c r="O220" s="126"/>
      <c r="P220" s="124">
        <f>SUM(Q220:S220)</f>
        <v>1073886.5499999998</v>
      </c>
      <c r="Q220" s="127">
        <v>1073886.5499999998</v>
      </c>
      <c r="R220" s="125">
        <v>0</v>
      </c>
      <c r="S220" s="125">
        <v>0</v>
      </c>
      <c r="T220" s="183"/>
      <c r="U220" s="183">
        <f t="shared" si="52"/>
        <v>655762.06000000006</v>
      </c>
      <c r="V220" s="183"/>
    </row>
    <row r="221" spans="1:22" ht="15.75" x14ac:dyDescent="0.25">
      <c r="A221" s="111"/>
      <c r="B221" s="108"/>
      <c r="C221" s="110" t="s">
        <v>629</v>
      </c>
      <c r="D221" s="111"/>
      <c r="E221" s="23"/>
      <c r="F221" s="124"/>
      <c r="G221" s="497"/>
      <c r="H221" s="490"/>
      <c r="I221" s="491"/>
      <c r="J221" s="23"/>
      <c r="K221" s="124"/>
      <c r="L221" s="127"/>
      <c r="M221" s="126"/>
      <c r="N221" s="126"/>
      <c r="O221" s="126"/>
      <c r="P221" s="124"/>
      <c r="Q221" s="126"/>
      <c r="R221" s="126"/>
      <c r="S221" s="126"/>
      <c r="T221" s="183"/>
      <c r="U221" s="183">
        <f t="shared" si="52"/>
        <v>0</v>
      </c>
      <c r="V221" s="183"/>
    </row>
    <row r="222" spans="1:22" ht="15.75" x14ac:dyDescent="0.25">
      <c r="A222" s="111"/>
      <c r="B222" s="108"/>
      <c r="C222" s="111"/>
      <c r="D222" s="114" t="s">
        <v>630</v>
      </c>
      <c r="E222" s="114"/>
      <c r="F222" s="124">
        <f t="shared" ref="F222:F230" si="53">SUM(G222:I222)</f>
        <v>733785</v>
      </c>
      <c r="G222" s="497">
        <v>733785</v>
      </c>
      <c r="H222" s="490">
        <v>0</v>
      </c>
      <c r="I222" s="491">
        <v>0</v>
      </c>
      <c r="J222" s="114"/>
      <c r="K222" s="124">
        <f t="shared" ref="K222:K230" si="54">SUM(L222:N222)</f>
        <v>948235.4</v>
      </c>
      <c r="L222" s="127">
        <v>837165.4</v>
      </c>
      <c r="M222" s="125">
        <v>0</v>
      </c>
      <c r="N222" s="125">
        <v>111070</v>
      </c>
      <c r="O222" s="126"/>
      <c r="P222" s="124">
        <f t="shared" ref="P222:P230" si="55">SUM(Q222:S222)</f>
        <v>1244173</v>
      </c>
      <c r="Q222" s="127">
        <v>1198313</v>
      </c>
      <c r="R222" s="125">
        <v>0</v>
      </c>
      <c r="S222" s="125">
        <v>45860</v>
      </c>
      <c r="T222" s="183"/>
      <c r="U222" s="183">
        <f t="shared" si="52"/>
        <v>-295937.59999999998</v>
      </c>
      <c r="V222" s="183"/>
    </row>
    <row r="223" spans="1:22" ht="15.75" x14ac:dyDescent="0.25">
      <c r="A223" s="111"/>
      <c r="B223" s="108"/>
      <c r="C223" s="111"/>
      <c r="D223" s="114" t="s">
        <v>631</v>
      </c>
      <c r="E223" s="114"/>
      <c r="F223" s="124">
        <f t="shared" si="53"/>
        <v>1814734</v>
      </c>
      <c r="G223" s="497">
        <v>1814734</v>
      </c>
      <c r="H223" s="490">
        <v>0</v>
      </c>
      <c r="I223" s="491">
        <v>0</v>
      </c>
      <c r="J223" s="114"/>
      <c r="K223" s="124">
        <f t="shared" si="54"/>
        <v>1993072.5</v>
      </c>
      <c r="L223" s="127">
        <v>1993072.5</v>
      </c>
      <c r="M223" s="125">
        <v>0</v>
      </c>
      <c r="N223" s="125">
        <v>0</v>
      </c>
      <c r="O223" s="126"/>
      <c r="P223" s="124">
        <f t="shared" si="55"/>
        <v>1096788</v>
      </c>
      <c r="Q223" s="127">
        <v>1096788</v>
      </c>
      <c r="R223" s="125">
        <v>0</v>
      </c>
      <c r="S223" s="125">
        <v>0</v>
      </c>
      <c r="T223" s="183"/>
      <c r="U223" s="183">
        <f t="shared" si="52"/>
        <v>896284.5</v>
      </c>
      <c r="V223" s="183"/>
    </row>
    <row r="224" spans="1:22" ht="15.75" x14ac:dyDescent="0.25">
      <c r="A224" s="118"/>
      <c r="B224" s="108"/>
      <c r="C224" s="118"/>
      <c r="D224" s="114" t="s">
        <v>632</v>
      </c>
      <c r="E224" s="114"/>
      <c r="F224" s="124">
        <f t="shared" si="53"/>
        <v>8738314.4000000004</v>
      </c>
      <c r="G224" s="497">
        <v>8738314.4000000004</v>
      </c>
      <c r="H224" s="490">
        <v>0</v>
      </c>
      <c r="I224" s="491">
        <v>0</v>
      </c>
      <c r="J224" s="114"/>
      <c r="K224" s="124">
        <f t="shared" si="54"/>
        <v>6498583.4500000002</v>
      </c>
      <c r="L224" s="127">
        <v>6273791.4500000002</v>
      </c>
      <c r="M224" s="125">
        <v>0</v>
      </c>
      <c r="N224" s="125">
        <v>224792</v>
      </c>
      <c r="O224" s="126"/>
      <c r="P224" s="124">
        <f t="shared" si="55"/>
        <v>4617109.5999999996</v>
      </c>
      <c r="Q224" s="127">
        <v>4563679.5999999996</v>
      </c>
      <c r="R224" s="125">
        <v>23880</v>
      </c>
      <c r="S224" s="125">
        <v>29550</v>
      </c>
      <c r="T224" s="183"/>
      <c r="U224" s="183">
        <f t="shared" si="52"/>
        <v>1881473.8500000006</v>
      </c>
      <c r="V224" s="183"/>
    </row>
    <row r="225" spans="1:22" ht="15.75" hidden="1" x14ac:dyDescent="0.25">
      <c r="A225" s="111"/>
      <c r="B225" s="108"/>
      <c r="C225" s="111"/>
      <c r="D225" s="114" t="s">
        <v>633</v>
      </c>
      <c r="E225" s="114"/>
      <c r="F225" s="124">
        <f t="shared" si="53"/>
        <v>0</v>
      </c>
      <c r="G225" s="498"/>
      <c r="H225" s="125">
        <v>0</v>
      </c>
      <c r="I225" s="125"/>
      <c r="J225" s="114"/>
      <c r="K225" s="124">
        <f t="shared" si="54"/>
        <v>0</v>
      </c>
      <c r="L225" s="127"/>
      <c r="M225" s="125">
        <v>0</v>
      </c>
      <c r="N225" s="125"/>
      <c r="O225" s="126"/>
      <c r="P225" s="124">
        <f t="shared" si="55"/>
        <v>0</v>
      </c>
      <c r="Q225" s="127"/>
      <c r="R225" s="125"/>
      <c r="S225" s="125"/>
      <c r="T225" s="183"/>
      <c r="U225" s="183">
        <f t="shared" si="52"/>
        <v>0</v>
      </c>
      <c r="V225" s="183"/>
    </row>
    <row r="226" spans="1:22" ht="15.75" x14ac:dyDescent="0.25">
      <c r="A226" s="110"/>
      <c r="B226" s="108"/>
      <c r="C226" s="110"/>
      <c r="D226" s="114" t="s">
        <v>634</v>
      </c>
      <c r="E226" s="114"/>
      <c r="F226" s="124">
        <f t="shared" si="53"/>
        <v>3476288.15</v>
      </c>
      <c r="G226" s="497">
        <v>3476288.15</v>
      </c>
      <c r="H226" s="490">
        <v>0</v>
      </c>
      <c r="I226" s="491">
        <v>0</v>
      </c>
      <c r="J226" s="114"/>
      <c r="K226" s="124">
        <f t="shared" si="54"/>
        <v>2634794</v>
      </c>
      <c r="L226" s="127">
        <v>2630604</v>
      </c>
      <c r="M226" s="125">
        <v>0</v>
      </c>
      <c r="N226" s="125">
        <v>4190</v>
      </c>
      <c r="O226" s="126"/>
      <c r="P226" s="124">
        <f t="shared" si="55"/>
        <v>2365270.5</v>
      </c>
      <c r="Q226" s="127">
        <v>2170270.5</v>
      </c>
      <c r="R226" s="125">
        <v>195000</v>
      </c>
      <c r="S226" s="125">
        <v>0</v>
      </c>
      <c r="T226" s="183"/>
      <c r="U226" s="183">
        <f t="shared" si="52"/>
        <v>269523.5</v>
      </c>
      <c r="V226" s="183"/>
    </row>
    <row r="227" spans="1:22" ht="15.75" x14ac:dyDescent="0.25">
      <c r="A227" s="111"/>
      <c r="B227" s="108"/>
      <c r="C227" s="111"/>
      <c r="D227" s="114" t="s">
        <v>635</v>
      </c>
      <c r="E227" s="114"/>
      <c r="F227" s="124">
        <f t="shared" si="53"/>
        <v>377000</v>
      </c>
      <c r="G227" s="497">
        <v>377000</v>
      </c>
      <c r="H227" s="490">
        <v>0</v>
      </c>
      <c r="I227" s="491">
        <v>0</v>
      </c>
      <c r="J227" s="114"/>
      <c r="K227" s="124">
        <f t="shared" si="54"/>
        <v>207000</v>
      </c>
      <c r="L227" s="127">
        <v>207000</v>
      </c>
      <c r="M227" s="125">
        <v>0</v>
      </c>
      <c r="N227" s="125">
        <v>0</v>
      </c>
      <c r="O227" s="126"/>
      <c r="P227" s="124">
        <f t="shared" si="55"/>
        <v>1321600</v>
      </c>
      <c r="Q227" s="127">
        <v>1321600</v>
      </c>
      <c r="R227" s="125">
        <v>0</v>
      </c>
      <c r="S227" s="125">
        <v>0</v>
      </c>
      <c r="T227" s="183"/>
      <c r="U227" s="183">
        <f t="shared" si="52"/>
        <v>-1114600</v>
      </c>
      <c r="V227" s="183"/>
    </row>
    <row r="228" spans="1:22" ht="15.75" x14ac:dyDescent="0.25">
      <c r="A228" s="111"/>
      <c r="B228" s="108"/>
      <c r="C228" s="111"/>
      <c r="D228" s="114" t="s">
        <v>636</v>
      </c>
      <c r="E228" s="114"/>
      <c r="F228" s="124">
        <f t="shared" si="53"/>
        <v>137144</v>
      </c>
      <c r="G228" s="497">
        <v>137144</v>
      </c>
      <c r="H228" s="490"/>
      <c r="I228" s="491"/>
      <c r="J228" s="114"/>
      <c r="K228" s="124">
        <f t="shared" si="54"/>
        <v>31544</v>
      </c>
      <c r="L228" s="127">
        <v>31544</v>
      </c>
      <c r="M228" s="125">
        <v>0</v>
      </c>
      <c r="N228" s="125">
        <v>0</v>
      </c>
      <c r="O228" s="126"/>
      <c r="P228" s="124">
        <f t="shared" si="55"/>
        <v>188261</v>
      </c>
      <c r="Q228" s="127">
        <v>188261</v>
      </c>
      <c r="R228" s="125">
        <v>0</v>
      </c>
      <c r="S228" s="125">
        <v>0</v>
      </c>
      <c r="T228" s="183"/>
      <c r="U228" s="183">
        <f t="shared" si="52"/>
        <v>-156717</v>
      </c>
      <c r="V228" s="183"/>
    </row>
    <row r="229" spans="1:22" ht="15.75" x14ac:dyDescent="0.25">
      <c r="A229" s="111"/>
      <c r="B229" s="108"/>
      <c r="C229" s="111"/>
      <c r="D229" s="114" t="s">
        <v>637</v>
      </c>
      <c r="E229" s="114"/>
      <c r="F229" s="124">
        <f t="shared" si="53"/>
        <v>50787191.680000007</v>
      </c>
      <c r="G229" s="497">
        <v>49787191.680000007</v>
      </c>
      <c r="H229" s="490">
        <v>0</v>
      </c>
      <c r="I229" s="491">
        <v>1000000</v>
      </c>
      <c r="J229" s="114"/>
      <c r="K229" s="124">
        <f t="shared" si="54"/>
        <v>171580660.31999999</v>
      </c>
      <c r="L229" s="127">
        <v>15147178.32</v>
      </c>
      <c r="M229" s="125">
        <v>0</v>
      </c>
      <c r="N229" s="125">
        <v>156433482</v>
      </c>
      <c r="O229" s="126"/>
      <c r="P229" s="124">
        <f t="shared" si="55"/>
        <v>13025439</v>
      </c>
      <c r="Q229" s="125">
        <v>12756739</v>
      </c>
      <c r="R229" s="125">
        <v>0</v>
      </c>
      <c r="S229" s="125">
        <v>268700</v>
      </c>
      <c r="T229" s="183"/>
      <c r="U229" s="231">
        <f t="shared" si="52"/>
        <v>158555221.31999999</v>
      </c>
      <c r="V229" s="183"/>
    </row>
    <row r="230" spans="1:22" ht="15.75" x14ac:dyDescent="0.25">
      <c r="A230" s="110"/>
      <c r="B230" s="108"/>
      <c r="C230" s="110"/>
      <c r="D230" s="114" t="s">
        <v>638</v>
      </c>
      <c r="E230" s="114"/>
      <c r="F230" s="124">
        <f t="shared" si="53"/>
        <v>7859654.8699999992</v>
      </c>
      <c r="G230" s="497">
        <v>7859654.8699999992</v>
      </c>
      <c r="H230" s="490"/>
      <c r="I230" s="491"/>
      <c r="J230" s="114"/>
      <c r="K230" s="124">
        <f t="shared" si="54"/>
        <v>6341992.8300000001</v>
      </c>
      <c r="L230" s="127">
        <v>6337063.6799999997</v>
      </c>
      <c r="M230" s="125">
        <v>0</v>
      </c>
      <c r="N230" s="125">
        <v>4929.1499999999996</v>
      </c>
      <c r="O230" s="126"/>
      <c r="P230" s="124">
        <f t="shared" si="55"/>
        <v>34992125.719999999</v>
      </c>
      <c r="Q230" s="127">
        <v>23420266.07</v>
      </c>
      <c r="R230" s="125">
        <v>778024</v>
      </c>
      <c r="S230" s="125">
        <v>10793835.65</v>
      </c>
      <c r="T230" s="183"/>
      <c r="U230" s="183">
        <f t="shared" si="52"/>
        <v>-28650132.890000001</v>
      </c>
      <c r="V230" s="183"/>
    </row>
    <row r="231" spans="1:22" ht="15.75" x14ac:dyDescent="0.25">
      <c r="A231" s="110"/>
      <c r="B231" s="108"/>
      <c r="C231" s="119" t="s">
        <v>639</v>
      </c>
      <c r="D231" s="111"/>
      <c r="E231" s="26"/>
      <c r="F231" s="131">
        <f>SUM(F153:F230)</f>
        <v>492373303.15999997</v>
      </c>
      <c r="G231" s="504">
        <f>SUM(G153:G230)</f>
        <v>447172550.81999999</v>
      </c>
      <c r="H231" s="131">
        <f t="shared" ref="H231:I231" si="56">SUM(H153:H230)</f>
        <v>15910417.140000001</v>
      </c>
      <c r="I231" s="131">
        <f t="shared" si="56"/>
        <v>29290335.199999999</v>
      </c>
      <c r="J231" s="26"/>
      <c r="K231" s="131">
        <f>SUM(K153:K230)</f>
        <v>610350464.7299999</v>
      </c>
      <c r="L231" s="131">
        <f t="shared" ref="L231:N231" si="57">SUM(L153:L230)</f>
        <v>435024368.92999995</v>
      </c>
      <c r="M231" s="131">
        <f t="shared" si="57"/>
        <v>16477496</v>
      </c>
      <c r="N231" s="131">
        <f t="shared" si="57"/>
        <v>158848599.80000001</v>
      </c>
      <c r="O231" s="135"/>
      <c r="P231" s="131">
        <f>SUM(P153:P230)</f>
        <v>400656106.24999988</v>
      </c>
      <c r="Q231" s="131">
        <v>368058828.99000001</v>
      </c>
      <c r="R231" s="131">
        <v>20263086.859999999</v>
      </c>
      <c r="S231" s="131">
        <v>12334190.4</v>
      </c>
      <c r="T231" s="183"/>
      <c r="U231" s="183">
        <f>+K231-P231</f>
        <v>209694358.48000002</v>
      </c>
      <c r="V231" s="183"/>
    </row>
    <row r="232" spans="1:22" ht="15.75" x14ac:dyDescent="0.25">
      <c r="A232" s="111"/>
      <c r="B232" s="108" t="s">
        <v>640</v>
      </c>
      <c r="C232" s="111"/>
      <c r="D232" s="111"/>
      <c r="E232" s="23"/>
      <c r="F232" s="124"/>
      <c r="G232" s="499"/>
      <c r="H232" s="126"/>
      <c r="I232" s="126"/>
      <c r="J232" s="23"/>
      <c r="K232" s="124"/>
      <c r="L232" s="126"/>
      <c r="M232" s="126"/>
      <c r="N232" s="126"/>
      <c r="O232" s="126"/>
      <c r="P232" s="124"/>
      <c r="Q232" s="126"/>
      <c r="R232" s="126"/>
      <c r="S232" s="126"/>
      <c r="T232" s="183"/>
      <c r="U232" s="183"/>
      <c r="V232" s="183"/>
    </row>
    <row r="233" spans="1:22" ht="15.75" x14ac:dyDescent="0.25">
      <c r="A233" s="110"/>
      <c r="B233" s="108"/>
      <c r="C233" s="119" t="s">
        <v>641</v>
      </c>
      <c r="D233" s="110"/>
      <c r="E233" s="26"/>
      <c r="F233" s="124"/>
      <c r="G233" s="499"/>
      <c r="H233" s="126"/>
      <c r="I233" s="126"/>
      <c r="J233" s="26"/>
      <c r="K233" s="124"/>
      <c r="L233" s="126"/>
      <c r="M233" s="126"/>
      <c r="N233" s="126"/>
      <c r="O233" s="126"/>
      <c r="P233" s="124"/>
      <c r="Q233" s="126"/>
      <c r="R233" s="126"/>
      <c r="S233" s="126"/>
      <c r="T233" s="183"/>
      <c r="U233" s="183"/>
      <c r="V233" s="183"/>
    </row>
    <row r="234" spans="1:22" ht="15.75" hidden="1" x14ac:dyDescent="0.25">
      <c r="A234" s="111"/>
      <c r="B234" s="108"/>
      <c r="C234" s="111"/>
      <c r="D234" s="114" t="s">
        <v>642</v>
      </c>
      <c r="E234" s="114"/>
      <c r="F234" s="124">
        <f t="shared" ref="F234:F239" si="58">SUM(G234:I234)</f>
        <v>0</v>
      </c>
      <c r="G234" s="499"/>
      <c r="H234" s="125"/>
      <c r="I234" s="125"/>
      <c r="J234" s="114"/>
      <c r="K234" s="124">
        <f t="shared" ref="K234:K239" si="59">SUM(L234:N234)</f>
        <v>0</v>
      </c>
      <c r="L234" s="126"/>
      <c r="M234" s="125"/>
      <c r="N234" s="125"/>
      <c r="O234" s="126"/>
      <c r="P234" s="124">
        <f t="shared" ref="P234:P239" si="60">SUM(Q234:S234)</f>
        <v>0</v>
      </c>
      <c r="Q234" s="126"/>
      <c r="R234" s="125"/>
      <c r="S234" s="125"/>
      <c r="T234" s="183"/>
      <c r="U234" s="183"/>
      <c r="V234" s="183"/>
    </row>
    <row r="235" spans="1:22" ht="15.75" x14ac:dyDescent="0.25">
      <c r="A235" s="111"/>
      <c r="B235" s="108"/>
      <c r="C235" s="111"/>
      <c r="D235" s="114" t="s">
        <v>643</v>
      </c>
      <c r="E235" s="114"/>
      <c r="F235" s="124">
        <f t="shared" si="58"/>
        <v>10687840.5</v>
      </c>
      <c r="G235" s="499">
        <v>10687840.5</v>
      </c>
      <c r="H235" s="490">
        <v>0</v>
      </c>
      <c r="I235" s="125">
        <v>0</v>
      </c>
      <c r="J235" s="114"/>
      <c r="K235" s="124">
        <f t="shared" si="59"/>
        <v>11836409.239999998</v>
      </c>
      <c r="L235" s="126">
        <v>11830345.989999998</v>
      </c>
      <c r="M235" s="126">
        <v>6063.25</v>
      </c>
      <c r="N235" s="125">
        <v>0</v>
      </c>
      <c r="O235" s="126"/>
      <c r="P235" s="124">
        <f t="shared" si="60"/>
        <v>11125831.17</v>
      </c>
      <c r="Q235" s="126">
        <v>11010777.470000001</v>
      </c>
      <c r="R235" s="125">
        <v>115053.70000000001</v>
      </c>
      <c r="S235" s="125">
        <v>0</v>
      </c>
      <c r="T235" s="183"/>
      <c r="U235" s="183"/>
      <c r="V235" s="183"/>
    </row>
    <row r="236" spans="1:22" ht="15.75" hidden="1" x14ac:dyDescent="0.25">
      <c r="A236" s="111"/>
      <c r="B236" s="108"/>
      <c r="C236" s="111"/>
      <c r="D236" s="114" t="s">
        <v>644</v>
      </c>
      <c r="E236" s="114"/>
      <c r="F236" s="124">
        <f t="shared" si="58"/>
        <v>0</v>
      </c>
      <c r="G236" s="499"/>
      <c r="H236" s="125"/>
      <c r="I236" s="125"/>
      <c r="J236" s="114"/>
      <c r="K236" s="124">
        <f t="shared" si="59"/>
        <v>0</v>
      </c>
      <c r="L236" s="126"/>
      <c r="M236" s="125"/>
      <c r="N236" s="125"/>
      <c r="O236" s="126"/>
      <c r="P236" s="124">
        <f t="shared" si="60"/>
        <v>0</v>
      </c>
      <c r="Q236" s="126"/>
      <c r="R236" s="125"/>
      <c r="S236" s="125"/>
      <c r="T236" s="183"/>
      <c r="U236" s="183"/>
      <c r="V236" s="183"/>
    </row>
    <row r="237" spans="1:22" ht="15.75" hidden="1" x14ac:dyDescent="0.25">
      <c r="A237" s="111"/>
      <c r="B237" s="108"/>
      <c r="C237" s="111"/>
      <c r="D237" s="114" t="s">
        <v>645</v>
      </c>
      <c r="E237" s="114"/>
      <c r="F237" s="124">
        <f t="shared" si="58"/>
        <v>0</v>
      </c>
      <c r="G237" s="499"/>
      <c r="H237" s="125"/>
      <c r="I237" s="125"/>
      <c r="J237" s="114"/>
      <c r="K237" s="124">
        <f t="shared" si="59"/>
        <v>0</v>
      </c>
      <c r="L237" s="126"/>
      <c r="M237" s="125"/>
      <c r="N237" s="125"/>
      <c r="O237" s="126"/>
      <c r="P237" s="124">
        <f t="shared" si="60"/>
        <v>0</v>
      </c>
      <c r="Q237" s="126"/>
      <c r="R237" s="125"/>
      <c r="S237" s="125"/>
      <c r="T237" s="183"/>
      <c r="U237" s="183"/>
      <c r="V237" s="183"/>
    </row>
    <row r="238" spans="1:22" ht="15.75" hidden="1" x14ac:dyDescent="0.25">
      <c r="A238" s="111"/>
      <c r="B238" s="108"/>
      <c r="C238" s="111"/>
      <c r="D238" s="114" t="s">
        <v>646</v>
      </c>
      <c r="E238" s="114"/>
      <c r="F238" s="124">
        <f t="shared" si="58"/>
        <v>0</v>
      </c>
      <c r="G238" s="499"/>
      <c r="H238" s="125"/>
      <c r="I238" s="125"/>
      <c r="J238" s="114"/>
      <c r="K238" s="124">
        <f t="shared" si="59"/>
        <v>0</v>
      </c>
      <c r="L238" s="126"/>
      <c r="M238" s="125"/>
      <c r="N238" s="125"/>
      <c r="O238" s="126"/>
      <c r="P238" s="124">
        <f t="shared" si="60"/>
        <v>0</v>
      </c>
      <c r="Q238" s="126"/>
      <c r="R238" s="125"/>
      <c r="S238" s="125"/>
      <c r="T238" s="183"/>
      <c r="U238" s="183"/>
      <c r="V238" s="183"/>
    </row>
    <row r="239" spans="1:22" ht="15.75" hidden="1" x14ac:dyDescent="0.25">
      <c r="A239" s="111"/>
      <c r="B239" s="108"/>
      <c r="C239" s="111"/>
      <c r="D239" s="114" t="s">
        <v>647</v>
      </c>
      <c r="E239" s="114"/>
      <c r="F239" s="124">
        <f t="shared" si="58"/>
        <v>0</v>
      </c>
      <c r="G239" s="499">
        <v>0</v>
      </c>
      <c r="H239" s="125">
        <v>0</v>
      </c>
      <c r="I239" s="125">
        <v>0</v>
      </c>
      <c r="J239" s="114"/>
      <c r="K239" s="124">
        <f t="shared" si="59"/>
        <v>0</v>
      </c>
      <c r="L239" s="126"/>
      <c r="M239" s="125"/>
      <c r="N239" s="125"/>
      <c r="O239" s="126"/>
      <c r="P239" s="124">
        <f t="shared" si="60"/>
        <v>565999.5</v>
      </c>
      <c r="Q239" s="125">
        <v>565999.5</v>
      </c>
      <c r="R239" s="125">
        <v>0</v>
      </c>
      <c r="S239" s="125">
        <v>0</v>
      </c>
      <c r="T239" s="183"/>
      <c r="U239" s="183"/>
      <c r="V239" s="183"/>
    </row>
    <row r="240" spans="1:22" ht="15.75" x14ac:dyDescent="0.25">
      <c r="A240" s="111"/>
      <c r="B240" s="108"/>
      <c r="C240" s="119" t="s">
        <v>648</v>
      </c>
      <c r="D240" s="111"/>
      <c r="E240" s="23"/>
      <c r="F240" s="134">
        <f>SUM(F234:F239)</f>
        <v>10687840.5</v>
      </c>
      <c r="G240" s="507">
        <f t="shared" ref="G240:I240" si="61">SUM(G234:G239)</f>
        <v>10687840.5</v>
      </c>
      <c r="H240" s="134">
        <f t="shared" si="61"/>
        <v>0</v>
      </c>
      <c r="I240" s="134">
        <f t="shared" si="61"/>
        <v>0</v>
      </c>
      <c r="J240" s="23"/>
      <c r="K240" s="134">
        <f>SUM(K234:K239)</f>
        <v>11836409.239999998</v>
      </c>
      <c r="L240" s="134">
        <f t="shared" ref="L240:N240" si="62">SUM(L234:L239)</f>
        <v>11830345.989999998</v>
      </c>
      <c r="M240" s="134">
        <f t="shared" si="62"/>
        <v>6063.25</v>
      </c>
      <c r="N240" s="134">
        <f t="shared" si="62"/>
        <v>0</v>
      </c>
      <c r="O240" s="126"/>
      <c r="P240" s="134">
        <f>SUM(P234:P239)</f>
        <v>11691830.67</v>
      </c>
      <c r="Q240" s="134">
        <v>11576776.970000001</v>
      </c>
      <c r="R240" s="134">
        <v>115053.70000000001</v>
      </c>
      <c r="S240" s="134">
        <v>0</v>
      </c>
      <c r="T240" s="183"/>
      <c r="U240" s="183">
        <f>+K240-P240</f>
        <v>144578.56999999844</v>
      </c>
      <c r="V240" s="183"/>
    </row>
    <row r="241" spans="1:22" ht="15.75" x14ac:dyDescent="0.25">
      <c r="A241" s="111"/>
      <c r="B241" s="108" t="s">
        <v>649</v>
      </c>
      <c r="C241" s="111"/>
      <c r="D241" s="111"/>
      <c r="E241" s="23"/>
      <c r="F241" s="124"/>
      <c r="G241" s="500"/>
      <c r="H241" s="125"/>
      <c r="I241" s="125"/>
      <c r="J241" s="23"/>
      <c r="K241" s="124"/>
      <c r="L241" s="125"/>
      <c r="M241" s="125"/>
      <c r="N241" s="125"/>
      <c r="O241" s="126"/>
      <c r="P241" s="124"/>
      <c r="Q241" s="125"/>
      <c r="R241" s="125"/>
      <c r="S241" s="125"/>
      <c r="T241" s="183"/>
      <c r="U241" s="183"/>
      <c r="V241" s="183"/>
    </row>
    <row r="242" spans="1:22" ht="15.75" x14ac:dyDescent="0.25">
      <c r="A242" s="111"/>
      <c r="B242" s="108"/>
      <c r="C242" s="119" t="s">
        <v>650</v>
      </c>
      <c r="D242" s="111"/>
      <c r="E242" s="23"/>
      <c r="F242" s="124"/>
      <c r="G242" s="499"/>
      <c r="H242" s="126"/>
      <c r="I242" s="126"/>
      <c r="J242" s="23"/>
      <c r="K242" s="124"/>
      <c r="L242" s="126"/>
      <c r="M242" s="126"/>
      <c r="N242" s="126"/>
      <c r="O242" s="126"/>
      <c r="P242" s="124"/>
      <c r="Q242" s="126"/>
      <c r="R242" s="126"/>
      <c r="S242" s="126"/>
      <c r="T242" s="183"/>
      <c r="U242" s="183"/>
      <c r="V242" s="183"/>
    </row>
    <row r="243" spans="1:22" ht="15.75" hidden="1" x14ac:dyDescent="0.25">
      <c r="A243" s="110"/>
      <c r="B243" s="108"/>
      <c r="C243" s="110"/>
      <c r="D243" s="114" t="s">
        <v>651</v>
      </c>
      <c r="E243" s="23"/>
      <c r="F243" s="124">
        <f t="shared" ref="F243:F253" si="63">SUM(G243:I243)</f>
        <v>0</v>
      </c>
      <c r="G243" s="498"/>
      <c r="H243" s="125"/>
      <c r="I243" s="125"/>
      <c r="J243" s="23"/>
      <c r="K243" s="124">
        <f t="shared" ref="K243:K253" si="64">SUM(L243:N243)</f>
        <v>0</v>
      </c>
      <c r="L243" s="127"/>
      <c r="M243" s="125"/>
      <c r="N243" s="125"/>
      <c r="O243" s="126"/>
      <c r="P243" s="124">
        <f t="shared" ref="P243:P253" si="65">SUM(Q243:S243)</f>
        <v>0</v>
      </c>
      <c r="Q243" s="127"/>
      <c r="R243" s="125"/>
      <c r="S243" s="125"/>
      <c r="T243" s="183"/>
      <c r="U243" s="183"/>
      <c r="V243" s="183"/>
    </row>
    <row r="244" spans="1:22" ht="15.75" x14ac:dyDescent="0.25">
      <c r="A244" s="111"/>
      <c r="B244" s="108"/>
      <c r="C244" s="111"/>
      <c r="D244" s="114" t="s">
        <v>652</v>
      </c>
      <c r="E244" s="23"/>
      <c r="F244" s="124">
        <f t="shared" si="63"/>
        <v>1639612.12</v>
      </c>
      <c r="G244" s="497">
        <v>862954.86</v>
      </c>
      <c r="H244" s="490">
        <v>776657.26</v>
      </c>
      <c r="I244" s="491">
        <v>0</v>
      </c>
      <c r="J244" s="23"/>
      <c r="K244" s="124">
        <f t="shared" si="64"/>
        <v>1683853.35</v>
      </c>
      <c r="L244" s="127">
        <v>1114335.3900000001</v>
      </c>
      <c r="M244" s="127">
        <v>569517.96</v>
      </c>
      <c r="N244" s="125">
        <v>0</v>
      </c>
      <c r="O244" s="126"/>
      <c r="P244" s="124">
        <f t="shared" si="65"/>
        <v>1111811.76</v>
      </c>
      <c r="Q244" s="127">
        <v>1026446.52</v>
      </c>
      <c r="R244" s="127">
        <v>85365.239999999991</v>
      </c>
      <c r="S244" s="127">
        <v>0</v>
      </c>
      <c r="T244" s="183"/>
      <c r="U244" s="183"/>
      <c r="V244" s="183"/>
    </row>
    <row r="245" spans="1:22" ht="15.75" x14ac:dyDescent="0.25">
      <c r="A245" s="111"/>
      <c r="B245" s="108"/>
      <c r="C245" s="111"/>
      <c r="D245" s="114" t="s">
        <v>653</v>
      </c>
      <c r="E245" s="23"/>
      <c r="F245" s="124">
        <f t="shared" si="63"/>
        <v>49934349.979999997</v>
      </c>
      <c r="G245" s="497">
        <v>43244140.829999998</v>
      </c>
      <c r="H245" s="490">
        <v>583700.29999999981</v>
      </c>
      <c r="I245" s="491">
        <v>6106508.8500000006</v>
      </c>
      <c r="J245" s="23"/>
      <c r="K245" s="124">
        <f t="shared" si="64"/>
        <v>39532296.659999996</v>
      </c>
      <c r="L245" s="127">
        <v>33686222.869999997</v>
      </c>
      <c r="M245" s="127">
        <v>273505.8</v>
      </c>
      <c r="N245" s="127">
        <v>5572567.9900000002</v>
      </c>
      <c r="O245" s="126"/>
      <c r="P245" s="124">
        <f t="shared" si="65"/>
        <v>0</v>
      </c>
      <c r="Q245" s="127"/>
      <c r="R245" s="127"/>
      <c r="S245" s="127"/>
      <c r="T245" s="183"/>
      <c r="U245" s="183"/>
      <c r="V245" s="183"/>
    </row>
    <row r="246" spans="1:22" ht="15.75" x14ac:dyDescent="0.25">
      <c r="A246" s="110"/>
      <c r="B246" s="108"/>
      <c r="C246" s="110"/>
      <c r="D246" s="114" t="s">
        <v>654</v>
      </c>
      <c r="E246" s="23"/>
      <c r="F246" s="124">
        <f t="shared" si="63"/>
        <v>19557488.349999998</v>
      </c>
      <c r="G246" s="497">
        <v>18211708.609999999</v>
      </c>
      <c r="H246" s="490">
        <v>1345779.7399999998</v>
      </c>
      <c r="I246" s="491">
        <v>0</v>
      </c>
      <c r="J246" s="23"/>
      <c r="K246" s="124">
        <f t="shared" si="64"/>
        <v>22635626.879999999</v>
      </c>
      <c r="L246" s="127">
        <v>15496605.599999998</v>
      </c>
      <c r="M246" s="127">
        <v>7139021.2800000003</v>
      </c>
      <c r="N246" s="125">
        <v>0</v>
      </c>
      <c r="O246" s="126"/>
      <c r="P246" s="124">
        <f t="shared" si="65"/>
        <v>19622764.339999996</v>
      </c>
      <c r="Q246" s="127">
        <v>13551004.699999997</v>
      </c>
      <c r="R246" s="127">
        <v>6071759.6400000006</v>
      </c>
      <c r="S246" s="127">
        <v>0</v>
      </c>
      <c r="T246" s="183"/>
      <c r="U246" s="183"/>
      <c r="V246" s="183"/>
    </row>
    <row r="247" spans="1:22" ht="15.75" x14ac:dyDescent="0.25">
      <c r="A247" s="111"/>
      <c r="B247" s="108"/>
      <c r="C247" s="111"/>
      <c r="D247" s="114" t="s">
        <v>655</v>
      </c>
      <c r="E247" s="23"/>
      <c r="F247" s="124">
        <f t="shared" si="63"/>
        <v>28372243.009999998</v>
      </c>
      <c r="G247" s="497">
        <v>26604959.949999999</v>
      </c>
      <c r="H247" s="490">
        <v>801267.65</v>
      </c>
      <c r="I247" s="491">
        <v>966015.41</v>
      </c>
      <c r="J247" s="23"/>
      <c r="K247" s="124">
        <f t="shared" si="64"/>
        <v>23546268.310000002</v>
      </c>
      <c r="L247" s="127">
        <v>19662890.030000001</v>
      </c>
      <c r="M247" s="127">
        <v>3344712.28</v>
      </c>
      <c r="N247" s="127">
        <v>538666</v>
      </c>
      <c r="O247" s="126"/>
      <c r="P247" s="124">
        <f t="shared" si="65"/>
        <v>12168126.84</v>
      </c>
      <c r="Q247" s="127">
        <v>10008565.550000001</v>
      </c>
      <c r="R247" s="127">
        <v>1720092.92</v>
      </c>
      <c r="S247" s="127">
        <v>439468.37</v>
      </c>
      <c r="T247" s="183"/>
      <c r="U247" s="183"/>
      <c r="V247" s="183"/>
    </row>
    <row r="248" spans="1:22" ht="15.75" x14ac:dyDescent="0.25">
      <c r="A248" s="111"/>
      <c r="B248" s="108"/>
      <c r="C248" s="111"/>
      <c r="D248" s="114" t="s">
        <v>656</v>
      </c>
      <c r="E248" s="23"/>
      <c r="F248" s="124">
        <f t="shared" si="63"/>
        <v>11620391.010000004</v>
      </c>
      <c r="G248" s="497">
        <v>11569406.510000004</v>
      </c>
      <c r="H248" s="490">
        <v>0</v>
      </c>
      <c r="I248" s="491">
        <v>50984.5</v>
      </c>
      <c r="J248" s="23"/>
      <c r="K248" s="124">
        <f t="shared" si="64"/>
        <v>10034920.66</v>
      </c>
      <c r="L248" s="127">
        <v>9631386.8699999992</v>
      </c>
      <c r="M248" s="125">
        <v>0</v>
      </c>
      <c r="N248" s="127">
        <v>403533.79000000004</v>
      </c>
      <c r="O248" s="126"/>
      <c r="P248" s="124">
        <f t="shared" si="65"/>
        <v>10320436.980000002</v>
      </c>
      <c r="Q248" s="127">
        <v>10162489.620000003</v>
      </c>
      <c r="R248" s="127">
        <v>0</v>
      </c>
      <c r="S248" s="127">
        <v>157947.35999999999</v>
      </c>
      <c r="T248" s="183"/>
      <c r="U248" s="183"/>
      <c r="V248" s="183"/>
    </row>
    <row r="249" spans="1:22" ht="15.75" x14ac:dyDescent="0.25">
      <c r="A249" s="111"/>
      <c r="B249" s="108"/>
      <c r="C249" s="111"/>
      <c r="D249" s="114" t="s">
        <v>657</v>
      </c>
      <c r="E249" s="23"/>
      <c r="F249" s="124">
        <f t="shared" si="63"/>
        <v>1095582.48</v>
      </c>
      <c r="G249" s="497">
        <v>1032514.3099999999</v>
      </c>
      <c r="H249" s="490">
        <v>550.21</v>
      </c>
      <c r="I249" s="491">
        <v>62517.96</v>
      </c>
      <c r="J249" s="23"/>
      <c r="K249" s="124">
        <f t="shared" si="64"/>
        <v>919122.20000000007</v>
      </c>
      <c r="L249" s="127">
        <v>850949.12000000011</v>
      </c>
      <c r="M249" s="127">
        <v>6010.32</v>
      </c>
      <c r="N249" s="127">
        <v>62162.759999999995</v>
      </c>
      <c r="O249" s="126"/>
      <c r="P249" s="124">
        <f t="shared" si="65"/>
        <v>719985.56999999983</v>
      </c>
      <c r="Q249" s="127">
        <v>668310.02999999991</v>
      </c>
      <c r="R249" s="127">
        <v>6010.32</v>
      </c>
      <c r="S249" s="127">
        <v>45665.22</v>
      </c>
      <c r="T249" s="183"/>
      <c r="U249" s="183"/>
      <c r="V249" s="183"/>
    </row>
    <row r="250" spans="1:22" ht="15.75" hidden="1" x14ac:dyDescent="0.25">
      <c r="A250" s="111"/>
      <c r="B250" s="108"/>
      <c r="C250" s="111"/>
      <c r="D250" s="114" t="s">
        <v>658</v>
      </c>
      <c r="E250" s="23"/>
      <c r="F250" s="124">
        <f t="shared" si="63"/>
        <v>0</v>
      </c>
      <c r="G250" s="509"/>
      <c r="H250" s="11"/>
      <c r="I250" s="11"/>
      <c r="J250" s="23"/>
      <c r="K250" s="124">
        <f t="shared" si="64"/>
        <v>0</v>
      </c>
      <c r="L250" s="11"/>
      <c r="M250" s="11"/>
      <c r="N250" s="11"/>
      <c r="O250" s="126"/>
      <c r="P250" s="124">
        <f t="shared" si="65"/>
        <v>0</v>
      </c>
      <c r="Q250" s="127"/>
      <c r="R250" s="127"/>
      <c r="S250" s="127"/>
      <c r="T250" s="183"/>
      <c r="U250" s="183"/>
      <c r="V250" s="183"/>
    </row>
    <row r="251" spans="1:22" ht="15.75" hidden="1" x14ac:dyDescent="0.25">
      <c r="A251" s="110"/>
      <c r="B251" s="108"/>
      <c r="C251" s="110"/>
      <c r="D251" s="114" t="s">
        <v>659</v>
      </c>
      <c r="E251" s="23"/>
      <c r="F251" s="124">
        <f t="shared" si="63"/>
        <v>0</v>
      </c>
      <c r="G251" s="498"/>
      <c r="H251" s="127"/>
      <c r="I251" s="127"/>
      <c r="J251" s="23"/>
      <c r="K251" s="124">
        <f t="shared" si="64"/>
        <v>0</v>
      </c>
      <c r="L251" s="127"/>
      <c r="M251" s="127"/>
      <c r="N251" s="127"/>
      <c r="O251" s="126"/>
      <c r="P251" s="124">
        <f t="shared" si="65"/>
        <v>0</v>
      </c>
      <c r="Q251" s="127"/>
      <c r="R251" s="127"/>
      <c r="S251" s="127"/>
      <c r="T251" s="183"/>
      <c r="U251" s="183"/>
      <c r="V251" s="183"/>
    </row>
    <row r="252" spans="1:22" ht="15.75" hidden="1" x14ac:dyDescent="0.25">
      <c r="A252" s="111"/>
      <c r="B252" s="108"/>
      <c r="C252" s="111"/>
      <c r="D252" s="114" t="s">
        <v>660</v>
      </c>
      <c r="E252" s="23"/>
      <c r="F252" s="124">
        <f t="shared" si="63"/>
        <v>0</v>
      </c>
      <c r="G252" s="498"/>
      <c r="H252" s="127"/>
      <c r="I252" s="127"/>
      <c r="J252" s="23"/>
      <c r="K252" s="124">
        <f t="shared" si="64"/>
        <v>0</v>
      </c>
      <c r="L252" s="127"/>
      <c r="M252" s="127"/>
      <c r="N252" s="127"/>
      <c r="O252" s="126"/>
      <c r="P252" s="124">
        <f t="shared" si="65"/>
        <v>0</v>
      </c>
      <c r="Q252" s="127"/>
      <c r="R252" s="127"/>
      <c r="S252" s="127"/>
      <c r="T252" s="183"/>
      <c r="U252" s="183"/>
      <c r="V252" s="183"/>
    </row>
    <row r="253" spans="1:22" ht="15.75" x14ac:dyDescent="0.25">
      <c r="A253" s="111"/>
      <c r="B253" s="108"/>
      <c r="C253" s="111"/>
      <c r="D253" s="114" t="s">
        <v>661</v>
      </c>
      <c r="E253" s="23"/>
      <c r="F253" s="124">
        <f t="shared" si="63"/>
        <v>8208859.0199999996</v>
      </c>
      <c r="G253" s="497">
        <v>8110189.79</v>
      </c>
      <c r="H253" s="490">
        <v>759.05</v>
      </c>
      <c r="I253" s="491">
        <v>97910.18</v>
      </c>
      <c r="J253" s="23"/>
      <c r="K253" s="124">
        <f t="shared" si="64"/>
        <v>7659353.9700000007</v>
      </c>
      <c r="L253" s="127">
        <v>7595044.7700000005</v>
      </c>
      <c r="M253" s="125">
        <v>0</v>
      </c>
      <c r="N253" s="127">
        <v>64309.2</v>
      </c>
      <c r="O253" s="126"/>
      <c r="P253" s="124">
        <f t="shared" si="65"/>
        <v>1645199.6100000003</v>
      </c>
      <c r="Q253" s="127">
        <v>1515242.4400000002</v>
      </c>
      <c r="R253" s="127">
        <v>53066.789999999994</v>
      </c>
      <c r="S253" s="127">
        <v>76890.38</v>
      </c>
      <c r="T253" s="183"/>
      <c r="U253" s="183"/>
      <c r="V253" s="183"/>
    </row>
    <row r="254" spans="1:22" ht="15.75" x14ac:dyDescent="0.25">
      <c r="A254" s="110"/>
      <c r="B254" s="108"/>
      <c r="C254" s="110" t="s">
        <v>662</v>
      </c>
      <c r="D254" s="110"/>
      <c r="E254" s="26"/>
      <c r="F254" s="124"/>
      <c r="G254" s="497"/>
      <c r="H254" s="490"/>
      <c r="I254" s="491"/>
      <c r="J254" s="26"/>
      <c r="K254" s="124"/>
      <c r="L254" s="126"/>
      <c r="M254" s="126"/>
      <c r="N254" s="126"/>
      <c r="O254" s="126"/>
      <c r="P254" s="124"/>
      <c r="Q254" s="126"/>
      <c r="R254" s="126"/>
      <c r="S254" s="126"/>
      <c r="T254" s="183"/>
      <c r="U254" s="183"/>
      <c r="V254" s="183"/>
    </row>
    <row r="255" spans="1:22" ht="15.75" x14ac:dyDescent="0.25">
      <c r="A255" s="110"/>
      <c r="B255" s="108"/>
      <c r="C255" s="110"/>
      <c r="D255" s="114" t="s">
        <v>663</v>
      </c>
      <c r="E255" s="26"/>
      <c r="F255" s="124">
        <f>SUM(G255:I255)</f>
        <v>348952.42</v>
      </c>
      <c r="G255" s="497">
        <v>348952.42</v>
      </c>
      <c r="H255" s="490">
        <v>0</v>
      </c>
      <c r="I255" s="491">
        <v>0</v>
      </c>
      <c r="J255" s="26"/>
      <c r="K255" s="124">
        <f>SUM(L255:N255)</f>
        <v>377739</v>
      </c>
      <c r="L255" s="125">
        <v>377739</v>
      </c>
      <c r="M255" s="125">
        <v>0</v>
      </c>
      <c r="N255" s="125">
        <v>0</v>
      </c>
      <c r="O255" s="126"/>
      <c r="P255" s="124">
        <f>SUM(Q255:S255)</f>
        <v>377739</v>
      </c>
      <c r="Q255" s="125">
        <v>377739</v>
      </c>
      <c r="R255" s="125">
        <v>0</v>
      </c>
      <c r="S255" s="125">
        <v>0</v>
      </c>
      <c r="T255" s="183"/>
      <c r="U255" s="183"/>
      <c r="V255" s="183"/>
    </row>
    <row r="256" spans="1:22" ht="15.75" hidden="1" x14ac:dyDescent="0.25">
      <c r="A256" s="111"/>
      <c r="B256" s="108"/>
      <c r="C256" s="110" t="s">
        <v>664</v>
      </c>
      <c r="D256" s="111"/>
      <c r="E256" s="23"/>
      <c r="F256" s="124"/>
      <c r="G256" s="499"/>
      <c r="H256" s="126"/>
      <c r="I256" s="126"/>
      <c r="J256" s="23"/>
      <c r="K256" s="124"/>
      <c r="L256" s="126"/>
      <c r="M256" s="126"/>
      <c r="N256" s="126"/>
      <c r="O256" s="126"/>
      <c r="P256" s="124"/>
      <c r="Q256" s="126"/>
      <c r="R256" s="126"/>
      <c r="S256" s="126"/>
      <c r="T256" s="183"/>
      <c r="U256" s="183"/>
      <c r="V256" s="183"/>
    </row>
    <row r="257" spans="1:22" ht="15.75" hidden="1" x14ac:dyDescent="0.25">
      <c r="A257" s="111"/>
      <c r="B257" s="108"/>
      <c r="C257" s="111"/>
      <c r="D257" s="114" t="s">
        <v>665</v>
      </c>
      <c r="E257" s="23"/>
      <c r="F257" s="124">
        <f t="shared" ref="F257:F266" si="66">SUM(G257:I257)</f>
        <v>0</v>
      </c>
      <c r="G257" s="500"/>
      <c r="H257" s="125"/>
      <c r="I257" s="125"/>
      <c r="J257" s="23"/>
      <c r="K257" s="124">
        <f t="shared" ref="K257:K266" si="67">SUM(L257:N257)</f>
        <v>0</v>
      </c>
      <c r="L257" s="125"/>
      <c r="M257" s="125"/>
      <c r="N257" s="125"/>
      <c r="O257" s="126"/>
      <c r="P257" s="124">
        <f t="shared" ref="P257:P266" si="68">SUM(Q257:S257)</f>
        <v>0</v>
      </c>
      <c r="Q257" s="125"/>
      <c r="R257" s="125"/>
      <c r="S257" s="125"/>
      <c r="T257" s="183"/>
      <c r="U257" s="183"/>
      <c r="V257" s="183"/>
    </row>
    <row r="258" spans="1:22" ht="15.75" hidden="1" x14ac:dyDescent="0.25">
      <c r="A258" s="110"/>
      <c r="B258" s="108"/>
      <c r="C258" s="110"/>
      <c r="D258" s="114" t="s">
        <v>666</v>
      </c>
      <c r="E258" s="23"/>
      <c r="F258" s="124">
        <f t="shared" si="66"/>
        <v>0</v>
      </c>
      <c r="G258" s="500"/>
      <c r="H258" s="125"/>
      <c r="I258" s="125"/>
      <c r="J258" s="23"/>
      <c r="K258" s="124">
        <f t="shared" si="67"/>
        <v>0</v>
      </c>
      <c r="L258" s="125"/>
      <c r="M258" s="125"/>
      <c r="N258" s="125"/>
      <c r="O258" s="126"/>
      <c r="P258" s="124">
        <f t="shared" si="68"/>
        <v>0</v>
      </c>
      <c r="Q258" s="125"/>
      <c r="R258" s="125"/>
      <c r="S258" s="125"/>
      <c r="T258" s="183"/>
      <c r="U258" s="183"/>
      <c r="V258" s="183"/>
    </row>
    <row r="259" spans="1:22" ht="15.75" hidden="1" x14ac:dyDescent="0.25">
      <c r="A259" s="111"/>
      <c r="B259" s="108"/>
      <c r="C259" s="111"/>
      <c r="D259" s="114" t="s">
        <v>667</v>
      </c>
      <c r="E259" s="23"/>
      <c r="F259" s="124">
        <f t="shared" si="66"/>
        <v>0</v>
      </c>
      <c r="G259" s="500"/>
      <c r="H259" s="125"/>
      <c r="I259" s="125"/>
      <c r="J259" s="23"/>
      <c r="K259" s="124">
        <f t="shared" si="67"/>
        <v>0</v>
      </c>
      <c r="L259" s="125"/>
      <c r="M259" s="125"/>
      <c r="N259" s="125"/>
      <c r="O259" s="126"/>
      <c r="P259" s="124">
        <f t="shared" si="68"/>
        <v>0</v>
      </c>
      <c r="Q259" s="125"/>
      <c r="R259" s="125"/>
      <c r="S259" s="125"/>
      <c r="T259" s="183"/>
      <c r="U259" s="183"/>
      <c r="V259" s="183"/>
    </row>
    <row r="260" spans="1:22" ht="15.75" hidden="1" x14ac:dyDescent="0.25">
      <c r="A260" s="111"/>
      <c r="B260" s="108"/>
      <c r="C260" s="111"/>
      <c r="D260" s="114" t="s">
        <v>668</v>
      </c>
      <c r="E260" s="23"/>
      <c r="F260" s="124">
        <f t="shared" si="66"/>
        <v>0</v>
      </c>
      <c r="G260" s="500"/>
      <c r="H260" s="125"/>
      <c r="I260" s="125"/>
      <c r="J260" s="23"/>
      <c r="K260" s="124">
        <f t="shared" si="67"/>
        <v>0</v>
      </c>
      <c r="L260" s="125"/>
      <c r="M260" s="125"/>
      <c r="N260" s="125"/>
      <c r="O260" s="126"/>
      <c r="P260" s="124">
        <f t="shared" si="68"/>
        <v>0</v>
      </c>
      <c r="Q260" s="125"/>
      <c r="R260" s="125"/>
      <c r="S260" s="125"/>
      <c r="T260" s="183"/>
      <c r="U260" s="183"/>
      <c r="V260" s="183"/>
    </row>
    <row r="261" spans="1:22" ht="15.75" hidden="1" x14ac:dyDescent="0.25">
      <c r="A261" s="111"/>
      <c r="B261" s="108"/>
      <c r="C261" s="111"/>
      <c r="D261" s="114" t="s">
        <v>669</v>
      </c>
      <c r="E261" s="23"/>
      <c r="F261" s="124">
        <f t="shared" si="66"/>
        <v>0</v>
      </c>
      <c r="G261" s="500"/>
      <c r="H261" s="125"/>
      <c r="I261" s="125"/>
      <c r="J261" s="23"/>
      <c r="K261" s="124">
        <f t="shared" si="67"/>
        <v>0</v>
      </c>
      <c r="L261" s="125"/>
      <c r="M261" s="125"/>
      <c r="N261" s="125"/>
      <c r="O261" s="126"/>
      <c r="P261" s="124">
        <f t="shared" si="68"/>
        <v>0</v>
      </c>
      <c r="Q261" s="125"/>
      <c r="R261" s="125"/>
      <c r="S261" s="125"/>
      <c r="T261" s="183"/>
      <c r="U261" s="183"/>
      <c r="V261" s="183"/>
    </row>
    <row r="262" spans="1:22" ht="15.75" hidden="1" x14ac:dyDescent="0.25">
      <c r="A262" s="111"/>
      <c r="B262" s="108"/>
      <c r="C262" s="111"/>
      <c r="D262" s="114" t="s">
        <v>670</v>
      </c>
      <c r="E262" s="23"/>
      <c r="F262" s="124">
        <f t="shared" si="66"/>
        <v>0</v>
      </c>
      <c r="G262" s="500"/>
      <c r="H262" s="125"/>
      <c r="I262" s="125"/>
      <c r="J262" s="23"/>
      <c r="K262" s="124">
        <f t="shared" si="67"/>
        <v>0</v>
      </c>
      <c r="L262" s="125"/>
      <c r="M262" s="125"/>
      <c r="N262" s="125"/>
      <c r="O262" s="126"/>
      <c r="P262" s="124">
        <f t="shared" si="68"/>
        <v>0</v>
      </c>
      <c r="Q262" s="125"/>
      <c r="R262" s="125"/>
      <c r="S262" s="125"/>
      <c r="T262" s="183"/>
      <c r="U262" s="183"/>
      <c r="V262" s="183"/>
    </row>
    <row r="263" spans="1:22" ht="15.75" hidden="1" x14ac:dyDescent="0.25">
      <c r="A263" s="111"/>
      <c r="B263" s="108"/>
      <c r="C263" s="111"/>
      <c r="D263" s="114" t="s">
        <v>671</v>
      </c>
      <c r="E263" s="23"/>
      <c r="F263" s="124">
        <f t="shared" si="66"/>
        <v>0</v>
      </c>
      <c r="G263" s="500"/>
      <c r="H263" s="125"/>
      <c r="I263" s="125"/>
      <c r="J263" s="23"/>
      <c r="K263" s="124">
        <f t="shared" si="67"/>
        <v>0</v>
      </c>
      <c r="L263" s="125"/>
      <c r="M263" s="125"/>
      <c r="N263" s="125"/>
      <c r="O263" s="126"/>
      <c r="P263" s="124">
        <f t="shared" si="68"/>
        <v>0</v>
      </c>
      <c r="Q263" s="125"/>
      <c r="R263" s="125"/>
      <c r="S263" s="125"/>
      <c r="T263" s="183"/>
      <c r="U263" s="183"/>
      <c r="V263" s="183"/>
    </row>
    <row r="264" spans="1:22" ht="15.75" hidden="1" x14ac:dyDescent="0.25">
      <c r="A264" s="110"/>
      <c r="B264" s="108"/>
      <c r="C264" s="110"/>
      <c r="D264" s="114" t="s">
        <v>672</v>
      </c>
      <c r="E264" s="23"/>
      <c r="F264" s="124">
        <f t="shared" si="66"/>
        <v>0</v>
      </c>
      <c r="G264" s="500"/>
      <c r="H264" s="125"/>
      <c r="I264" s="125"/>
      <c r="J264" s="23"/>
      <c r="K264" s="124">
        <f t="shared" si="67"/>
        <v>0</v>
      </c>
      <c r="L264" s="125"/>
      <c r="M264" s="125"/>
      <c r="N264" s="125"/>
      <c r="O264" s="126"/>
      <c r="P264" s="124">
        <f t="shared" si="68"/>
        <v>0</v>
      </c>
      <c r="Q264" s="125"/>
      <c r="R264" s="125"/>
      <c r="S264" s="125"/>
      <c r="T264" s="183"/>
      <c r="U264" s="183"/>
      <c r="V264" s="183"/>
    </row>
    <row r="265" spans="1:22" ht="15.75" hidden="1" x14ac:dyDescent="0.25">
      <c r="A265" s="111"/>
      <c r="B265" s="108"/>
      <c r="C265" s="111"/>
      <c r="D265" s="114" t="s">
        <v>673</v>
      </c>
      <c r="E265" s="23"/>
      <c r="F265" s="124">
        <f t="shared" si="66"/>
        <v>0</v>
      </c>
      <c r="G265" s="500"/>
      <c r="H265" s="125"/>
      <c r="I265" s="125"/>
      <c r="J265" s="23"/>
      <c r="K265" s="124">
        <f t="shared" si="67"/>
        <v>0</v>
      </c>
      <c r="L265" s="125"/>
      <c r="M265" s="125"/>
      <c r="N265" s="125"/>
      <c r="O265" s="126"/>
      <c r="P265" s="124">
        <f t="shared" si="68"/>
        <v>0</v>
      </c>
      <c r="Q265" s="125"/>
      <c r="R265" s="125"/>
      <c r="S265" s="125"/>
      <c r="T265" s="183"/>
      <c r="U265" s="183"/>
      <c r="V265" s="183"/>
    </row>
    <row r="266" spans="1:22" ht="15.75" hidden="1" x14ac:dyDescent="0.25">
      <c r="A266" s="111"/>
      <c r="B266" s="108"/>
      <c r="C266" s="111"/>
      <c r="D266" s="114" t="s">
        <v>674</v>
      </c>
      <c r="E266" s="23"/>
      <c r="F266" s="124">
        <f t="shared" si="66"/>
        <v>0</v>
      </c>
      <c r="G266" s="500"/>
      <c r="H266" s="125"/>
      <c r="I266" s="125"/>
      <c r="J266" s="23"/>
      <c r="K266" s="124">
        <f t="shared" si="67"/>
        <v>0</v>
      </c>
      <c r="L266" s="125"/>
      <c r="M266" s="125"/>
      <c r="N266" s="125"/>
      <c r="O266" s="126"/>
      <c r="P266" s="124">
        <f t="shared" si="68"/>
        <v>0</v>
      </c>
      <c r="Q266" s="125"/>
      <c r="R266" s="125"/>
      <c r="S266" s="125"/>
      <c r="T266" s="183"/>
      <c r="U266" s="183"/>
      <c r="V266" s="183"/>
    </row>
    <row r="267" spans="1:22" ht="15.75" hidden="1" x14ac:dyDescent="0.25">
      <c r="A267" s="110"/>
      <c r="B267" s="108"/>
      <c r="C267" s="110" t="s">
        <v>675</v>
      </c>
      <c r="D267" s="110"/>
      <c r="E267" s="26"/>
      <c r="F267" s="124"/>
      <c r="G267" s="499"/>
      <c r="H267" s="126"/>
      <c r="I267" s="126"/>
      <c r="J267" s="26"/>
      <c r="K267" s="124"/>
      <c r="L267" s="126"/>
      <c r="M267" s="126"/>
      <c r="N267" s="126"/>
      <c r="O267" s="126"/>
      <c r="P267" s="124"/>
      <c r="Q267" s="126"/>
      <c r="R267" s="126"/>
      <c r="S267" s="126"/>
      <c r="T267" s="183"/>
      <c r="U267" s="183"/>
      <c r="V267" s="183"/>
    </row>
    <row r="268" spans="1:22" ht="15.75" hidden="1" x14ac:dyDescent="0.25">
      <c r="A268" s="110"/>
      <c r="B268" s="108"/>
      <c r="C268" s="110"/>
      <c r="D268" s="114" t="s">
        <v>676</v>
      </c>
      <c r="E268" s="114"/>
      <c r="F268" s="124">
        <f>SUM(G268:I268)</f>
        <v>0</v>
      </c>
      <c r="G268" s="500"/>
      <c r="H268" s="125"/>
      <c r="I268" s="125"/>
      <c r="J268" s="114"/>
      <c r="K268" s="124">
        <f>SUM(L268:N268)</f>
        <v>0</v>
      </c>
      <c r="L268" s="125"/>
      <c r="M268" s="125"/>
      <c r="N268" s="125"/>
      <c r="O268" s="126"/>
      <c r="P268" s="124">
        <f>SUM(Q268:S268)</f>
        <v>0</v>
      </c>
      <c r="Q268" s="125"/>
      <c r="R268" s="125"/>
      <c r="S268" s="125"/>
      <c r="T268" s="183"/>
      <c r="U268" s="183"/>
      <c r="V268" s="183"/>
    </row>
    <row r="269" spans="1:22" ht="15.75" hidden="1" x14ac:dyDescent="0.25">
      <c r="A269" s="111"/>
      <c r="B269" s="108"/>
      <c r="C269" s="111"/>
      <c r="D269" s="114" t="s">
        <v>677</v>
      </c>
      <c r="E269" s="114"/>
      <c r="F269" s="124">
        <f>SUM(G269:I269)</f>
        <v>0</v>
      </c>
      <c r="G269" s="500"/>
      <c r="H269" s="125"/>
      <c r="I269" s="125"/>
      <c r="J269" s="114"/>
      <c r="K269" s="124">
        <f>SUM(L269:N269)</f>
        <v>0</v>
      </c>
      <c r="L269" s="125"/>
      <c r="M269" s="125"/>
      <c r="N269" s="125"/>
      <c r="O269" s="126"/>
      <c r="P269" s="124">
        <f>SUM(Q269:S269)</f>
        <v>0</v>
      </c>
      <c r="Q269" s="125"/>
      <c r="R269" s="125"/>
      <c r="S269" s="125"/>
      <c r="T269" s="183"/>
      <c r="U269" s="183"/>
      <c r="V269" s="183"/>
    </row>
    <row r="270" spans="1:22" ht="15.75" hidden="1" x14ac:dyDescent="0.25">
      <c r="A270" s="111"/>
      <c r="B270" s="108"/>
      <c r="C270" s="110" t="s">
        <v>678</v>
      </c>
      <c r="D270" s="111"/>
      <c r="E270" s="23"/>
      <c r="F270" s="124"/>
      <c r="G270" s="499"/>
      <c r="H270" s="126"/>
      <c r="I270" s="126"/>
      <c r="J270" s="23"/>
      <c r="K270" s="124"/>
      <c r="L270" s="126"/>
      <c r="M270" s="126"/>
      <c r="N270" s="126"/>
      <c r="O270" s="126"/>
      <c r="P270" s="124"/>
      <c r="Q270" s="126"/>
      <c r="R270" s="126"/>
      <c r="S270" s="126"/>
      <c r="T270" s="183"/>
      <c r="U270" s="183"/>
      <c r="V270" s="183"/>
    </row>
    <row r="271" spans="1:22" ht="15.75" hidden="1" x14ac:dyDescent="0.25">
      <c r="A271" s="111"/>
      <c r="B271" s="108"/>
      <c r="C271" s="111"/>
      <c r="D271" s="114" t="s">
        <v>679</v>
      </c>
      <c r="E271" s="23"/>
      <c r="F271" s="124">
        <f>SUM(G271:I271)</f>
        <v>0</v>
      </c>
      <c r="G271" s="500"/>
      <c r="H271" s="125"/>
      <c r="I271" s="125"/>
      <c r="J271" s="23"/>
      <c r="K271" s="124">
        <f>SUM(L271:N271)</f>
        <v>0</v>
      </c>
      <c r="L271" s="125"/>
      <c r="M271" s="125"/>
      <c r="N271" s="125"/>
      <c r="O271" s="126"/>
      <c r="P271" s="124">
        <f>SUM(Q271:S271)</f>
        <v>0</v>
      </c>
      <c r="Q271" s="125"/>
      <c r="R271" s="125"/>
      <c r="S271" s="125"/>
      <c r="T271" s="183"/>
      <c r="U271" s="183"/>
      <c r="V271" s="183"/>
    </row>
    <row r="272" spans="1:22" ht="15.75" x14ac:dyDescent="0.25">
      <c r="A272" s="111"/>
      <c r="B272" s="108"/>
      <c r="C272" s="119" t="s">
        <v>680</v>
      </c>
      <c r="D272" s="111"/>
      <c r="E272" s="23"/>
      <c r="F272" s="134">
        <f>SUM(F243:F271)</f>
        <v>120777478.38999999</v>
      </c>
      <c r="G272" s="507">
        <f>SUM(G243:G271)</f>
        <v>109984827.28000002</v>
      </c>
      <c r="H272" s="134">
        <f t="shared" ref="H272:I272" si="69">SUM(H243:H271)</f>
        <v>3508714.2099999995</v>
      </c>
      <c r="I272" s="134">
        <f t="shared" si="69"/>
        <v>7283936.9000000004</v>
      </c>
      <c r="J272" s="23"/>
      <c r="K272" s="134">
        <f>SUM(K243:K271)</f>
        <v>106389181.03</v>
      </c>
      <c r="L272" s="134">
        <f t="shared" ref="L272:N272" si="70">SUM(L243:L271)</f>
        <v>88415173.650000006</v>
      </c>
      <c r="M272" s="134">
        <f t="shared" si="70"/>
        <v>11332767.640000001</v>
      </c>
      <c r="N272" s="134">
        <f t="shared" si="70"/>
        <v>6641239.7400000002</v>
      </c>
      <c r="O272" s="126"/>
      <c r="P272" s="134">
        <f>SUM(P243:P271)</f>
        <v>45966064.100000001</v>
      </c>
      <c r="Q272" s="134">
        <v>37309797.859999999</v>
      </c>
      <c r="R272" s="134">
        <v>7936294.9100000011</v>
      </c>
      <c r="S272" s="134">
        <v>719971.33</v>
      </c>
      <c r="T272" s="183"/>
      <c r="U272" s="183">
        <f>+K272-P272</f>
        <v>60423116.93</v>
      </c>
      <c r="V272" s="183"/>
    </row>
    <row r="273" spans="1:33" ht="15.75" x14ac:dyDescent="0.25">
      <c r="A273" s="108" t="s">
        <v>681</v>
      </c>
      <c r="B273" s="111"/>
      <c r="C273" s="111"/>
      <c r="D273" s="111"/>
      <c r="E273" s="23"/>
      <c r="F273" s="134">
        <f>F150+F231+F240+F272</f>
        <v>1007934254.8699999</v>
      </c>
      <c r="G273" s="507">
        <f>G150+G231+G240+G272</f>
        <v>950332688.89999986</v>
      </c>
      <c r="H273" s="134">
        <f t="shared" ref="H273:I273" si="71">H150+H231+H240+H272</f>
        <v>19419131.350000001</v>
      </c>
      <c r="I273" s="134">
        <f t="shared" si="71"/>
        <v>38182434.619999997</v>
      </c>
      <c r="J273" s="23"/>
      <c r="K273" s="134">
        <f>K150+K231+K240+K272</f>
        <v>1092835309.1900001</v>
      </c>
      <c r="L273" s="134">
        <f t="shared" ref="L273:N273" si="72">L150+L231+L240+L272</f>
        <v>899177902.25999999</v>
      </c>
      <c r="M273" s="134">
        <f t="shared" si="72"/>
        <v>27816326.890000001</v>
      </c>
      <c r="N273" s="134">
        <f t="shared" si="72"/>
        <v>165841080.04000002</v>
      </c>
      <c r="O273" s="137"/>
      <c r="P273" s="134">
        <f>P150+P231+P240+P272</f>
        <v>784607083.9799999</v>
      </c>
      <c r="Q273" s="134">
        <v>743238486.78000009</v>
      </c>
      <c r="R273" s="134">
        <v>28314435.469999999</v>
      </c>
      <c r="S273" s="134">
        <v>13054161.73</v>
      </c>
      <c r="T273" s="183"/>
      <c r="U273" s="183">
        <f>+K273-P273</f>
        <v>308228225.21000016</v>
      </c>
      <c r="V273" s="183"/>
    </row>
    <row r="274" spans="1:33" ht="15.75" x14ac:dyDescent="0.25">
      <c r="A274" s="108" t="s">
        <v>682</v>
      </c>
      <c r="B274" s="111"/>
      <c r="C274" s="111"/>
      <c r="D274" s="111"/>
      <c r="E274" s="23"/>
      <c r="F274" s="134">
        <f>F116-F273</f>
        <v>324083230.02000022</v>
      </c>
      <c r="G274" s="507">
        <f>G116-G273</f>
        <v>318619843.51999998</v>
      </c>
      <c r="H274" s="134">
        <f t="shared" ref="H274" si="73">H116-H273</f>
        <v>43645821.11999999</v>
      </c>
      <c r="I274" s="134">
        <f>I116-I273</f>
        <v>-38182434.619999997</v>
      </c>
      <c r="J274" s="23"/>
      <c r="K274" s="134">
        <f>K116-K273</f>
        <v>214467289.83999991</v>
      </c>
      <c r="L274" s="134">
        <f>L116-L273</f>
        <v>347919238.00999999</v>
      </c>
      <c r="M274" s="134">
        <f t="shared" ref="M274" si="74">M116-M273</f>
        <v>31532792.589999996</v>
      </c>
      <c r="N274" s="134">
        <f>N116-N273</f>
        <v>-164984740.76000002</v>
      </c>
      <c r="O274" s="126"/>
      <c r="P274" s="134">
        <f>P116-P273</f>
        <v>393423878.16999996</v>
      </c>
      <c r="Q274" s="134">
        <v>372393529.61999977</v>
      </c>
      <c r="R274" s="134">
        <v>29956769.029999994</v>
      </c>
      <c r="S274" s="134">
        <v>-8926420.4800000004</v>
      </c>
      <c r="T274" s="183"/>
      <c r="U274" s="183"/>
      <c r="V274" s="183"/>
    </row>
    <row r="275" spans="1:33" ht="15.75" x14ac:dyDescent="0.25">
      <c r="A275" s="108" t="s">
        <v>683</v>
      </c>
      <c r="B275" s="26"/>
      <c r="C275" s="110"/>
      <c r="D275" s="110"/>
      <c r="E275" s="110"/>
      <c r="F275" s="138"/>
      <c r="G275" s="500"/>
      <c r="H275" s="125"/>
      <c r="I275" s="125"/>
      <c r="J275" s="110"/>
      <c r="K275" s="138"/>
      <c r="L275" s="125"/>
      <c r="M275" s="125"/>
      <c r="N275" s="125"/>
      <c r="O275" s="126"/>
      <c r="P275" s="138"/>
      <c r="Q275" s="125"/>
      <c r="R275" s="125"/>
      <c r="S275" s="125"/>
      <c r="T275" s="183"/>
      <c r="U275" s="183"/>
      <c r="V275" s="183"/>
    </row>
    <row r="276" spans="1:33" ht="15.75" x14ac:dyDescent="0.25">
      <c r="A276" s="26"/>
      <c r="B276" s="108" t="s">
        <v>684</v>
      </c>
      <c r="C276" s="26"/>
      <c r="D276" s="110"/>
      <c r="E276" s="26"/>
      <c r="F276" s="124"/>
      <c r="G276" s="499"/>
      <c r="H276" s="126"/>
      <c r="I276" s="126"/>
      <c r="J276" s="26"/>
      <c r="K276" s="124"/>
      <c r="L276" s="126"/>
      <c r="M276" s="126"/>
      <c r="N276" s="126"/>
      <c r="O276" s="126"/>
      <c r="P276" s="124"/>
      <c r="Q276" s="126"/>
      <c r="R276" s="126"/>
      <c r="S276" s="126"/>
      <c r="T276" s="183"/>
      <c r="U276" s="183"/>
      <c r="V276" s="183"/>
    </row>
    <row r="277" spans="1:33" ht="15.75" hidden="1" x14ac:dyDescent="0.25">
      <c r="A277" s="26"/>
      <c r="B277" s="108"/>
      <c r="C277" s="120" t="s">
        <v>685</v>
      </c>
      <c r="D277" s="26"/>
      <c r="E277" s="26"/>
      <c r="F277" s="124">
        <f t="shared" ref="F277:F282" si="75">SUM(G277:I277)</f>
        <v>0</v>
      </c>
      <c r="G277" s="500"/>
      <c r="H277" s="125"/>
      <c r="I277" s="125"/>
      <c r="J277" s="26"/>
      <c r="K277" s="124">
        <f t="shared" ref="K277:K282" si="76">SUM(L277:N277)</f>
        <v>0</v>
      </c>
      <c r="L277" s="125"/>
      <c r="M277" s="125"/>
      <c r="N277" s="125"/>
      <c r="O277" s="126"/>
      <c r="P277" s="124">
        <f t="shared" ref="P277:P282" si="77">SUM(Q277:S277)</f>
        <v>0</v>
      </c>
      <c r="Q277" s="125"/>
      <c r="R277" s="125"/>
      <c r="S277" s="125"/>
      <c r="T277" s="183"/>
      <c r="U277" s="183"/>
      <c r="V277" s="183"/>
    </row>
    <row r="278" spans="1:33" ht="15.75" hidden="1" x14ac:dyDescent="0.25">
      <c r="A278" s="26"/>
      <c r="B278" s="108"/>
      <c r="C278" s="120" t="s">
        <v>686</v>
      </c>
      <c r="D278" s="26"/>
      <c r="E278" s="26"/>
      <c r="F278" s="124">
        <f t="shared" si="75"/>
        <v>0</v>
      </c>
      <c r="G278" s="500"/>
      <c r="H278" s="125"/>
      <c r="I278" s="125"/>
      <c r="J278" s="26"/>
      <c r="K278" s="124">
        <f t="shared" si="76"/>
        <v>0</v>
      </c>
      <c r="L278" s="125"/>
      <c r="M278" s="125"/>
      <c r="N278" s="125"/>
      <c r="O278" s="126"/>
      <c r="P278" s="124">
        <f t="shared" si="77"/>
        <v>0</v>
      </c>
      <c r="Q278" s="125"/>
      <c r="R278" s="125"/>
      <c r="S278" s="125"/>
      <c r="T278" s="183"/>
      <c r="U278" s="183"/>
      <c r="V278" s="183"/>
    </row>
    <row r="279" spans="1:33" ht="15.75" hidden="1" x14ac:dyDescent="0.25">
      <c r="A279" s="26"/>
      <c r="B279" s="108"/>
      <c r="C279" s="120" t="s">
        <v>687</v>
      </c>
      <c r="D279" s="26"/>
      <c r="E279" s="26"/>
      <c r="F279" s="124">
        <f t="shared" si="75"/>
        <v>0</v>
      </c>
      <c r="G279" s="500"/>
      <c r="H279" s="125"/>
      <c r="I279" s="125"/>
      <c r="J279" s="26"/>
      <c r="K279" s="124">
        <f t="shared" si="76"/>
        <v>0</v>
      </c>
      <c r="L279" s="125"/>
      <c r="M279" s="125"/>
      <c r="N279" s="125"/>
      <c r="O279" s="126"/>
      <c r="P279" s="124">
        <f t="shared" si="77"/>
        <v>0</v>
      </c>
      <c r="Q279" s="125"/>
      <c r="R279" s="125"/>
      <c r="S279" s="125"/>
      <c r="T279" s="183"/>
      <c r="U279" s="183"/>
      <c r="V279" s="183"/>
    </row>
    <row r="280" spans="1:33" ht="15.75" hidden="1" x14ac:dyDescent="0.25">
      <c r="A280" s="26"/>
      <c r="B280" s="108"/>
      <c r="C280" s="120" t="s">
        <v>688</v>
      </c>
      <c r="D280" s="26"/>
      <c r="E280" s="26"/>
      <c r="F280" s="124">
        <f t="shared" si="75"/>
        <v>0</v>
      </c>
      <c r="G280" s="500"/>
      <c r="H280" s="125"/>
      <c r="I280" s="125"/>
      <c r="J280" s="26"/>
      <c r="K280" s="124">
        <f t="shared" si="76"/>
        <v>0</v>
      </c>
      <c r="L280" s="125"/>
      <c r="M280" s="125"/>
      <c r="N280" s="125"/>
      <c r="O280" s="126"/>
      <c r="P280" s="124">
        <f t="shared" si="77"/>
        <v>0</v>
      </c>
      <c r="Q280" s="125"/>
      <c r="R280" s="125"/>
      <c r="S280" s="125"/>
      <c r="T280" s="183"/>
      <c r="U280" s="183"/>
      <c r="V280" s="183"/>
    </row>
    <row r="281" spans="1:33" ht="15.75" x14ac:dyDescent="0.25">
      <c r="A281" s="26"/>
      <c r="B281" s="108"/>
      <c r="C281" s="120" t="s">
        <v>689</v>
      </c>
      <c r="D281" s="26"/>
      <c r="E281" s="26"/>
      <c r="F281" s="124">
        <f t="shared" si="75"/>
        <v>8834221.1400000006</v>
      </c>
      <c r="G281" s="499">
        <v>8834221.1400000006</v>
      </c>
      <c r="H281" s="125">
        <v>0</v>
      </c>
      <c r="I281" s="125">
        <v>0</v>
      </c>
      <c r="J281" s="26"/>
      <c r="K281" s="124">
        <f t="shared" si="76"/>
        <v>16662520.800000001</v>
      </c>
      <c r="L281" s="126">
        <v>16662520.800000001</v>
      </c>
      <c r="M281" s="125">
        <v>0</v>
      </c>
      <c r="N281" s="125">
        <v>0</v>
      </c>
      <c r="O281" s="126"/>
      <c r="P281" s="124">
        <f t="shared" si="77"/>
        <v>17955117.07</v>
      </c>
      <c r="Q281" s="126">
        <v>17955117.07</v>
      </c>
      <c r="R281" s="125">
        <v>0</v>
      </c>
      <c r="S281" s="125">
        <v>0</v>
      </c>
      <c r="T281" s="183"/>
      <c r="U281" s="183"/>
      <c r="V281" s="183"/>
    </row>
    <row r="282" spans="1:33" ht="15.75" x14ac:dyDescent="0.25">
      <c r="A282" s="26"/>
      <c r="B282" s="108"/>
      <c r="C282" s="120" t="s">
        <v>690</v>
      </c>
      <c r="D282" s="26"/>
      <c r="E282" s="26"/>
      <c r="F282" s="124">
        <f t="shared" si="75"/>
        <v>8994159.8699999992</v>
      </c>
      <c r="G282" s="500">
        <v>8994159.8699999992</v>
      </c>
      <c r="H282" s="125">
        <v>0</v>
      </c>
      <c r="I282" s="125">
        <v>0</v>
      </c>
      <c r="J282" s="26"/>
      <c r="K282" s="124">
        <f t="shared" si="76"/>
        <v>4271133.54</v>
      </c>
      <c r="L282" s="125">
        <v>4271133.54</v>
      </c>
      <c r="M282" s="125">
        <v>0</v>
      </c>
      <c r="N282" s="125">
        <v>0</v>
      </c>
      <c r="O282" s="128"/>
      <c r="P282" s="124">
        <f t="shared" si="77"/>
        <v>11696870.129999999</v>
      </c>
      <c r="Q282" s="125">
        <v>11696870.129999999</v>
      </c>
      <c r="R282" s="125">
        <v>0</v>
      </c>
      <c r="S282" s="125">
        <v>0</v>
      </c>
      <c r="T282" s="183"/>
      <c r="U282" s="183"/>
      <c r="V282" s="198"/>
      <c r="W282" s="50"/>
      <c r="X282" s="50"/>
      <c r="Z282" s="50"/>
      <c r="AA282" s="50"/>
      <c r="AB282" s="50"/>
      <c r="AC282" s="50"/>
      <c r="AD282" s="50"/>
      <c r="AE282" s="50"/>
      <c r="AF282" s="50"/>
      <c r="AG282" s="50"/>
    </row>
    <row r="283" spans="1:33" ht="15.75" x14ac:dyDescent="0.25">
      <c r="A283" s="26"/>
      <c r="B283" s="108" t="s">
        <v>691</v>
      </c>
      <c r="C283" s="26"/>
      <c r="D283" s="110"/>
      <c r="E283" s="26"/>
      <c r="F283" s="124"/>
      <c r="G283" s="499"/>
      <c r="H283" s="126"/>
      <c r="I283" s="126"/>
      <c r="J283" s="26"/>
      <c r="K283" s="124"/>
      <c r="L283" s="126"/>
      <c r="M283" s="126"/>
      <c r="N283" s="126"/>
      <c r="O283" s="128"/>
      <c r="P283" s="124"/>
      <c r="Q283" s="126"/>
      <c r="R283" s="126"/>
      <c r="S283" s="126"/>
      <c r="T283" s="183"/>
      <c r="U283" s="183"/>
      <c r="V283" s="198"/>
      <c r="W283" s="50"/>
      <c r="X283" s="50"/>
      <c r="Z283" s="50"/>
      <c r="AA283" s="50"/>
      <c r="AB283" s="50"/>
      <c r="AC283" s="50"/>
      <c r="AD283" s="50"/>
      <c r="AE283" s="50"/>
      <c r="AF283" s="50"/>
      <c r="AG283" s="50"/>
    </row>
    <row r="284" spans="1:33" ht="15.75" hidden="1" x14ac:dyDescent="0.25">
      <c r="A284" s="26"/>
      <c r="B284" s="108"/>
      <c r="C284" s="120" t="s">
        <v>692</v>
      </c>
      <c r="D284" s="26"/>
      <c r="E284" s="26"/>
      <c r="F284" s="124">
        <f>SUM(G284:I284)</f>
        <v>0</v>
      </c>
      <c r="G284" s="499"/>
      <c r="H284" s="125"/>
      <c r="I284" s="125"/>
      <c r="J284" s="26"/>
      <c r="K284" s="124">
        <f>SUM(L284:N284)</f>
        <v>0</v>
      </c>
      <c r="L284" s="126"/>
      <c r="M284" s="125"/>
      <c r="N284" s="125"/>
      <c r="O284" s="128"/>
      <c r="P284" s="124">
        <f>SUM(Q284:S284)</f>
        <v>0</v>
      </c>
      <c r="Q284" s="126"/>
      <c r="R284" s="125"/>
      <c r="S284" s="125"/>
      <c r="T284" s="183"/>
      <c r="U284" s="183"/>
      <c r="V284" s="198"/>
      <c r="W284" s="50"/>
      <c r="X284" s="50"/>
      <c r="Z284" s="50"/>
      <c r="AA284" s="50"/>
      <c r="AB284" s="50"/>
      <c r="AC284" s="50"/>
      <c r="AD284" s="50"/>
      <c r="AE284" s="50"/>
      <c r="AF284" s="50"/>
      <c r="AG284" s="50"/>
    </row>
    <row r="285" spans="1:33" ht="15.75" hidden="1" x14ac:dyDescent="0.25">
      <c r="A285" s="26"/>
      <c r="B285" s="108"/>
      <c r="C285" s="120" t="s">
        <v>693</v>
      </c>
      <c r="D285" s="26"/>
      <c r="E285" s="26"/>
      <c r="F285" s="124">
        <f>SUM(G285:I285)</f>
        <v>0</v>
      </c>
      <c r="G285" s="499"/>
      <c r="H285" s="125"/>
      <c r="I285" s="125"/>
      <c r="J285" s="26"/>
      <c r="K285" s="124">
        <f>SUM(L285:N285)</f>
        <v>0</v>
      </c>
      <c r="L285" s="126"/>
      <c r="M285" s="125"/>
      <c r="N285" s="125"/>
      <c r="O285" s="128"/>
      <c r="P285" s="124">
        <f>SUM(Q285:S285)</f>
        <v>0</v>
      </c>
      <c r="Q285" s="126"/>
      <c r="R285" s="125"/>
      <c r="S285" s="125"/>
      <c r="T285" s="183"/>
      <c r="U285" s="183"/>
      <c r="V285" s="197"/>
      <c r="Z285" s="49"/>
    </row>
    <row r="286" spans="1:33" ht="15.75" x14ac:dyDescent="0.25">
      <c r="A286" s="26"/>
      <c r="B286" s="108"/>
      <c r="C286" s="120" t="s">
        <v>694</v>
      </c>
      <c r="D286" s="26"/>
      <c r="E286" s="26"/>
      <c r="F286" s="124">
        <f>SUM(G286:I286)</f>
        <v>135219213</v>
      </c>
      <c r="G286" s="500">
        <v>0</v>
      </c>
      <c r="H286" s="125">
        <v>0</v>
      </c>
      <c r="I286" s="125">
        <v>135219213</v>
      </c>
      <c r="J286" s="26"/>
      <c r="K286" s="124">
        <f>SUM(L286:N286)</f>
        <v>169841768.31999999</v>
      </c>
      <c r="L286" s="125">
        <v>0</v>
      </c>
      <c r="M286" s="125">
        <v>0</v>
      </c>
      <c r="N286" s="125">
        <v>169841768.31999999</v>
      </c>
      <c r="O286" s="126"/>
      <c r="P286" s="124">
        <f>SUM(Q286:S286)</f>
        <v>0</v>
      </c>
      <c r="Q286" s="126"/>
      <c r="R286" s="125"/>
      <c r="S286" s="125"/>
      <c r="T286" s="183"/>
      <c r="U286" s="183"/>
      <c r="V286" s="183"/>
    </row>
    <row r="287" spans="1:33" ht="15.75" hidden="1" x14ac:dyDescent="0.25">
      <c r="A287" s="26"/>
      <c r="B287" s="108"/>
      <c r="C287" s="120" t="s">
        <v>695</v>
      </c>
      <c r="D287" s="26"/>
      <c r="E287" s="26"/>
      <c r="F287" s="124">
        <f>SUM(G287:I287)</f>
        <v>0</v>
      </c>
      <c r="G287" s="499"/>
      <c r="H287" s="125"/>
      <c r="I287" s="125"/>
      <c r="J287" s="26"/>
      <c r="K287" s="124">
        <f>SUM(L287:N287)</f>
        <v>0</v>
      </c>
      <c r="L287" s="126"/>
      <c r="M287" s="125"/>
      <c r="N287" s="125"/>
      <c r="O287" s="126"/>
      <c r="P287" s="124">
        <f>SUM(Q287:S287)</f>
        <v>0</v>
      </c>
      <c r="Q287" s="126"/>
      <c r="R287" s="125"/>
      <c r="S287" s="125"/>
      <c r="T287" s="183"/>
      <c r="U287" s="183"/>
      <c r="V287" s="183"/>
    </row>
    <row r="288" spans="1:33" ht="15.75" x14ac:dyDescent="0.25">
      <c r="A288" s="26"/>
      <c r="B288" s="26"/>
      <c r="C288" s="110"/>
      <c r="D288" s="119" t="s">
        <v>696</v>
      </c>
      <c r="E288" s="26"/>
      <c r="F288" s="134">
        <f>SUM(F277:F287)</f>
        <v>153047594.00999999</v>
      </c>
      <c r="G288" s="507">
        <f>SUM(G277:G287)</f>
        <v>17828381.009999998</v>
      </c>
      <c r="H288" s="134">
        <f t="shared" ref="H288:I288" si="78">SUM(H277:H287)</f>
        <v>0</v>
      </c>
      <c r="I288" s="134">
        <f t="shared" si="78"/>
        <v>135219213</v>
      </c>
      <c r="J288" s="26"/>
      <c r="K288" s="134">
        <f>SUM(K277:K287)</f>
        <v>190775422.66</v>
      </c>
      <c r="L288" s="134">
        <f t="shared" ref="L288:N288" si="79">SUM(L277:L287)</f>
        <v>20933654.34</v>
      </c>
      <c r="M288" s="134">
        <f t="shared" si="79"/>
        <v>0</v>
      </c>
      <c r="N288" s="134">
        <f t="shared" si="79"/>
        <v>169841768.31999999</v>
      </c>
      <c r="O288" s="126"/>
      <c r="P288" s="134">
        <f>SUM(P277:P287)</f>
        <v>29651987.199999999</v>
      </c>
      <c r="Q288" s="134">
        <v>29651987.199999999</v>
      </c>
      <c r="R288" s="134">
        <v>0</v>
      </c>
      <c r="S288" s="134">
        <v>0</v>
      </c>
      <c r="T288" s="183"/>
      <c r="U288" s="183">
        <f>+K288-P288</f>
        <v>161123435.46000001</v>
      </c>
      <c r="V288" s="183"/>
    </row>
    <row r="289" spans="1:33" ht="15.75" x14ac:dyDescent="0.25">
      <c r="A289" s="111"/>
      <c r="B289" s="108" t="s">
        <v>697</v>
      </c>
      <c r="C289" s="23"/>
      <c r="D289" s="111"/>
      <c r="E289" s="23"/>
      <c r="F289" s="124"/>
      <c r="G289" s="499"/>
      <c r="H289" s="126"/>
      <c r="I289" s="126"/>
      <c r="J289" s="23"/>
      <c r="K289" s="124"/>
      <c r="L289" s="126"/>
      <c r="M289" s="126"/>
      <c r="N289" s="126"/>
      <c r="O289" s="126"/>
      <c r="P289" s="124"/>
      <c r="Q289" s="126"/>
      <c r="R289" s="126"/>
      <c r="S289" s="126"/>
      <c r="T289" s="183"/>
      <c r="U289" s="183"/>
      <c r="V289" s="183"/>
    </row>
    <row r="290" spans="1:33" ht="15.75" x14ac:dyDescent="0.25">
      <c r="A290" s="111"/>
      <c r="B290" s="108"/>
      <c r="C290" s="120" t="s">
        <v>698</v>
      </c>
      <c r="D290" s="23"/>
      <c r="E290" s="23"/>
      <c r="F290" s="124">
        <f t="shared" ref="F290:F294" si="80">SUM(G290:I290)</f>
        <v>-2660000</v>
      </c>
      <c r="G290" s="497">
        <v>-2660000</v>
      </c>
      <c r="H290" s="125">
        <v>0</v>
      </c>
      <c r="I290" s="125">
        <v>0</v>
      </c>
      <c r="J290" s="23"/>
      <c r="K290" s="124">
        <f t="shared" ref="K290:K294" si="81">SUM(L290:N290)</f>
        <v>-9120000</v>
      </c>
      <c r="L290" s="127">
        <v>-9120000</v>
      </c>
      <c r="M290" s="125">
        <v>0</v>
      </c>
      <c r="N290" s="125">
        <v>0</v>
      </c>
      <c r="O290" s="126"/>
      <c r="P290" s="124">
        <f t="shared" ref="P290:P294" si="82">SUM(Q290:S290)</f>
        <v>-2866000</v>
      </c>
      <c r="Q290" s="127">
        <v>-2866000</v>
      </c>
      <c r="R290" s="125">
        <v>0</v>
      </c>
      <c r="S290" s="125">
        <v>0</v>
      </c>
      <c r="T290" s="183"/>
      <c r="U290" s="183"/>
      <c r="V290" s="183"/>
    </row>
    <row r="291" spans="1:33" ht="15.75" hidden="1" x14ac:dyDescent="0.25">
      <c r="A291" s="110"/>
      <c r="B291" s="108"/>
      <c r="C291" s="120" t="s">
        <v>699</v>
      </c>
      <c r="D291" s="26"/>
      <c r="E291" s="26"/>
      <c r="F291" s="124">
        <f t="shared" si="80"/>
        <v>0</v>
      </c>
      <c r="G291" s="498"/>
      <c r="H291" s="125">
        <v>0</v>
      </c>
      <c r="I291" s="125">
        <v>0</v>
      </c>
      <c r="J291" s="26"/>
      <c r="K291" s="124">
        <f t="shared" si="81"/>
        <v>0</v>
      </c>
      <c r="L291" s="127"/>
      <c r="M291" s="125">
        <v>0</v>
      </c>
      <c r="N291" s="125">
        <v>0</v>
      </c>
      <c r="O291" s="126"/>
      <c r="P291" s="124">
        <f t="shared" si="82"/>
        <v>0</v>
      </c>
      <c r="Q291" s="127"/>
      <c r="R291" s="125">
        <v>0</v>
      </c>
      <c r="S291" s="125">
        <v>0</v>
      </c>
      <c r="T291" s="183"/>
      <c r="U291" s="183"/>
      <c r="V291" s="183"/>
    </row>
    <row r="292" spans="1:33" ht="15.75" x14ac:dyDescent="0.25">
      <c r="A292" s="111"/>
      <c r="B292" s="108"/>
      <c r="C292" s="120" t="s">
        <v>700</v>
      </c>
      <c r="D292" s="23"/>
      <c r="E292" s="23"/>
      <c r="F292" s="124">
        <f t="shared" si="80"/>
        <v>-17828381.010000002</v>
      </c>
      <c r="G292" s="497">
        <v>-17828381.010000002</v>
      </c>
      <c r="H292" s="125">
        <v>0</v>
      </c>
      <c r="I292" s="125">
        <v>0</v>
      </c>
      <c r="J292" s="23"/>
      <c r="K292" s="124">
        <f t="shared" si="81"/>
        <v>-17080408.27</v>
      </c>
      <c r="L292" s="127">
        <v>-17080408.27</v>
      </c>
      <c r="M292" s="125">
        <v>0</v>
      </c>
      <c r="N292" s="125">
        <v>0</v>
      </c>
      <c r="O292" s="126"/>
      <c r="P292" s="124">
        <f t="shared" si="82"/>
        <v>-18191535.350000001</v>
      </c>
      <c r="Q292" s="127">
        <v>-18191535.350000001</v>
      </c>
      <c r="R292" s="125">
        <v>0</v>
      </c>
      <c r="S292" s="125">
        <v>0</v>
      </c>
      <c r="T292" s="183"/>
      <c r="U292" s="183"/>
      <c r="V292" s="183"/>
    </row>
    <row r="293" spans="1:33" ht="15.75" x14ac:dyDescent="0.25">
      <c r="A293" s="111"/>
      <c r="B293" s="108"/>
      <c r="C293" s="120" t="s">
        <v>701</v>
      </c>
      <c r="D293" s="23"/>
      <c r="E293" s="23"/>
      <c r="F293" s="124">
        <f t="shared" si="80"/>
        <v>0</v>
      </c>
      <c r="G293" s="497">
        <v>0</v>
      </c>
      <c r="H293" s="125">
        <v>0</v>
      </c>
      <c r="I293" s="125">
        <v>0</v>
      </c>
      <c r="J293" s="23"/>
      <c r="K293" s="124">
        <f t="shared" si="81"/>
        <v>-3853246.07</v>
      </c>
      <c r="L293" s="127">
        <v>-3853246.07</v>
      </c>
      <c r="M293" s="125">
        <v>0</v>
      </c>
      <c r="N293" s="125">
        <v>0</v>
      </c>
      <c r="O293" s="128"/>
      <c r="P293" s="124">
        <f t="shared" si="82"/>
        <v>-11460451.85</v>
      </c>
      <c r="Q293" s="127">
        <v>-11460451.85</v>
      </c>
      <c r="R293" s="125">
        <v>0</v>
      </c>
      <c r="S293" s="125">
        <v>0</v>
      </c>
      <c r="T293" s="183"/>
      <c r="U293" s="183"/>
      <c r="V293" s="198"/>
      <c r="W293" s="50"/>
      <c r="X293" s="50"/>
      <c r="Z293" s="50"/>
      <c r="AA293" s="50"/>
      <c r="AB293" s="50"/>
      <c r="AC293" s="50"/>
      <c r="AD293" s="50"/>
      <c r="AE293" s="50"/>
      <c r="AF293" s="50"/>
      <c r="AG293" s="50"/>
    </row>
    <row r="294" spans="1:33" ht="15.75" hidden="1" x14ac:dyDescent="0.25">
      <c r="A294" s="111"/>
      <c r="B294" s="108"/>
      <c r="C294" s="120" t="s">
        <v>702</v>
      </c>
      <c r="D294" s="23"/>
      <c r="E294" s="23"/>
      <c r="F294" s="124">
        <f t="shared" si="80"/>
        <v>0</v>
      </c>
      <c r="G294" s="498"/>
      <c r="H294" s="125"/>
      <c r="I294" s="125"/>
      <c r="J294" s="23"/>
      <c r="K294" s="124">
        <f t="shared" si="81"/>
        <v>0</v>
      </c>
      <c r="L294" s="127"/>
      <c r="M294" s="125"/>
      <c r="N294" s="125"/>
      <c r="O294" s="126"/>
      <c r="P294" s="124">
        <f t="shared" si="82"/>
        <v>0</v>
      </c>
      <c r="Q294" s="127"/>
      <c r="R294" s="125">
        <v>0</v>
      </c>
      <c r="S294" s="125">
        <v>0</v>
      </c>
      <c r="T294" s="183"/>
      <c r="U294" s="183"/>
      <c r="V294" s="183"/>
    </row>
    <row r="295" spans="1:33" ht="15.75" x14ac:dyDescent="0.25">
      <c r="A295" s="110"/>
      <c r="B295" s="108" t="s">
        <v>703</v>
      </c>
      <c r="C295" s="26"/>
      <c r="D295" s="110"/>
      <c r="E295" s="26"/>
      <c r="F295" s="124"/>
      <c r="G295" s="497"/>
      <c r="H295" s="125"/>
      <c r="I295" s="125"/>
      <c r="J295" s="26"/>
      <c r="K295" s="124"/>
      <c r="L295" s="126"/>
      <c r="M295" s="125"/>
      <c r="N295" s="125"/>
      <c r="O295" s="126"/>
      <c r="P295" s="124"/>
      <c r="Q295" s="126"/>
      <c r="R295" s="125">
        <v>0</v>
      </c>
      <c r="S295" s="125">
        <v>0</v>
      </c>
      <c r="T295" s="183"/>
      <c r="U295" s="183"/>
      <c r="V295" s="183"/>
    </row>
    <row r="296" spans="1:33" ht="15.75" x14ac:dyDescent="0.25">
      <c r="A296" s="111"/>
      <c r="B296" s="108"/>
      <c r="C296" s="120" t="s">
        <v>704</v>
      </c>
      <c r="D296" s="23"/>
      <c r="E296" s="23"/>
      <c r="F296" s="124">
        <f>SUM(G296:I296)</f>
        <v>-35206494.460000001</v>
      </c>
      <c r="G296" s="497">
        <v>-35206494.460000001</v>
      </c>
      <c r="H296" s="125">
        <v>0</v>
      </c>
      <c r="I296" s="125">
        <v>0</v>
      </c>
      <c r="J296" s="23"/>
      <c r="K296" s="124">
        <f>SUM(L296:N296)</f>
        <v>-9376320.8399999999</v>
      </c>
      <c r="L296" s="126">
        <v>-9376320.8399999999</v>
      </c>
      <c r="M296" s="125">
        <v>0</v>
      </c>
      <c r="N296" s="125">
        <v>0</v>
      </c>
      <c r="O296" s="126"/>
      <c r="P296" s="124">
        <f>SUM(Q296:S296)</f>
        <v>-4799390.38</v>
      </c>
      <c r="Q296" s="125">
        <v>-4799390.38</v>
      </c>
      <c r="R296" s="125">
        <v>0</v>
      </c>
      <c r="S296" s="125">
        <v>0</v>
      </c>
      <c r="T296" s="183"/>
      <c r="U296" s="183"/>
      <c r="V296" s="183"/>
    </row>
    <row r="297" spans="1:33" ht="15.75" hidden="1" x14ac:dyDescent="0.25">
      <c r="A297" s="111"/>
      <c r="B297" s="108"/>
      <c r="C297" s="120" t="s">
        <v>705</v>
      </c>
      <c r="D297" s="23"/>
      <c r="E297" s="23"/>
      <c r="F297" s="124">
        <f>SUM(G297:I297)</f>
        <v>0</v>
      </c>
      <c r="G297" s="499"/>
      <c r="H297" s="125"/>
      <c r="I297" s="125"/>
      <c r="J297" s="23"/>
      <c r="K297" s="124">
        <f>SUM(L297:N297)</f>
        <v>0</v>
      </c>
      <c r="L297" s="126"/>
      <c r="M297" s="125"/>
      <c r="N297" s="125"/>
      <c r="O297" s="126"/>
      <c r="P297" s="124">
        <f>SUM(Q297:S297)</f>
        <v>0</v>
      </c>
      <c r="Q297" s="126"/>
      <c r="R297" s="125"/>
      <c r="S297" s="125"/>
      <c r="T297" s="183"/>
      <c r="U297" s="183"/>
      <c r="V297" s="183"/>
    </row>
    <row r="298" spans="1:33" ht="15.75" x14ac:dyDescent="0.25">
      <c r="A298" s="26"/>
      <c r="B298" s="26"/>
      <c r="C298" s="110"/>
      <c r="D298" s="119" t="s">
        <v>706</v>
      </c>
      <c r="E298" s="26"/>
      <c r="F298" s="131">
        <f>SUM(F290:F297)</f>
        <v>-55694875.469999999</v>
      </c>
      <c r="G298" s="504">
        <f>SUM(G290:G297)</f>
        <v>-55694875.469999999</v>
      </c>
      <c r="H298" s="131">
        <f>SUM(H290:H297)</f>
        <v>0</v>
      </c>
      <c r="I298" s="131">
        <f>SUM(I290:I297)</f>
        <v>0</v>
      </c>
      <c r="J298" s="26"/>
      <c r="K298" s="131">
        <f>SUM(K290:K297)</f>
        <v>-39429975.18</v>
      </c>
      <c r="L298" s="131">
        <f>SUM(L290:L297)</f>
        <v>-39429975.18</v>
      </c>
      <c r="M298" s="131">
        <f>SUM(M290:M297)</f>
        <v>0</v>
      </c>
      <c r="N298" s="131">
        <f>SUM(N290:N297)</f>
        <v>0</v>
      </c>
      <c r="O298" s="126"/>
      <c r="P298" s="131">
        <f>SUM(P290:P297)</f>
        <v>-37317377.580000006</v>
      </c>
      <c r="Q298" s="131">
        <v>-37317377.580000006</v>
      </c>
      <c r="R298" s="131">
        <v>0</v>
      </c>
      <c r="S298" s="131">
        <v>0</v>
      </c>
      <c r="T298" s="183"/>
      <c r="U298" s="183"/>
      <c r="V298" s="183"/>
    </row>
    <row r="299" spans="1:33" ht="15.75" x14ac:dyDescent="0.25">
      <c r="A299" s="111"/>
      <c r="B299" s="108" t="s">
        <v>707</v>
      </c>
      <c r="C299" s="110"/>
      <c r="D299" s="119"/>
      <c r="E299" s="26"/>
      <c r="F299" s="131">
        <f>F288+F298</f>
        <v>97352718.539999992</v>
      </c>
      <c r="G299" s="504">
        <f>G288+G298</f>
        <v>-37866494.460000001</v>
      </c>
      <c r="H299" s="131">
        <f>H288+H298</f>
        <v>0</v>
      </c>
      <c r="I299" s="131">
        <f>I288+I298</f>
        <v>135219213</v>
      </c>
      <c r="J299" s="26"/>
      <c r="K299" s="131">
        <f>K288+K298</f>
        <v>151345447.47999999</v>
      </c>
      <c r="L299" s="131">
        <f>L288+L298</f>
        <v>-18496320.84</v>
      </c>
      <c r="M299" s="131">
        <f>M288+M298</f>
        <v>0</v>
      </c>
      <c r="N299" s="131">
        <f>N288+N298</f>
        <v>169841768.31999999</v>
      </c>
      <c r="O299" s="126"/>
      <c r="P299" s="131">
        <f>P288+P298</f>
        <v>-7665390.3800000064</v>
      </c>
      <c r="Q299" s="131">
        <v>-7665390.3800000064</v>
      </c>
      <c r="R299" s="131">
        <v>0</v>
      </c>
      <c r="S299" s="131">
        <v>0</v>
      </c>
      <c r="T299" s="183"/>
      <c r="U299" s="183">
        <f>+K299-P299</f>
        <v>159010837.85999998</v>
      </c>
      <c r="V299" s="183"/>
    </row>
    <row r="300" spans="1:33" ht="15.75" hidden="1" x14ac:dyDescent="0.25">
      <c r="A300" s="26"/>
      <c r="B300" s="25" t="s">
        <v>708</v>
      </c>
      <c r="C300" s="111"/>
      <c r="D300" s="120"/>
      <c r="E300" s="23"/>
      <c r="F300" s="124"/>
      <c r="G300" s="503"/>
      <c r="H300" s="128"/>
      <c r="I300" s="128"/>
      <c r="J300" s="23"/>
      <c r="K300" s="124"/>
      <c r="L300" s="128"/>
      <c r="M300" s="128"/>
      <c r="N300" s="128"/>
      <c r="O300" s="128"/>
      <c r="P300" s="124"/>
      <c r="Q300" s="128"/>
      <c r="R300" s="128"/>
      <c r="S300" s="128"/>
      <c r="T300" s="183"/>
      <c r="U300" s="183"/>
      <c r="V300" s="198"/>
      <c r="W300" s="50"/>
      <c r="X300" s="50"/>
      <c r="Z300" s="50"/>
      <c r="AA300" s="50"/>
      <c r="AB300" s="50"/>
      <c r="AC300" s="50"/>
      <c r="AD300" s="50"/>
      <c r="AE300" s="50"/>
      <c r="AF300" s="50"/>
      <c r="AG300" s="50"/>
    </row>
    <row r="301" spans="1:33" ht="15.75" hidden="1" x14ac:dyDescent="0.25">
      <c r="A301" s="26"/>
      <c r="B301" s="23"/>
      <c r="C301" s="25" t="s">
        <v>709</v>
      </c>
      <c r="D301" s="22"/>
      <c r="E301" s="22"/>
      <c r="F301" s="124"/>
      <c r="G301" s="503"/>
      <c r="H301" s="128"/>
      <c r="I301" s="128"/>
      <c r="J301" s="22"/>
      <c r="K301" s="124"/>
      <c r="L301" s="128"/>
      <c r="M301" s="128"/>
      <c r="N301" s="128"/>
      <c r="O301" s="128"/>
      <c r="P301" s="124"/>
      <c r="Q301" s="128"/>
      <c r="R301" s="128"/>
      <c r="S301" s="128"/>
      <c r="T301" s="183"/>
      <c r="U301" s="183"/>
      <c r="V301" s="198"/>
      <c r="W301" s="50"/>
      <c r="X301" s="50"/>
      <c r="Z301" s="50"/>
      <c r="AA301" s="50"/>
      <c r="AB301" s="50"/>
      <c r="AC301" s="50"/>
      <c r="AD301" s="50"/>
      <c r="AE301" s="50"/>
      <c r="AF301" s="50"/>
      <c r="AG301" s="50"/>
    </row>
    <row r="302" spans="1:33" ht="15.75" hidden="1" x14ac:dyDescent="0.25">
      <c r="A302" s="26"/>
      <c r="B302" s="23"/>
      <c r="C302" s="25"/>
      <c r="D302" s="22" t="s">
        <v>710</v>
      </c>
      <c r="E302" s="22"/>
      <c r="F302" s="124">
        <f>SUM(G302:I302)</f>
        <v>0</v>
      </c>
      <c r="G302" s="503"/>
      <c r="H302" s="128"/>
      <c r="I302" s="128"/>
      <c r="J302" s="22"/>
      <c r="K302" s="124">
        <f>SUM(L302:N302)</f>
        <v>0</v>
      </c>
      <c r="L302" s="128"/>
      <c r="M302" s="128"/>
      <c r="N302" s="128"/>
      <c r="O302" s="128"/>
      <c r="P302" s="124">
        <f>SUM(Q302:S302)</f>
        <v>0</v>
      </c>
      <c r="Q302" s="128"/>
      <c r="R302" s="128"/>
      <c r="S302" s="128"/>
      <c r="T302" s="183"/>
      <c r="U302" s="183"/>
      <c r="V302" s="197"/>
      <c r="Z302" s="49"/>
    </row>
    <row r="303" spans="1:33" s="45" customFormat="1" ht="15.75" hidden="1" x14ac:dyDescent="0.25">
      <c r="A303" s="23"/>
      <c r="B303" s="23"/>
      <c r="C303" s="25" t="s">
        <v>519</v>
      </c>
      <c r="D303" s="22"/>
      <c r="E303" s="22"/>
      <c r="F303" s="124"/>
      <c r="G303" s="499"/>
      <c r="H303" s="126"/>
      <c r="I303" s="126"/>
      <c r="J303" s="22"/>
      <c r="K303" s="124"/>
      <c r="L303" s="126"/>
      <c r="M303" s="126"/>
      <c r="N303" s="126"/>
      <c r="O303" s="128"/>
      <c r="P303" s="124"/>
      <c r="Q303" s="126"/>
      <c r="R303" s="126"/>
      <c r="S303" s="126"/>
      <c r="T303" s="183"/>
      <c r="U303" s="183"/>
      <c r="V303" s="200"/>
      <c r="Z303" s="52"/>
    </row>
    <row r="304" spans="1:33" ht="15.75" hidden="1" x14ac:dyDescent="0.25">
      <c r="A304" s="26"/>
      <c r="B304" s="23"/>
      <c r="C304" s="25"/>
      <c r="D304" s="22" t="s">
        <v>711</v>
      </c>
      <c r="E304" s="22"/>
      <c r="F304" s="124">
        <f t="shared" ref="F304:F311" si="83">SUM(G304:I304)</f>
        <v>0</v>
      </c>
      <c r="G304" s="499"/>
      <c r="H304" s="125"/>
      <c r="I304" s="125"/>
      <c r="J304" s="22"/>
      <c r="K304" s="124">
        <f t="shared" ref="K304:K311" si="84">SUM(L304:N304)</f>
        <v>0</v>
      </c>
      <c r="L304" s="126"/>
      <c r="M304" s="125"/>
      <c r="N304" s="125"/>
      <c r="O304" s="128"/>
      <c r="P304" s="124">
        <f t="shared" ref="P304:P311" si="85">SUM(Q304:S304)</f>
        <v>0</v>
      </c>
      <c r="Q304" s="126"/>
      <c r="R304" s="125"/>
      <c r="S304" s="125"/>
      <c r="T304" s="183"/>
      <c r="U304" s="183"/>
      <c r="V304" s="183"/>
    </row>
    <row r="305" spans="1:33" ht="15.75" hidden="1" x14ac:dyDescent="0.25">
      <c r="A305" s="26"/>
      <c r="B305" s="23"/>
      <c r="C305" s="25"/>
      <c r="D305" s="22" t="s">
        <v>712</v>
      </c>
      <c r="E305" s="22"/>
      <c r="F305" s="124">
        <f t="shared" si="83"/>
        <v>0</v>
      </c>
      <c r="G305" s="499"/>
      <c r="H305" s="125"/>
      <c r="I305" s="125"/>
      <c r="J305" s="22"/>
      <c r="K305" s="124">
        <f t="shared" si="84"/>
        <v>0</v>
      </c>
      <c r="L305" s="126"/>
      <c r="M305" s="125"/>
      <c r="N305" s="125"/>
      <c r="O305" s="128"/>
      <c r="P305" s="124">
        <f t="shared" si="85"/>
        <v>0</v>
      </c>
      <c r="Q305" s="126"/>
      <c r="R305" s="125"/>
      <c r="S305" s="125"/>
      <c r="T305" s="183"/>
      <c r="U305" s="183"/>
      <c r="V305" s="183"/>
    </row>
    <row r="306" spans="1:33" ht="15.75" hidden="1" x14ac:dyDescent="0.25">
      <c r="A306" s="26"/>
      <c r="B306" s="23"/>
      <c r="C306" s="25"/>
      <c r="D306" s="22" t="s">
        <v>713</v>
      </c>
      <c r="E306" s="22"/>
      <c r="F306" s="124">
        <f t="shared" si="83"/>
        <v>0</v>
      </c>
      <c r="G306" s="499"/>
      <c r="H306" s="125"/>
      <c r="I306" s="125"/>
      <c r="J306" s="22"/>
      <c r="K306" s="124">
        <f t="shared" si="84"/>
        <v>0</v>
      </c>
      <c r="L306" s="126"/>
      <c r="M306" s="125"/>
      <c r="N306" s="125"/>
      <c r="O306" s="128"/>
      <c r="P306" s="124">
        <f t="shared" si="85"/>
        <v>0</v>
      </c>
      <c r="Q306" s="126"/>
      <c r="R306" s="125"/>
      <c r="S306" s="125"/>
      <c r="T306" s="183"/>
      <c r="U306" s="183"/>
      <c r="V306" s="183"/>
    </row>
    <row r="307" spans="1:33" ht="15.75" hidden="1" x14ac:dyDescent="0.25">
      <c r="A307" s="26"/>
      <c r="B307" s="23"/>
      <c r="C307" s="25"/>
      <c r="D307" s="22" t="s">
        <v>714</v>
      </c>
      <c r="E307" s="22"/>
      <c r="F307" s="124">
        <f t="shared" si="83"/>
        <v>0</v>
      </c>
      <c r="G307" s="499"/>
      <c r="H307" s="125"/>
      <c r="I307" s="125"/>
      <c r="J307" s="22"/>
      <c r="K307" s="124">
        <f t="shared" si="84"/>
        <v>0</v>
      </c>
      <c r="L307" s="126"/>
      <c r="M307" s="125"/>
      <c r="N307" s="125"/>
      <c r="O307" s="128"/>
      <c r="P307" s="124">
        <f t="shared" si="85"/>
        <v>0</v>
      </c>
      <c r="Q307" s="126"/>
      <c r="R307" s="125"/>
      <c r="S307" s="125"/>
      <c r="T307" s="183"/>
      <c r="U307" s="183"/>
      <c r="V307" s="183"/>
    </row>
    <row r="308" spans="1:33" ht="15.75" hidden="1" x14ac:dyDescent="0.25">
      <c r="A308" s="26"/>
      <c r="B308" s="23"/>
      <c r="C308" s="25"/>
      <c r="D308" s="22" t="s">
        <v>715</v>
      </c>
      <c r="E308" s="22"/>
      <c r="F308" s="124">
        <f t="shared" si="83"/>
        <v>0</v>
      </c>
      <c r="G308" s="499"/>
      <c r="H308" s="125"/>
      <c r="I308" s="125"/>
      <c r="J308" s="22"/>
      <c r="K308" s="124">
        <f t="shared" si="84"/>
        <v>0</v>
      </c>
      <c r="L308" s="126"/>
      <c r="M308" s="125"/>
      <c r="N308" s="125"/>
      <c r="O308" s="128"/>
      <c r="P308" s="124">
        <f t="shared" si="85"/>
        <v>0</v>
      </c>
      <c r="Q308" s="126"/>
      <c r="R308" s="125"/>
      <c r="S308" s="125"/>
      <c r="T308" s="183"/>
      <c r="U308" s="183"/>
      <c r="V308" s="183"/>
    </row>
    <row r="309" spans="1:33" ht="15.75" hidden="1" x14ac:dyDescent="0.25">
      <c r="A309" s="26"/>
      <c r="B309" s="23"/>
      <c r="C309" s="25"/>
      <c r="D309" s="22" t="s">
        <v>716</v>
      </c>
      <c r="E309" s="22"/>
      <c r="F309" s="124">
        <f t="shared" si="83"/>
        <v>0</v>
      </c>
      <c r="G309" s="499"/>
      <c r="H309" s="125"/>
      <c r="I309" s="125"/>
      <c r="J309" s="22"/>
      <c r="K309" s="124">
        <f t="shared" si="84"/>
        <v>0</v>
      </c>
      <c r="L309" s="126"/>
      <c r="M309" s="125"/>
      <c r="N309" s="125"/>
      <c r="O309" s="128"/>
      <c r="P309" s="124">
        <f t="shared" si="85"/>
        <v>0</v>
      </c>
      <c r="Q309" s="126"/>
      <c r="R309" s="125"/>
      <c r="S309" s="125"/>
      <c r="T309" s="183"/>
      <c r="U309" s="183"/>
      <c r="V309" s="183"/>
    </row>
    <row r="310" spans="1:33" ht="15.75" hidden="1" x14ac:dyDescent="0.25">
      <c r="A310" s="26"/>
      <c r="B310" s="23"/>
      <c r="C310" s="25"/>
      <c r="D310" s="22" t="s">
        <v>717</v>
      </c>
      <c r="E310" s="22"/>
      <c r="F310" s="124">
        <f t="shared" si="83"/>
        <v>0</v>
      </c>
      <c r="G310" s="499"/>
      <c r="H310" s="125"/>
      <c r="I310" s="125"/>
      <c r="J310" s="22"/>
      <c r="K310" s="124">
        <f t="shared" si="84"/>
        <v>0</v>
      </c>
      <c r="L310" s="126"/>
      <c r="M310" s="125"/>
      <c r="N310" s="125"/>
      <c r="O310" s="128"/>
      <c r="P310" s="124">
        <f t="shared" si="85"/>
        <v>0</v>
      </c>
      <c r="Q310" s="126"/>
      <c r="R310" s="125"/>
      <c r="S310" s="125"/>
      <c r="T310" s="183"/>
      <c r="U310" s="183"/>
      <c r="V310" s="183"/>
    </row>
    <row r="311" spans="1:33" ht="15.75" hidden="1" x14ac:dyDescent="0.25">
      <c r="A311" s="26"/>
      <c r="B311" s="23"/>
      <c r="C311" s="25"/>
      <c r="D311" s="22" t="s">
        <v>718</v>
      </c>
      <c r="E311" s="22"/>
      <c r="F311" s="124">
        <f t="shared" si="83"/>
        <v>0</v>
      </c>
      <c r="G311" s="499"/>
      <c r="H311" s="125"/>
      <c r="I311" s="125"/>
      <c r="J311" s="22"/>
      <c r="K311" s="124">
        <f t="shared" si="84"/>
        <v>0</v>
      </c>
      <c r="L311" s="126"/>
      <c r="M311" s="125"/>
      <c r="N311" s="125"/>
      <c r="O311" s="128"/>
      <c r="P311" s="124">
        <f t="shared" si="85"/>
        <v>0</v>
      </c>
      <c r="Q311" s="126"/>
      <c r="R311" s="125"/>
      <c r="S311" s="125"/>
      <c r="T311" s="183"/>
      <c r="U311" s="183"/>
      <c r="V311" s="198"/>
      <c r="W311" s="50"/>
      <c r="X311" s="50"/>
      <c r="Z311" s="50"/>
      <c r="AA311" s="50"/>
      <c r="AB311" s="50"/>
      <c r="AC311" s="50"/>
      <c r="AD311" s="50"/>
      <c r="AE311" s="50"/>
      <c r="AF311" s="50"/>
      <c r="AG311" s="50"/>
    </row>
    <row r="312" spans="1:33" s="45" customFormat="1" ht="15.75" hidden="1" x14ac:dyDescent="0.25">
      <c r="A312" s="26"/>
      <c r="B312" s="23"/>
      <c r="C312" s="25"/>
      <c r="D312" s="25" t="s">
        <v>525</v>
      </c>
      <c r="E312" s="22"/>
      <c r="F312" s="128">
        <f>SUM(F304:F311)</f>
        <v>0</v>
      </c>
      <c r="G312" s="503">
        <f t="shared" ref="G312:I312" si="86">SUM(G304:G311)</f>
        <v>0</v>
      </c>
      <c r="H312" s="128">
        <f t="shared" si="86"/>
        <v>0</v>
      </c>
      <c r="I312" s="128">
        <f t="shared" si="86"/>
        <v>0</v>
      </c>
      <c r="J312" s="22"/>
      <c r="K312" s="128">
        <f>SUM(K304:K311)</f>
        <v>0</v>
      </c>
      <c r="L312" s="128">
        <f t="shared" ref="L312:N312" si="87">SUM(L304:L311)</f>
        <v>0</v>
      </c>
      <c r="M312" s="128">
        <f t="shared" si="87"/>
        <v>0</v>
      </c>
      <c r="N312" s="128">
        <f t="shared" si="87"/>
        <v>0</v>
      </c>
      <c r="O312" s="126"/>
      <c r="P312" s="128">
        <f>SUM(P304:P311)</f>
        <v>0</v>
      </c>
      <c r="Q312" s="128">
        <v>0</v>
      </c>
      <c r="R312" s="128">
        <v>0</v>
      </c>
      <c r="S312" s="128">
        <v>0</v>
      </c>
      <c r="T312" s="183"/>
      <c r="U312" s="183"/>
      <c r="V312" s="201"/>
    </row>
    <row r="313" spans="1:33" s="45" customFormat="1" ht="15.75" x14ac:dyDescent="0.25">
      <c r="A313" s="26"/>
      <c r="B313" s="23"/>
      <c r="C313" s="25" t="s">
        <v>719</v>
      </c>
      <c r="D313" s="22"/>
      <c r="E313" s="22"/>
      <c r="F313" s="124"/>
      <c r="G313" s="503"/>
      <c r="H313" s="128"/>
      <c r="I313" s="128"/>
      <c r="J313" s="22"/>
      <c r="K313" s="124"/>
      <c r="L313" s="128"/>
      <c r="M313" s="128"/>
      <c r="N313" s="128"/>
      <c r="O313" s="128"/>
      <c r="P313" s="124"/>
      <c r="Q313" s="128"/>
      <c r="R313" s="128"/>
      <c r="S313" s="128"/>
      <c r="T313" s="183"/>
      <c r="U313" s="183"/>
      <c r="V313" s="201"/>
    </row>
    <row r="314" spans="1:33" ht="15.75" x14ac:dyDescent="0.25">
      <c r="A314" s="26"/>
      <c r="B314" s="23"/>
      <c r="C314" s="25"/>
      <c r="D314" s="22" t="s">
        <v>719</v>
      </c>
      <c r="E314" s="22"/>
      <c r="F314" s="124">
        <f>SUM(G314:I314)</f>
        <v>1643931.51</v>
      </c>
      <c r="G314" s="498">
        <v>1616311.04</v>
      </c>
      <c r="H314" s="515">
        <v>22294.239999999998</v>
      </c>
      <c r="I314" s="126">
        <v>5326.23</v>
      </c>
      <c r="J314" s="22"/>
      <c r="K314" s="124">
        <f>SUM(L314:N314)</f>
        <v>642196.59000000008</v>
      </c>
      <c r="L314" s="127">
        <v>625391.8600000001</v>
      </c>
      <c r="M314" s="515">
        <v>2759.89</v>
      </c>
      <c r="N314" s="126">
        <v>14044.840000000002</v>
      </c>
      <c r="O314" s="128"/>
      <c r="P314" s="124">
        <f>SUM(Q314:S314)</f>
        <v>3751280.2699999996</v>
      </c>
      <c r="Q314" s="130">
        <v>3751280.26</v>
      </c>
      <c r="R314" s="132">
        <v>0.01</v>
      </c>
      <c r="S314" s="125">
        <v>0</v>
      </c>
      <c r="T314" s="183"/>
      <c r="U314" s="183"/>
      <c r="V314" s="183"/>
    </row>
    <row r="315" spans="1:33" ht="15.75" hidden="1" x14ac:dyDescent="0.25">
      <c r="A315" s="23"/>
      <c r="B315" s="23"/>
      <c r="C315" s="25" t="s">
        <v>720</v>
      </c>
      <c r="D315" s="22"/>
      <c r="E315" s="22"/>
      <c r="F315" s="124"/>
      <c r="G315" s="503"/>
      <c r="H315" s="128"/>
      <c r="I315" s="128"/>
      <c r="J315" s="22"/>
      <c r="K315" s="124"/>
      <c r="L315" s="128"/>
      <c r="M315" s="128"/>
      <c r="N315" s="128"/>
      <c r="O315" s="128"/>
      <c r="P315" s="124"/>
      <c r="Q315" s="128"/>
      <c r="R315" s="128"/>
      <c r="S315" s="128"/>
      <c r="T315" s="183"/>
      <c r="U315" s="183"/>
      <c r="V315" s="183"/>
    </row>
    <row r="316" spans="1:33" ht="15.75" hidden="1" x14ac:dyDescent="0.25">
      <c r="A316" s="26"/>
      <c r="B316" s="23"/>
      <c r="C316" s="25"/>
      <c r="D316" s="22" t="s">
        <v>721</v>
      </c>
      <c r="E316" s="22"/>
      <c r="F316" s="124">
        <f>SUM(G316:I316)</f>
        <v>0</v>
      </c>
      <c r="G316" s="503"/>
      <c r="H316" s="128"/>
      <c r="I316" s="128"/>
      <c r="J316" s="22"/>
      <c r="K316" s="124">
        <f>SUM(L316:N316)</f>
        <v>0</v>
      </c>
      <c r="L316" s="128"/>
      <c r="M316" s="128"/>
      <c r="N316" s="128"/>
      <c r="O316" s="126"/>
      <c r="P316" s="124">
        <f>SUM(Q316:S316)</f>
        <v>0</v>
      </c>
      <c r="Q316" s="128"/>
      <c r="R316" s="128"/>
      <c r="S316" s="128"/>
      <c r="T316" s="183"/>
      <c r="U316" s="183"/>
      <c r="V316" s="183"/>
    </row>
    <row r="317" spans="1:33" ht="15.75" hidden="1" x14ac:dyDescent="0.25">
      <c r="A317" s="26"/>
      <c r="B317" s="23"/>
      <c r="C317" s="22"/>
      <c r="D317" s="57" t="s">
        <v>722</v>
      </c>
      <c r="E317" s="26"/>
      <c r="F317" s="124">
        <f t="shared" ref="F317:F325" si="88">SUM(G317:I317)</f>
        <v>0</v>
      </c>
      <c r="G317" s="503"/>
      <c r="H317" s="128"/>
      <c r="I317" s="128"/>
      <c r="J317" s="26"/>
      <c r="K317" s="124">
        <f t="shared" ref="K317:K325" si="89">SUM(L317:N317)</f>
        <v>0</v>
      </c>
      <c r="L317" s="128"/>
      <c r="M317" s="128"/>
      <c r="N317" s="128"/>
      <c r="O317" s="126"/>
      <c r="P317" s="124">
        <f t="shared" ref="P317:P325" si="90">SUM(Q317:S317)</f>
        <v>0</v>
      </c>
      <c r="Q317" s="128"/>
      <c r="R317" s="128"/>
      <c r="S317" s="128"/>
      <c r="T317" s="183"/>
      <c r="U317" s="183"/>
      <c r="V317" s="183"/>
    </row>
    <row r="318" spans="1:33" ht="15.75" hidden="1" x14ac:dyDescent="0.25">
      <c r="A318" s="26"/>
      <c r="B318" s="23"/>
      <c r="C318" s="22"/>
      <c r="D318" s="57" t="s">
        <v>723</v>
      </c>
      <c r="E318" s="26"/>
      <c r="F318" s="124">
        <f t="shared" si="88"/>
        <v>0</v>
      </c>
      <c r="G318" s="503"/>
      <c r="H318" s="128"/>
      <c r="I318" s="128"/>
      <c r="J318" s="26"/>
      <c r="K318" s="124">
        <f t="shared" si="89"/>
        <v>0</v>
      </c>
      <c r="L318" s="128"/>
      <c r="M318" s="128"/>
      <c r="N318" s="128"/>
      <c r="O318" s="126"/>
      <c r="P318" s="124">
        <f t="shared" si="90"/>
        <v>0</v>
      </c>
      <c r="Q318" s="128"/>
      <c r="R318" s="128"/>
      <c r="S318" s="128"/>
      <c r="T318" s="183"/>
      <c r="U318" s="183"/>
      <c r="V318" s="183"/>
    </row>
    <row r="319" spans="1:33" ht="15.75" hidden="1" x14ac:dyDescent="0.25">
      <c r="A319" s="26"/>
      <c r="B319" s="23"/>
      <c r="C319" s="22"/>
      <c r="D319" s="57" t="s">
        <v>724</v>
      </c>
      <c r="E319" s="26"/>
      <c r="F319" s="124">
        <f t="shared" si="88"/>
        <v>0</v>
      </c>
      <c r="G319" s="503"/>
      <c r="H319" s="128"/>
      <c r="I319" s="128"/>
      <c r="J319" s="26"/>
      <c r="K319" s="124">
        <f t="shared" si="89"/>
        <v>0</v>
      </c>
      <c r="L319" s="128"/>
      <c r="M319" s="128"/>
      <c r="N319" s="128"/>
      <c r="O319" s="126"/>
      <c r="P319" s="124">
        <f t="shared" si="90"/>
        <v>0</v>
      </c>
      <c r="Q319" s="128"/>
      <c r="R319" s="128"/>
      <c r="S319" s="128"/>
      <c r="T319" s="183"/>
      <c r="U319" s="183"/>
      <c r="V319" s="183"/>
    </row>
    <row r="320" spans="1:33" ht="15.75" hidden="1" x14ac:dyDescent="0.25">
      <c r="A320" s="26"/>
      <c r="B320" s="23"/>
      <c r="C320" s="22"/>
      <c r="D320" s="57" t="s">
        <v>725</v>
      </c>
      <c r="E320" s="26"/>
      <c r="F320" s="124">
        <f t="shared" si="88"/>
        <v>0</v>
      </c>
      <c r="G320" s="503"/>
      <c r="H320" s="128"/>
      <c r="I320" s="128"/>
      <c r="J320" s="26"/>
      <c r="K320" s="124">
        <f t="shared" si="89"/>
        <v>0</v>
      </c>
      <c r="L320" s="128"/>
      <c r="M320" s="128"/>
      <c r="N320" s="128"/>
      <c r="O320" s="126"/>
      <c r="P320" s="124">
        <f t="shared" si="90"/>
        <v>0</v>
      </c>
      <c r="Q320" s="128"/>
      <c r="R320" s="128"/>
      <c r="S320" s="128"/>
      <c r="T320" s="183"/>
      <c r="U320" s="183"/>
      <c r="V320" s="183"/>
    </row>
    <row r="321" spans="1:22" ht="15.75" hidden="1" x14ac:dyDescent="0.25">
      <c r="A321" s="26"/>
      <c r="B321" s="23"/>
      <c r="C321" s="22"/>
      <c r="D321" s="57" t="s">
        <v>726</v>
      </c>
      <c r="E321" s="26"/>
      <c r="F321" s="124">
        <f t="shared" si="88"/>
        <v>0</v>
      </c>
      <c r="G321" s="503"/>
      <c r="H321" s="128"/>
      <c r="I321" s="128"/>
      <c r="J321" s="26"/>
      <c r="K321" s="124">
        <f t="shared" si="89"/>
        <v>0</v>
      </c>
      <c r="L321" s="128"/>
      <c r="M321" s="128"/>
      <c r="N321" s="128"/>
      <c r="O321" s="126"/>
      <c r="P321" s="124">
        <f t="shared" si="90"/>
        <v>0</v>
      </c>
      <c r="Q321" s="128"/>
      <c r="R321" s="128"/>
      <c r="S321" s="128"/>
      <c r="T321" s="183"/>
      <c r="U321" s="183"/>
      <c r="V321" s="183"/>
    </row>
    <row r="322" spans="1:22" ht="15.75" hidden="1" x14ac:dyDescent="0.25">
      <c r="A322" s="26"/>
      <c r="B322" s="23"/>
      <c r="C322" s="22"/>
      <c r="D322" s="57" t="s">
        <v>727</v>
      </c>
      <c r="E322" s="26"/>
      <c r="F322" s="124">
        <f t="shared" si="88"/>
        <v>0</v>
      </c>
      <c r="G322" s="503"/>
      <c r="H322" s="128"/>
      <c r="I322" s="128"/>
      <c r="J322" s="26"/>
      <c r="K322" s="124">
        <f t="shared" si="89"/>
        <v>0</v>
      </c>
      <c r="L322" s="128"/>
      <c r="M322" s="128"/>
      <c r="N322" s="128"/>
      <c r="O322" s="126"/>
      <c r="P322" s="124">
        <f t="shared" si="90"/>
        <v>0</v>
      </c>
      <c r="Q322" s="128"/>
      <c r="R322" s="128"/>
      <c r="S322" s="128"/>
      <c r="T322" s="183"/>
      <c r="U322" s="183"/>
      <c r="V322" s="183"/>
    </row>
    <row r="323" spans="1:22" ht="15.75" hidden="1" x14ac:dyDescent="0.25">
      <c r="A323" s="26"/>
      <c r="B323" s="23"/>
      <c r="C323" s="22"/>
      <c r="D323" s="57" t="s">
        <v>728</v>
      </c>
      <c r="E323" s="26"/>
      <c r="F323" s="124">
        <f t="shared" si="88"/>
        <v>0</v>
      </c>
      <c r="G323" s="503"/>
      <c r="H323" s="128"/>
      <c r="I323" s="128"/>
      <c r="J323" s="26"/>
      <c r="K323" s="124">
        <f t="shared" si="89"/>
        <v>0</v>
      </c>
      <c r="L323" s="128"/>
      <c r="M323" s="128"/>
      <c r="N323" s="128"/>
      <c r="O323" s="126"/>
      <c r="P323" s="124">
        <f t="shared" si="90"/>
        <v>0</v>
      </c>
      <c r="Q323" s="128"/>
      <c r="R323" s="128"/>
      <c r="S323" s="128"/>
      <c r="T323" s="183"/>
      <c r="U323" s="183"/>
      <c r="V323" s="183"/>
    </row>
    <row r="324" spans="1:22" ht="15.75" hidden="1" x14ac:dyDescent="0.25">
      <c r="A324" s="26"/>
      <c r="B324" s="23"/>
      <c r="C324" s="22"/>
      <c r="D324" s="57" t="s">
        <v>729</v>
      </c>
      <c r="E324" s="26"/>
      <c r="F324" s="124">
        <f t="shared" si="88"/>
        <v>0</v>
      </c>
      <c r="G324" s="503"/>
      <c r="H324" s="128"/>
      <c r="I324" s="128"/>
      <c r="J324" s="26"/>
      <c r="K324" s="124">
        <f t="shared" si="89"/>
        <v>0</v>
      </c>
      <c r="L324" s="128"/>
      <c r="M324" s="128"/>
      <c r="N324" s="128"/>
      <c r="O324" s="126"/>
      <c r="P324" s="124">
        <f t="shared" si="90"/>
        <v>0</v>
      </c>
      <c r="Q324" s="128"/>
      <c r="R324" s="128"/>
      <c r="S324" s="128"/>
      <c r="T324" s="183"/>
      <c r="U324" s="183"/>
      <c r="V324" s="183"/>
    </row>
    <row r="325" spans="1:22" ht="15.75" hidden="1" x14ac:dyDescent="0.25">
      <c r="A325" s="26"/>
      <c r="B325" s="23"/>
      <c r="C325" s="22"/>
      <c r="D325" s="57" t="s">
        <v>730</v>
      </c>
      <c r="E325" s="26"/>
      <c r="F325" s="124">
        <f t="shared" si="88"/>
        <v>0</v>
      </c>
      <c r="G325" s="503"/>
      <c r="H325" s="128"/>
      <c r="I325" s="128"/>
      <c r="J325" s="26"/>
      <c r="K325" s="124">
        <f t="shared" si="89"/>
        <v>0</v>
      </c>
      <c r="L325" s="128"/>
      <c r="M325" s="128"/>
      <c r="N325" s="128"/>
      <c r="O325" s="126"/>
      <c r="P325" s="124">
        <f t="shared" si="90"/>
        <v>0</v>
      </c>
      <c r="Q325" s="128"/>
      <c r="R325" s="128"/>
      <c r="S325" s="128"/>
      <c r="T325" s="183"/>
      <c r="U325" s="183"/>
      <c r="V325" s="183"/>
    </row>
    <row r="326" spans="1:22" ht="15.75" hidden="1" x14ac:dyDescent="0.25">
      <c r="A326" s="26"/>
      <c r="B326" s="23"/>
      <c r="C326" s="22"/>
      <c r="D326" s="25" t="s">
        <v>731</v>
      </c>
      <c r="E326" s="26"/>
      <c r="F326" s="131">
        <f>SUM(F316:F325)</f>
        <v>0</v>
      </c>
      <c r="G326" s="504">
        <f t="shared" ref="G326:I326" si="91">SUM(G316:G325)</f>
        <v>0</v>
      </c>
      <c r="H326" s="131">
        <f t="shared" si="91"/>
        <v>0</v>
      </c>
      <c r="I326" s="131">
        <f t="shared" si="91"/>
        <v>0</v>
      </c>
      <c r="J326" s="26"/>
      <c r="K326" s="131">
        <f>SUM(K316:K325)</f>
        <v>0</v>
      </c>
      <c r="L326" s="131">
        <f t="shared" ref="L326:N326" si="92">SUM(L316:L325)</f>
        <v>0</v>
      </c>
      <c r="M326" s="131">
        <f t="shared" si="92"/>
        <v>0</v>
      </c>
      <c r="N326" s="131">
        <f t="shared" si="92"/>
        <v>0</v>
      </c>
      <c r="O326" s="126"/>
      <c r="P326" s="131">
        <f>SUM(P316:P325)</f>
        <v>0</v>
      </c>
      <c r="Q326" s="131">
        <v>0</v>
      </c>
      <c r="R326" s="131">
        <v>0</v>
      </c>
      <c r="S326" s="131">
        <v>0</v>
      </c>
      <c r="T326" s="183"/>
      <c r="U326" s="183"/>
      <c r="V326" s="183"/>
    </row>
    <row r="327" spans="1:22" ht="15.75" x14ac:dyDescent="0.25">
      <c r="A327" s="26"/>
      <c r="B327" s="57"/>
      <c r="C327" s="25" t="s">
        <v>732</v>
      </c>
      <c r="D327" s="57"/>
      <c r="E327" s="26"/>
      <c r="F327" s="131">
        <f>+F302+F312+F314-F326</f>
        <v>1643931.51</v>
      </c>
      <c r="G327" s="504">
        <f t="shared" ref="G327:I327" si="93">+G302+G312+G314-G326</f>
        <v>1616311.04</v>
      </c>
      <c r="H327" s="131">
        <f t="shared" si="93"/>
        <v>22294.239999999998</v>
      </c>
      <c r="I327" s="131">
        <f t="shared" si="93"/>
        <v>5326.23</v>
      </c>
      <c r="J327" s="26"/>
      <c r="K327" s="131">
        <f>+K302+K312+K314-K326</f>
        <v>642196.59000000008</v>
      </c>
      <c r="L327" s="131">
        <f t="shared" ref="L327:N327" si="94">+L302+L312+L314-L326</f>
        <v>625391.8600000001</v>
      </c>
      <c r="M327" s="131">
        <f t="shared" si="94"/>
        <v>2759.89</v>
      </c>
      <c r="N327" s="131">
        <f t="shared" si="94"/>
        <v>14044.840000000002</v>
      </c>
      <c r="O327" s="126"/>
      <c r="P327" s="131">
        <f>+P302+P312+P314-P326</f>
        <v>3751280.2699999996</v>
      </c>
      <c r="Q327" s="131">
        <v>3751280.26</v>
      </c>
      <c r="R327" s="131">
        <v>0.01</v>
      </c>
      <c r="S327" s="131">
        <v>0</v>
      </c>
      <c r="T327" s="183"/>
      <c r="U327" s="183"/>
      <c r="V327" s="183"/>
    </row>
    <row r="328" spans="1:22" ht="16.5" thickBot="1" x14ac:dyDescent="0.3">
      <c r="A328" s="108" t="s">
        <v>733</v>
      </c>
      <c r="B328" s="108"/>
      <c r="C328" s="111"/>
      <c r="D328" s="111"/>
      <c r="E328" s="23"/>
      <c r="F328" s="139">
        <f>F274+F299+F327</f>
        <v>423079880.07000017</v>
      </c>
      <c r="G328" s="510">
        <f>G274+G299+G327</f>
        <v>282369660.10000002</v>
      </c>
      <c r="H328" s="139">
        <f>H274+H299+H327</f>
        <v>43668115.359999992</v>
      </c>
      <c r="I328" s="139">
        <f>I274+I299+I327</f>
        <v>97042104.609999999</v>
      </c>
      <c r="J328" s="23"/>
      <c r="K328" s="139">
        <f>K274+K299+K327</f>
        <v>366454933.90999991</v>
      </c>
      <c r="L328" s="139">
        <f>L274+L299+L327</f>
        <v>330048309.03000003</v>
      </c>
      <c r="M328" s="139">
        <f>M274+M299+M327</f>
        <v>31535552.479999997</v>
      </c>
      <c r="N328" s="139">
        <f>N274+N299+N327</f>
        <v>4871072.3999999724</v>
      </c>
      <c r="O328" s="126"/>
      <c r="P328" s="139">
        <f>P274+P299+P327</f>
        <v>389509768.05999994</v>
      </c>
      <c r="Q328" s="139">
        <v>368479419.49999976</v>
      </c>
      <c r="R328" s="139">
        <v>29956769.039999995</v>
      </c>
      <c r="S328" s="139">
        <v>-8926420.4800000004</v>
      </c>
      <c r="T328" s="183"/>
      <c r="U328" s="183">
        <v>-27602656.340000004</v>
      </c>
      <c r="V328" s="183"/>
    </row>
    <row r="329" spans="1:22" ht="12.75" hidden="1" customHeight="1" x14ac:dyDescent="0.25">
      <c r="A329" s="57" t="s">
        <v>734</v>
      </c>
      <c r="B329" s="57"/>
      <c r="C329" s="57"/>
      <c r="D329" s="57"/>
      <c r="E329" s="57"/>
      <c r="F329" s="57"/>
      <c r="G329" s="511"/>
      <c r="H329" s="57"/>
      <c r="I329" s="57"/>
      <c r="J329" s="57"/>
      <c r="K329" s="202">
        <f>SUM(L329:N329)</f>
        <v>383359706.18000007</v>
      </c>
      <c r="L329" s="203">
        <f>SUM('[2]Annex C'!F18)</f>
        <v>343316136.61000001</v>
      </c>
      <c r="M329" s="203">
        <f>SUM('[2]Annex C'!G18)</f>
        <v>36715615.590000004</v>
      </c>
      <c r="N329" s="203">
        <f>SUM('[2]Annex C'!H18)</f>
        <v>3327953.9799999967</v>
      </c>
      <c r="O329" s="89"/>
      <c r="P329" s="202">
        <f>SUM(Q329:S329)</f>
        <v>320664754.88999999</v>
      </c>
      <c r="Q329" s="203">
        <f>SUM([3]SCNAE!K17)</f>
        <v>285299009.96999997</v>
      </c>
      <c r="R329" s="203">
        <f>SUM([3]SCNAE!L17)</f>
        <v>31974286.109999999</v>
      </c>
      <c r="S329" s="203">
        <f>SUM([3]SCNAE!M17)</f>
        <v>3391458.81</v>
      </c>
      <c r="T329" s="183"/>
      <c r="U329" s="183"/>
      <c r="V329" s="183"/>
    </row>
    <row r="330" spans="1:22" ht="12.75" hidden="1" customHeight="1" x14ac:dyDescent="0.25">
      <c r="A330" s="68" t="s">
        <v>735</v>
      </c>
      <c r="B330" s="57"/>
      <c r="C330" s="57"/>
      <c r="D330" s="57"/>
      <c r="E330" s="57"/>
      <c r="F330" s="57"/>
      <c r="G330" s="511"/>
      <c r="H330" s="57"/>
      <c r="I330" s="57"/>
      <c r="J330" s="57"/>
      <c r="K330" s="203">
        <f>SUM(K328-K329)</f>
        <v>-16904772.27000016</v>
      </c>
      <c r="L330" s="203">
        <f t="shared" ref="L330:N330" si="95">SUM(L328-L329)</f>
        <v>-13267827.579999983</v>
      </c>
      <c r="M330" s="203">
        <f t="shared" si="95"/>
        <v>-5180063.1100000069</v>
      </c>
      <c r="N330" s="203">
        <f t="shared" si="95"/>
        <v>1543118.4199999757</v>
      </c>
      <c r="O330" s="89"/>
      <c r="P330" s="203">
        <f>SUM(P328-P329)</f>
        <v>68845013.169999957</v>
      </c>
      <c r="Q330" s="203">
        <f t="shared" ref="Q330:S330" si="96">SUM(Q328-Q329)</f>
        <v>83180409.529999793</v>
      </c>
      <c r="R330" s="203">
        <f t="shared" si="96"/>
        <v>-2017517.070000004</v>
      </c>
      <c r="S330" s="203">
        <f t="shared" si="96"/>
        <v>-12317879.290000001</v>
      </c>
      <c r="T330" s="183"/>
      <c r="U330" s="183"/>
      <c r="V330" s="183"/>
    </row>
    <row r="331" spans="1:22" ht="12.75" hidden="1" customHeight="1" x14ac:dyDescent="0.25">
      <c r="A331" s="57"/>
      <c r="B331" s="57"/>
      <c r="C331" s="57"/>
      <c r="D331" s="57"/>
      <c r="E331" s="57"/>
      <c r="F331" s="57"/>
      <c r="G331" s="511"/>
      <c r="H331" s="57"/>
      <c r="I331" s="57"/>
      <c r="J331" s="57"/>
      <c r="K331" s="203"/>
      <c r="L331" s="203"/>
      <c r="M331" s="203"/>
      <c r="N331" s="203"/>
      <c r="O331" s="89"/>
      <c r="P331" s="203"/>
      <c r="Q331" s="203"/>
      <c r="R331" s="203"/>
      <c r="S331" s="203"/>
      <c r="T331" s="183"/>
      <c r="U331" s="183"/>
      <c r="V331" s="183"/>
    </row>
    <row r="332" spans="1:22" ht="12.75" hidden="1" customHeight="1" x14ac:dyDescent="0.25">
      <c r="A332" s="617" t="s">
        <v>6</v>
      </c>
      <c r="B332" s="617"/>
      <c r="C332" s="617"/>
      <c r="D332" s="617"/>
      <c r="E332" s="617"/>
      <c r="F332" s="477"/>
      <c r="G332" s="512"/>
      <c r="H332" s="477"/>
      <c r="I332" s="477"/>
      <c r="J332" s="477"/>
      <c r="K332" s="618"/>
      <c r="L332" s="618"/>
      <c r="M332" s="618"/>
      <c r="N332" s="618"/>
      <c r="O332" s="89"/>
      <c r="P332" s="618"/>
      <c r="Q332" s="618"/>
      <c r="R332" s="618"/>
      <c r="S332" s="618"/>
      <c r="T332" s="183"/>
      <c r="U332" s="183"/>
      <c r="V332" s="183"/>
    </row>
    <row r="333" spans="1:22" ht="12.75" hidden="1" customHeight="1" x14ac:dyDescent="0.25">
      <c r="A333" s="617"/>
      <c r="B333" s="617"/>
      <c r="C333" s="617"/>
      <c r="D333" s="617"/>
      <c r="E333" s="617"/>
      <c r="F333" s="477"/>
      <c r="G333" s="512"/>
      <c r="H333" s="477"/>
      <c r="I333" s="477"/>
      <c r="J333" s="477"/>
      <c r="K333" s="204" t="s">
        <v>1</v>
      </c>
      <c r="L333" s="204" t="s">
        <v>7</v>
      </c>
      <c r="M333" s="205" t="s">
        <v>8</v>
      </c>
      <c r="N333" s="204" t="s">
        <v>9</v>
      </c>
      <c r="O333" s="89"/>
      <c r="P333" s="204" t="s">
        <v>1</v>
      </c>
      <c r="Q333" s="204" t="s">
        <v>7</v>
      </c>
      <c r="R333" s="205" t="s">
        <v>8</v>
      </c>
      <c r="S333" s="204" t="s">
        <v>9</v>
      </c>
      <c r="T333" s="183"/>
      <c r="U333" s="183"/>
      <c r="V333" s="183"/>
    </row>
    <row r="334" spans="1:22" ht="12.75" hidden="1" customHeight="1" x14ac:dyDescent="0.25">
      <c r="A334" s="58"/>
      <c r="B334" s="61" t="s">
        <v>736</v>
      </c>
      <c r="C334" s="62"/>
      <c r="D334" s="62"/>
      <c r="E334" s="68"/>
      <c r="F334" s="68"/>
      <c r="G334" s="513"/>
      <c r="H334" s="68"/>
      <c r="I334" s="68"/>
      <c r="J334" s="68"/>
      <c r="K334" s="98">
        <f>L334+M334+N334</f>
        <v>1498720218.2799997</v>
      </c>
      <c r="L334" s="206">
        <f>SUM(L116+L288+L302+L312+L314)</f>
        <v>1268656186.4699998</v>
      </c>
      <c r="M334" s="206">
        <f>SUM(M116+M288+M302+M312+M314)</f>
        <v>59351879.369999997</v>
      </c>
      <c r="N334" s="206">
        <f>SUM(N116+N288+N302+N312+N314)</f>
        <v>170712152.44</v>
      </c>
      <c r="O334" s="89"/>
      <c r="P334" s="98">
        <f>Q334+R334+S334</f>
        <v>1211434229.6199999</v>
      </c>
      <c r="Q334" s="206">
        <f>SUM(Q116+Q288+Q302+Q312+Q314)</f>
        <v>1149035283.8599999</v>
      </c>
      <c r="R334" s="206">
        <f>SUM(R116+R288+R302+R312+R314)</f>
        <v>58271204.50999999</v>
      </c>
      <c r="S334" s="206">
        <f>SUM(S116+S288+S302+S312+S314)</f>
        <v>4127741.25</v>
      </c>
      <c r="T334" s="183"/>
      <c r="U334" s="183"/>
      <c r="V334" s="183"/>
    </row>
    <row r="335" spans="1:22" ht="12.75" hidden="1" customHeight="1" x14ac:dyDescent="0.25">
      <c r="A335" s="58"/>
      <c r="B335" s="61" t="s">
        <v>737</v>
      </c>
      <c r="C335" s="62"/>
      <c r="D335" s="62"/>
      <c r="E335" s="68"/>
      <c r="F335" s="68"/>
      <c r="G335" s="513"/>
      <c r="H335" s="68"/>
      <c r="I335" s="68"/>
      <c r="J335" s="68"/>
      <c r="K335" s="98">
        <f>L335+M335+N335</f>
        <v>1053405334.01</v>
      </c>
      <c r="L335" s="206">
        <f>SUM(L273+L298+L326)</f>
        <v>859747927.08000004</v>
      </c>
      <c r="M335" s="206">
        <f>SUM(M273+M298+M326)</f>
        <v>27816326.890000001</v>
      </c>
      <c r="N335" s="206">
        <f>SUM(N273+N298+N326)</f>
        <v>165841080.04000002</v>
      </c>
      <c r="O335" s="89"/>
      <c r="P335" s="98">
        <f>Q335+R335+S335</f>
        <v>747289706.4000001</v>
      </c>
      <c r="Q335" s="206">
        <f>SUM(Q273+Q298+Q326)</f>
        <v>705921109.20000005</v>
      </c>
      <c r="R335" s="206">
        <f>SUM(R273+R298+R326)</f>
        <v>28314435.469999999</v>
      </c>
      <c r="S335" s="206">
        <f>SUM(S273+S298+S326)</f>
        <v>13054161.73</v>
      </c>
      <c r="T335" s="183"/>
      <c r="U335" s="183"/>
      <c r="V335" s="183"/>
    </row>
    <row r="336" spans="1:22" ht="12.75" hidden="1" customHeight="1" x14ac:dyDescent="0.25">
      <c r="A336" s="58"/>
      <c r="B336" s="61" t="s">
        <v>738</v>
      </c>
      <c r="C336" s="62"/>
      <c r="D336" s="62"/>
      <c r="E336" s="68"/>
      <c r="F336" s="68"/>
      <c r="G336" s="513"/>
      <c r="H336" s="68"/>
      <c r="I336" s="68"/>
      <c r="J336" s="68"/>
      <c r="K336" s="98">
        <f>L336+M336+N336</f>
        <v>366454933.91000003</v>
      </c>
      <c r="L336" s="206">
        <f>SUM(L328)</f>
        <v>330048309.03000003</v>
      </c>
      <c r="M336" s="206">
        <f>SUM(M328)</f>
        <v>31535552.479999997</v>
      </c>
      <c r="N336" s="206">
        <f>SUM(N328)</f>
        <v>4871072.3999999724</v>
      </c>
      <c r="O336" s="89"/>
      <c r="P336" s="98">
        <f>Q336+R336+S336</f>
        <v>389509768.05999976</v>
      </c>
      <c r="Q336" s="206">
        <f>SUM(Q328)</f>
        <v>368479419.49999976</v>
      </c>
      <c r="R336" s="206">
        <f>SUM(R328)</f>
        <v>29956769.039999995</v>
      </c>
      <c r="S336" s="206">
        <f>SUM(S328)</f>
        <v>-8926420.4800000004</v>
      </c>
      <c r="T336" s="183"/>
      <c r="U336" s="183"/>
      <c r="V336" s="183"/>
    </row>
    <row r="337" spans="1:22" ht="12.75" customHeight="1" thickTop="1" x14ac:dyDescent="0.25">
      <c r="A337" s="57"/>
      <c r="B337" s="57"/>
      <c r="C337" s="57"/>
      <c r="D337" s="57"/>
      <c r="E337" s="57"/>
      <c r="F337" s="57"/>
      <c r="G337" s="511"/>
      <c r="H337" s="57"/>
      <c r="I337" s="57"/>
      <c r="J337" s="57"/>
      <c r="K337" s="203"/>
      <c r="L337" s="203"/>
      <c r="M337" s="203"/>
      <c r="N337" s="203"/>
      <c r="O337" s="89"/>
      <c r="P337" s="203"/>
      <c r="Q337" s="203"/>
      <c r="R337" s="203"/>
      <c r="S337" s="203"/>
      <c r="T337" s="183"/>
      <c r="U337" s="183"/>
      <c r="V337" s="183"/>
    </row>
    <row r="338" spans="1:22" x14ac:dyDescent="0.2">
      <c r="K338" s="187"/>
      <c r="L338" s="187"/>
      <c r="M338" s="187"/>
      <c r="N338" s="187"/>
      <c r="O338" s="183"/>
      <c r="P338" s="187"/>
      <c r="Q338" s="187"/>
      <c r="R338" s="187"/>
      <c r="S338" s="187"/>
      <c r="T338" s="183"/>
      <c r="U338" s="183"/>
      <c r="V338" s="183"/>
    </row>
    <row r="339" spans="1:22" hidden="1" x14ac:dyDescent="0.2">
      <c r="K339" s="187">
        <f>K328-'[4]SFP_All Funds_123119'!$O$183</f>
        <v>-23054834.140000045</v>
      </c>
      <c r="L339" s="187"/>
      <c r="M339" s="187"/>
      <c r="N339" s="187"/>
      <c r="O339" s="183"/>
      <c r="P339" s="187"/>
      <c r="Q339" s="187"/>
      <c r="R339" s="187"/>
      <c r="S339" s="187"/>
      <c r="T339" s="183"/>
      <c r="U339" s="183"/>
      <c r="V339" s="183"/>
    </row>
    <row r="340" spans="1:22" x14ac:dyDescent="0.2">
      <c r="K340" s="228"/>
    </row>
    <row r="342" spans="1:22" hidden="1" x14ac:dyDescent="0.2">
      <c r="K342" s="14">
        <f>L342+M342+N342</f>
        <v>389384538.55000001</v>
      </c>
      <c r="L342" s="14">
        <f>'[5]SFP_All Funds'!$K$170</f>
        <v>354175456.13</v>
      </c>
      <c r="M342" s="14">
        <f>'[5]SFP_All Funds'!$L$170</f>
        <v>35717371.350000009</v>
      </c>
      <c r="N342" s="14">
        <f>'[5]SFP_All Funds'!$M$170</f>
        <v>-508288.9299999997</v>
      </c>
    </row>
    <row r="343" spans="1:22" hidden="1" x14ac:dyDescent="0.2">
      <c r="K343" s="14">
        <f>K328-K342</f>
        <v>-22929604.640000105</v>
      </c>
      <c r="L343" s="14">
        <f>L328-L342</f>
        <v>-24127147.099999964</v>
      </c>
      <c r="M343" s="14">
        <f t="shared" ref="M343:N343" si="97">M328-M342</f>
        <v>-4181818.8700000122</v>
      </c>
      <c r="N343" s="14">
        <f t="shared" si="97"/>
        <v>5379361.3299999721</v>
      </c>
    </row>
    <row r="344" spans="1:22" x14ac:dyDescent="0.2">
      <c r="G344" s="514">
        <v>282369660.0999999</v>
      </c>
      <c r="H344" s="1">
        <v>43668115.359999992</v>
      </c>
      <c r="I344" s="1">
        <v>97042104.609999985</v>
      </c>
    </row>
    <row r="345" spans="1:22" x14ac:dyDescent="0.2">
      <c r="G345" s="514">
        <f>G328-G344</f>
        <v>0</v>
      </c>
      <c r="H345" s="514">
        <f>H328-H344</f>
        <v>0</v>
      </c>
      <c r="I345" s="514">
        <f>I328-I344</f>
        <v>0</v>
      </c>
    </row>
  </sheetData>
  <sheetProtection algorithmName="SHA-512" hashValue="PWzah5yuWp9mdwHSgHHozvXFHVaEQC7lypBMgIWw34/QLiyfk1TE+U80rNGZwk7evSyqcEaoIgL1IyXpbvdOBw==" saltValue="8sPNquX9Xq/LIDGtX+Q0bw==" spinCount="100000" sheet="1" objects="1" scenarios="1" selectLockedCells="1" selectUnlockedCells="1"/>
  <mergeCells count="12">
    <mergeCell ref="A1:S1"/>
    <mergeCell ref="A2:S2"/>
    <mergeCell ref="A3:S3"/>
    <mergeCell ref="A4:S4"/>
    <mergeCell ref="A5:S5"/>
    <mergeCell ref="A332:E333"/>
    <mergeCell ref="K332:N332"/>
    <mergeCell ref="P332:S332"/>
    <mergeCell ref="A7:E8"/>
    <mergeCell ref="K7:N7"/>
    <mergeCell ref="P7:S7"/>
    <mergeCell ref="F7:I7"/>
  </mergeCells>
  <pageMargins left="0.98425196850393704" right="0.98425196850393704" top="1.4960629921259843" bottom="0.98425196850393704" header="0.98425196850393704" footer="0.51181102362204722"/>
  <pageSetup scale="43" firstPageNumber="215" fitToHeight="0" orientation="landscape" useFirstPageNumber="1" horizontalDpi="360" verticalDpi="360" r:id="rId1"/>
  <headerFooter>
    <oddHeader>&amp;R&amp;"Times New Roman,Regular"&amp;12Annex B
AAR Page 5</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T42"/>
  <sheetViews>
    <sheetView showGridLines="0" zoomScaleNormal="100" zoomScaleSheetLayoutView="61" workbookViewId="0">
      <selection sqref="A1:R1"/>
    </sheetView>
  </sheetViews>
  <sheetFormatPr defaultColWidth="9.140625" defaultRowHeight="15" x14ac:dyDescent="0.25"/>
  <cols>
    <col min="1" max="3" width="2" style="38" customWidth="1"/>
    <col min="4" max="4" width="55.85546875" style="37" customWidth="1"/>
    <col min="5" max="8" width="17.7109375" style="37" customWidth="1"/>
    <col min="9" max="9" width="3" style="37" customWidth="1"/>
    <col min="10" max="10" width="17.7109375" style="38" bestFit="1" customWidth="1"/>
    <col min="11" max="11" width="17.7109375" style="36" bestFit="1" customWidth="1"/>
    <col min="12" max="12" width="16.140625" style="36" bestFit="1" customWidth="1"/>
    <col min="13" max="13" width="15" style="36" bestFit="1" customWidth="1"/>
    <col min="14" max="14" width="0.85546875" style="32" customWidth="1"/>
    <col min="15" max="16" width="17.7109375" style="32" hidden="1" customWidth="1"/>
    <col min="17" max="17" width="16.140625" style="32" hidden="1" customWidth="1"/>
    <col min="18" max="18" width="13.85546875" style="32" hidden="1" customWidth="1"/>
    <col min="19" max="19" width="14.5703125" style="32" bestFit="1" customWidth="1"/>
    <col min="20" max="16384" width="9.140625" style="32"/>
  </cols>
  <sheetData>
    <row r="1" spans="1:20" ht="18.75" x14ac:dyDescent="0.3">
      <c r="A1" s="614" t="s">
        <v>891</v>
      </c>
      <c r="B1" s="614"/>
      <c r="C1" s="614"/>
      <c r="D1" s="614"/>
      <c r="E1" s="614"/>
      <c r="F1" s="614"/>
      <c r="G1" s="614"/>
      <c r="H1" s="614"/>
      <c r="I1" s="614"/>
      <c r="J1" s="614"/>
      <c r="K1" s="614"/>
      <c r="L1" s="614"/>
      <c r="M1" s="614"/>
      <c r="N1" s="614"/>
      <c r="O1" s="614"/>
      <c r="P1" s="614"/>
      <c r="Q1" s="614"/>
      <c r="R1" s="614"/>
    </row>
    <row r="2" spans="1:20" ht="18.75" x14ac:dyDescent="0.2">
      <c r="A2" s="615" t="s">
        <v>898</v>
      </c>
      <c r="B2" s="615"/>
      <c r="C2" s="615"/>
      <c r="D2" s="615"/>
      <c r="E2" s="615"/>
      <c r="F2" s="615"/>
      <c r="G2" s="615"/>
      <c r="H2" s="615"/>
      <c r="I2" s="615"/>
      <c r="J2" s="615"/>
      <c r="K2" s="615"/>
      <c r="L2" s="615"/>
      <c r="M2" s="615"/>
      <c r="N2" s="615"/>
      <c r="O2" s="615"/>
      <c r="P2" s="615"/>
      <c r="Q2" s="615"/>
      <c r="R2" s="615"/>
    </row>
    <row r="3" spans="1:20" ht="18.75" x14ac:dyDescent="0.2">
      <c r="A3" s="615" t="s">
        <v>1369</v>
      </c>
      <c r="B3" s="615"/>
      <c r="C3" s="615"/>
      <c r="D3" s="615"/>
      <c r="E3" s="615"/>
      <c r="F3" s="615"/>
      <c r="G3" s="615"/>
      <c r="H3" s="615"/>
      <c r="I3" s="615"/>
      <c r="J3" s="615"/>
      <c r="K3" s="615"/>
      <c r="L3" s="615"/>
      <c r="M3" s="615"/>
      <c r="N3" s="615"/>
      <c r="O3" s="615"/>
      <c r="P3" s="615"/>
      <c r="Q3" s="615"/>
      <c r="R3" s="615"/>
    </row>
    <row r="4" spans="1:20" ht="18.75" x14ac:dyDescent="0.2">
      <c r="A4" s="616" t="s">
        <v>1370</v>
      </c>
      <c r="B4" s="616"/>
      <c r="C4" s="616"/>
      <c r="D4" s="616"/>
      <c r="E4" s="616"/>
      <c r="F4" s="616"/>
      <c r="G4" s="616"/>
      <c r="H4" s="616"/>
      <c r="I4" s="616"/>
      <c r="J4" s="616"/>
      <c r="K4" s="616"/>
      <c r="L4" s="616"/>
      <c r="M4" s="616"/>
      <c r="N4" s="616"/>
      <c r="O4" s="616"/>
      <c r="P4" s="616"/>
      <c r="Q4" s="616"/>
      <c r="R4" s="616"/>
    </row>
    <row r="5" spans="1:20" ht="18.75" x14ac:dyDescent="0.2">
      <c r="A5" s="613" t="s">
        <v>890</v>
      </c>
      <c r="B5" s="613"/>
      <c r="C5" s="613"/>
      <c r="D5" s="613"/>
      <c r="E5" s="613"/>
      <c r="F5" s="613"/>
      <c r="G5" s="613"/>
      <c r="H5" s="613"/>
      <c r="I5" s="613"/>
      <c r="J5" s="613"/>
      <c r="K5" s="613"/>
      <c r="L5" s="613"/>
      <c r="M5" s="613"/>
      <c r="N5" s="613"/>
      <c r="O5" s="613"/>
      <c r="P5" s="613"/>
      <c r="Q5" s="613"/>
      <c r="R5" s="613"/>
    </row>
    <row r="6" spans="1:20" ht="12.75" hidden="1" x14ac:dyDescent="0.2">
      <c r="A6" s="4"/>
      <c r="B6" s="33"/>
      <c r="C6" s="33"/>
      <c r="D6" s="34"/>
      <c r="E6" s="34"/>
      <c r="F6" s="34"/>
      <c r="G6" s="34"/>
      <c r="H6" s="34"/>
      <c r="I6" s="34"/>
      <c r="J6" s="35"/>
      <c r="K6" s="54"/>
      <c r="L6" s="54"/>
      <c r="M6" s="54"/>
    </row>
    <row r="7" spans="1:20" ht="12.75" x14ac:dyDescent="0.2">
      <c r="A7" s="39"/>
      <c r="B7" s="56"/>
      <c r="C7" s="56"/>
      <c r="D7" s="140"/>
      <c r="E7" s="140"/>
      <c r="F7" s="140"/>
      <c r="G7" s="140"/>
      <c r="H7" s="140"/>
      <c r="I7" s="140"/>
      <c r="J7" s="141"/>
      <c r="K7" s="142"/>
      <c r="L7" s="142"/>
      <c r="M7" s="142"/>
      <c r="N7" s="143"/>
      <c r="O7" s="143"/>
      <c r="P7" s="143"/>
      <c r="Q7" s="143"/>
      <c r="R7" s="143"/>
    </row>
    <row r="8" spans="1:20" ht="12.75" x14ac:dyDescent="0.2">
      <c r="A8" s="621" t="s">
        <v>6</v>
      </c>
      <c r="B8" s="621"/>
      <c r="C8" s="621"/>
      <c r="D8" s="621"/>
      <c r="E8" s="622">
        <v>2021</v>
      </c>
      <c r="F8" s="622"/>
      <c r="G8" s="622"/>
      <c r="H8" s="622"/>
      <c r="I8" s="364"/>
      <c r="J8" s="622">
        <v>2020</v>
      </c>
      <c r="K8" s="622"/>
      <c r="L8" s="622"/>
      <c r="M8" s="622"/>
      <c r="N8" s="3"/>
      <c r="O8" s="622">
        <v>2019</v>
      </c>
      <c r="P8" s="622"/>
      <c r="Q8" s="622"/>
      <c r="R8" s="622"/>
    </row>
    <row r="9" spans="1:20" ht="12.75" x14ac:dyDescent="0.2">
      <c r="A9" s="56"/>
      <c r="B9" s="56"/>
      <c r="C9" s="56"/>
      <c r="D9" s="140"/>
      <c r="E9" s="6" t="s">
        <v>1</v>
      </c>
      <c r="F9" s="7" t="s">
        <v>7</v>
      </c>
      <c r="G9" s="7" t="s">
        <v>8</v>
      </c>
      <c r="H9" s="7" t="s">
        <v>9</v>
      </c>
      <c r="I9" s="140"/>
      <c r="J9" s="6" t="s">
        <v>1</v>
      </c>
      <c r="K9" s="7" t="s">
        <v>7</v>
      </c>
      <c r="L9" s="7" t="s">
        <v>8</v>
      </c>
      <c r="M9" s="7" t="s">
        <v>9</v>
      </c>
      <c r="N9" s="3"/>
      <c r="O9" s="6" t="s">
        <v>1</v>
      </c>
      <c r="P9" s="7" t="s">
        <v>7</v>
      </c>
      <c r="Q9" s="7" t="s">
        <v>8</v>
      </c>
      <c r="R9" s="7" t="s">
        <v>9</v>
      </c>
    </row>
    <row r="10" spans="1:20" ht="12.75" x14ac:dyDescent="0.2">
      <c r="A10" s="144" t="s">
        <v>414</v>
      </c>
      <c r="B10" s="145"/>
      <c r="C10" s="146"/>
      <c r="D10" s="147"/>
      <c r="E10" s="148"/>
      <c r="F10" s="145"/>
      <c r="G10" s="145"/>
      <c r="H10" s="145"/>
      <c r="I10" s="147"/>
      <c r="J10" s="148"/>
      <c r="K10" s="145"/>
      <c r="L10" s="145"/>
      <c r="M10" s="145"/>
      <c r="N10" s="143"/>
      <c r="O10" s="148"/>
      <c r="P10" s="145"/>
      <c r="Q10" s="145"/>
      <c r="R10" s="145"/>
    </row>
    <row r="11" spans="1:20" ht="12.75" x14ac:dyDescent="0.2">
      <c r="A11" s="149"/>
      <c r="B11" s="144" t="s">
        <v>739</v>
      </c>
      <c r="C11" s="146"/>
      <c r="D11" s="147"/>
      <c r="E11" s="168">
        <f>F11+G11+H11</f>
        <v>2949632210.3099999</v>
      </c>
      <c r="F11" s="169">
        <f>K27</f>
        <v>2616397961.8099999</v>
      </c>
      <c r="G11" s="169">
        <f>L27</f>
        <v>296525959.82999998</v>
      </c>
      <c r="H11" s="169">
        <f>M27</f>
        <v>36708288.669999979</v>
      </c>
      <c r="I11" s="147"/>
      <c r="J11" s="168">
        <f>K11+L11+M11</f>
        <v>2774400831.04</v>
      </c>
      <c r="K11" s="169">
        <f>+P27</f>
        <v>2464760611.52</v>
      </c>
      <c r="L11" s="169">
        <f>+Q27</f>
        <v>276641278.02999997</v>
      </c>
      <c r="M11" s="169">
        <f>+R27</f>
        <v>32998941.490000006</v>
      </c>
      <c r="N11" s="170"/>
      <c r="O11" s="168">
        <f t="shared" ref="O11" si="0">P11+Q11+R11</f>
        <v>2395085382.1599998</v>
      </c>
      <c r="P11" s="169">
        <v>2109949036.29</v>
      </c>
      <c r="Q11" s="169">
        <v>243004158.64999998</v>
      </c>
      <c r="R11" s="169">
        <v>42132187.220000006</v>
      </c>
      <c r="S11" s="176"/>
      <c r="T11" s="177"/>
    </row>
    <row r="12" spans="1:20" ht="12.75" hidden="1" x14ac:dyDescent="0.2">
      <c r="A12" s="149"/>
      <c r="B12" s="146" t="s">
        <v>740</v>
      </c>
      <c r="C12" s="146"/>
      <c r="D12" s="147"/>
      <c r="E12" s="168">
        <f>F12+G12+H12</f>
        <v>0</v>
      </c>
      <c r="F12" s="169"/>
      <c r="G12" s="169"/>
      <c r="H12" s="169"/>
      <c r="I12" s="147"/>
      <c r="J12" s="168">
        <f>K12+L12+M12</f>
        <v>0</v>
      </c>
      <c r="K12" s="169"/>
      <c r="L12" s="169"/>
      <c r="M12" s="169"/>
      <c r="N12" s="170"/>
      <c r="O12" s="168">
        <v>0</v>
      </c>
      <c r="P12" s="169">
        <v>0</v>
      </c>
      <c r="Q12" s="169">
        <v>0</v>
      </c>
      <c r="R12" s="169">
        <v>0</v>
      </c>
      <c r="S12" s="176"/>
      <c r="T12" s="177"/>
    </row>
    <row r="13" spans="1:20" ht="12.75" hidden="1" x14ac:dyDescent="0.2">
      <c r="A13" s="149"/>
      <c r="B13" s="146"/>
      <c r="C13" s="146" t="s">
        <v>741</v>
      </c>
      <c r="D13" s="147"/>
      <c r="E13" s="168"/>
      <c r="F13" s="168"/>
      <c r="G13" s="169"/>
      <c r="H13" s="169"/>
      <c r="I13" s="147"/>
      <c r="J13" s="168"/>
      <c r="K13" s="168"/>
      <c r="L13" s="169"/>
      <c r="M13" s="169"/>
      <c r="N13" s="170"/>
      <c r="O13" s="168"/>
      <c r="P13" s="168"/>
      <c r="Q13" s="169">
        <v>0</v>
      </c>
      <c r="R13" s="169">
        <v>0</v>
      </c>
      <c r="S13" s="176"/>
      <c r="T13" s="177"/>
    </row>
    <row r="14" spans="1:20" ht="12.75" x14ac:dyDescent="0.2">
      <c r="A14" s="149"/>
      <c r="B14" s="146"/>
      <c r="C14" s="145"/>
      <c r="D14" s="147" t="s">
        <v>742</v>
      </c>
      <c r="E14" s="168">
        <f t="shared" ref="E14:E15" si="1">F14+G14+H14</f>
        <v>0</v>
      </c>
      <c r="F14" s="230">
        <v>0</v>
      </c>
      <c r="G14" s="230">
        <v>0</v>
      </c>
      <c r="H14" s="230">
        <v>0</v>
      </c>
      <c r="I14" s="147"/>
      <c r="J14" s="168">
        <f t="shared" ref="J14:J15" si="2">K14+L14+M14</f>
        <v>0</v>
      </c>
      <c r="K14" s="230">
        <v>0</v>
      </c>
      <c r="L14" s="230">
        <v>0</v>
      </c>
      <c r="M14" s="230">
        <v>0</v>
      </c>
      <c r="N14" s="170"/>
      <c r="O14" s="168">
        <f t="shared" ref="O14:O15" si="3">P14+Q14+R14</f>
        <v>0</v>
      </c>
      <c r="P14" s="169">
        <v>0</v>
      </c>
      <c r="Q14" s="169">
        <v>0</v>
      </c>
      <c r="R14" s="169">
        <v>0</v>
      </c>
      <c r="S14" s="176"/>
      <c r="T14" s="177"/>
    </row>
    <row r="15" spans="1:20" ht="12.75" x14ac:dyDescent="0.2">
      <c r="A15" s="149"/>
      <c r="B15" s="146"/>
      <c r="C15" s="145"/>
      <c r="D15" s="150" t="s">
        <v>743</v>
      </c>
      <c r="E15" s="168">
        <f t="shared" si="1"/>
        <v>-345655673.99000001</v>
      </c>
      <c r="F15" s="169">
        <v>-163635158.09</v>
      </c>
      <c r="G15" s="169">
        <v>-180614344.16999999</v>
      </c>
      <c r="H15" s="169">
        <v>-1406171.73</v>
      </c>
      <c r="I15" s="150"/>
      <c r="J15" s="168">
        <f t="shared" si="2"/>
        <v>-191223554.64000002</v>
      </c>
      <c r="K15" s="169">
        <v>-178410958.74000001</v>
      </c>
      <c r="L15" s="169">
        <v>-11650870.68</v>
      </c>
      <c r="M15" s="169">
        <v>-1161725.22</v>
      </c>
      <c r="N15" s="170"/>
      <c r="O15" s="168">
        <f t="shared" si="3"/>
        <v>-10194319.18</v>
      </c>
      <c r="P15" s="169">
        <v>-13667844.27</v>
      </c>
      <c r="Q15" s="169">
        <v>3680350.3399999994</v>
      </c>
      <c r="R15" s="169">
        <v>-206825.25</v>
      </c>
      <c r="S15" s="176"/>
      <c r="T15" s="177"/>
    </row>
    <row r="16" spans="1:20" ht="12.75" x14ac:dyDescent="0.2">
      <c r="A16" s="151"/>
      <c r="B16" s="46" t="s">
        <v>744</v>
      </c>
      <c r="C16" s="152"/>
      <c r="D16" s="147"/>
      <c r="E16" s="171">
        <f>SUM(E11:E15)</f>
        <v>2603976536.3199997</v>
      </c>
      <c r="F16" s="171">
        <f t="shared" ref="F16:H16" si="4">SUM(F11:F15)</f>
        <v>2452762803.7199998</v>
      </c>
      <c r="G16" s="171">
        <f t="shared" si="4"/>
        <v>115911615.66</v>
      </c>
      <c r="H16" s="171">
        <f t="shared" si="4"/>
        <v>35302116.939999983</v>
      </c>
      <c r="I16" s="147"/>
      <c r="J16" s="171">
        <f>SUM(J11:J15)</f>
        <v>2583177276.4000001</v>
      </c>
      <c r="K16" s="171">
        <f t="shared" ref="K16:M16" si="5">SUM(K11:K15)</f>
        <v>2286349652.7799997</v>
      </c>
      <c r="L16" s="171">
        <f t="shared" si="5"/>
        <v>264990407.34999996</v>
      </c>
      <c r="M16" s="171">
        <f t="shared" si="5"/>
        <v>31837216.270000007</v>
      </c>
      <c r="N16" s="170"/>
      <c r="O16" s="171">
        <f>SUM(O11:O15)</f>
        <v>2384891062.98</v>
      </c>
      <c r="P16" s="171">
        <v>2096281192.02</v>
      </c>
      <c r="Q16" s="171">
        <v>246684508.98999998</v>
      </c>
      <c r="R16" s="171">
        <v>41925361.970000006</v>
      </c>
      <c r="S16" s="176"/>
      <c r="T16" s="177"/>
    </row>
    <row r="17" spans="1:20" ht="12.75" x14ac:dyDescent="0.2">
      <c r="A17" s="149"/>
      <c r="B17" s="623" t="s">
        <v>745</v>
      </c>
      <c r="C17" s="623"/>
      <c r="D17" s="623"/>
      <c r="E17" s="172"/>
      <c r="F17" s="168"/>
      <c r="G17" s="168"/>
      <c r="H17" s="168"/>
      <c r="I17" s="365"/>
      <c r="J17" s="172"/>
      <c r="K17" s="168"/>
      <c r="L17" s="168"/>
      <c r="M17" s="168"/>
      <c r="N17" s="170"/>
      <c r="O17" s="172"/>
      <c r="P17" s="168"/>
      <c r="Q17" s="168"/>
      <c r="R17" s="168"/>
      <c r="S17" s="176"/>
      <c r="T17" s="177"/>
    </row>
    <row r="18" spans="1:20" ht="12.75" hidden="1" x14ac:dyDescent="0.2">
      <c r="A18" s="149"/>
      <c r="B18" s="144"/>
      <c r="C18" s="152" t="s">
        <v>746</v>
      </c>
      <c r="D18" s="147"/>
      <c r="E18" s="168">
        <f t="shared" ref="E18:E20" si="6">F18+G18+H18</f>
        <v>0</v>
      </c>
      <c r="F18" s="169">
        <v>0</v>
      </c>
      <c r="G18" s="169">
        <v>0</v>
      </c>
      <c r="H18" s="169">
        <v>0</v>
      </c>
      <c r="I18" s="147"/>
      <c r="J18" s="168">
        <f t="shared" ref="J18:J20" si="7">K18+L18+M18</f>
        <v>0</v>
      </c>
      <c r="K18" s="169">
        <v>0</v>
      </c>
      <c r="L18" s="169">
        <v>0</v>
      </c>
      <c r="M18" s="169">
        <v>0</v>
      </c>
      <c r="N18" s="170"/>
      <c r="O18" s="168">
        <f t="shared" ref="O18:O20" si="8">P18+Q18+R18</f>
        <v>0</v>
      </c>
      <c r="P18" s="169">
        <v>0</v>
      </c>
      <c r="Q18" s="169">
        <v>0</v>
      </c>
      <c r="R18" s="169">
        <v>0</v>
      </c>
      <c r="S18" s="176"/>
      <c r="T18" s="177"/>
    </row>
    <row r="19" spans="1:20" hidden="1" x14ac:dyDescent="0.25">
      <c r="A19" s="149"/>
      <c r="B19" s="146"/>
      <c r="C19" s="152" t="s">
        <v>747</v>
      </c>
      <c r="D19" s="153"/>
      <c r="E19" s="168">
        <f t="shared" si="6"/>
        <v>0</v>
      </c>
      <c r="F19" s="169">
        <v>0</v>
      </c>
      <c r="G19" s="169">
        <v>0</v>
      </c>
      <c r="H19" s="169">
        <v>0</v>
      </c>
      <c r="I19" s="153"/>
      <c r="J19" s="168">
        <f t="shared" si="7"/>
        <v>0</v>
      </c>
      <c r="K19" s="169">
        <v>0</v>
      </c>
      <c r="L19" s="169">
        <v>0</v>
      </c>
      <c r="M19" s="169">
        <v>0</v>
      </c>
      <c r="N19" s="170"/>
      <c r="O19" s="168">
        <f t="shared" si="8"/>
        <v>0</v>
      </c>
      <c r="P19" s="169">
        <v>0</v>
      </c>
      <c r="Q19" s="169">
        <v>0</v>
      </c>
      <c r="R19" s="169">
        <v>0</v>
      </c>
      <c r="S19" s="176"/>
      <c r="T19" s="177"/>
    </row>
    <row r="20" spans="1:20" ht="12.75" x14ac:dyDescent="0.2">
      <c r="A20" s="154"/>
      <c r="B20" s="155"/>
      <c r="C20" s="152" t="s">
        <v>748</v>
      </c>
      <c r="D20" s="147"/>
      <c r="E20" s="168">
        <f t="shared" si="6"/>
        <v>423079880.07000005</v>
      </c>
      <c r="F20" s="169">
        <f>B!G328</f>
        <v>282369660.10000002</v>
      </c>
      <c r="G20" s="169">
        <f>B!H328</f>
        <v>43668115.359999992</v>
      </c>
      <c r="H20" s="169">
        <f>B!I328</f>
        <v>97042104.609999999</v>
      </c>
      <c r="I20" s="147"/>
      <c r="J20" s="168">
        <f t="shared" si="7"/>
        <v>366454933.91000003</v>
      </c>
      <c r="K20" s="169">
        <f>+B!L328</f>
        <v>330048309.03000003</v>
      </c>
      <c r="L20" s="169">
        <f>+B!M328</f>
        <v>31535552.479999997</v>
      </c>
      <c r="M20" s="169">
        <f>+B!N328</f>
        <v>4871072.3999999724</v>
      </c>
      <c r="N20" s="170"/>
      <c r="O20" s="168">
        <f t="shared" si="8"/>
        <v>389509768.05999994</v>
      </c>
      <c r="P20" s="169">
        <v>368479419.5</v>
      </c>
      <c r="Q20" s="169">
        <v>29956769.039999992</v>
      </c>
      <c r="R20" s="169">
        <v>-8926420.4800000004</v>
      </c>
      <c r="S20" s="176"/>
      <c r="T20" s="177"/>
    </row>
    <row r="21" spans="1:20" ht="13.5" x14ac:dyDescent="0.2">
      <c r="A21" s="156"/>
      <c r="B21" s="144"/>
      <c r="C21" s="620" t="s">
        <v>749</v>
      </c>
      <c r="D21" s="620"/>
      <c r="E21" s="171">
        <f>SUM(E18:E20)</f>
        <v>423079880.07000005</v>
      </c>
      <c r="F21" s="171">
        <f>SUM(F18:F20)</f>
        <v>282369660.10000002</v>
      </c>
      <c r="G21" s="171">
        <f>SUM(G18:G20)</f>
        <v>43668115.359999992</v>
      </c>
      <c r="H21" s="171">
        <f>SUM(H18:H20)</f>
        <v>97042104.609999999</v>
      </c>
      <c r="I21" s="363"/>
      <c r="J21" s="171">
        <f>SUM(J18:J20)</f>
        <v>366454933.91000003</v>
      </c>
      <c r="K21" s="171">
        <f>SUM(K18:K20)</f>
        <v>330048309.03000003</v>
      </c>
      <c r="L21" s="171">
        <f>SUM(L18:L20)</f>
        <v>31535552.479999997</v>
      </c>
      <c r="M21" s="171">
        <f>SUM(M18:M20)</f>
        <v>4871072.3999999724</v>
      </c>
      <c r="N21" s="170"/>
      <c r="O21" s="171">
        <f>SUM(O18:O20)</f>
        <v>389509768.05999994</v>
      </c>
      <c r="P21" s="171">
        <v>368479419.5</v>
      </c>
      <c r="Q21" s="171">
        <v>29956769.039999992</v>
      </c>
      <c r="R21" s="171">
        <v>-8926420.4800000004</v>
      </c>
      <c r="S21" s="176"/>
      <c r="T21" s="177"/>
    </row>
    <row r="22" spans="1:20" ht="13.5" x14ac:dyDescent="0.2">
      <c r="A22" s="156"/>
      <c r="B22" s="144" t="s">
        <v>750</v>
      </c>
      <c r="C22" s="46"/>
      <c r="D22" s="157"/>
      <c r="E22" s="224">
        <f t="shared" ref="E22:E26" si="9">F22+G22+H22</f>
        <v>0</v>
      </c>
      <c r="F22" s="225">
        <v>0</v>
      </c>
      <c r="G22" s="225">
        <v>0</v>
      </c>
      <c r="H22" s="225">
        <v>0</v>
      </c>
      <c r="I22" s="157"/>
      <c r="J22" s="224">
        <f t="shared" ref="J22" si="10">K22+L22+M22</f>
        <v>0</v>
      </c>
      <c r="K22" s="225">
        <v>0</v>
      </c>
      <c r="L22" s="225">
        <v>0</v>
      </c>
      <c r="M22" s="225">
        <v>0</v>
      </c>
      <c r="N22" s="170"/>
      <c r="O22" s="224">
        <f t="shared" ref="O22" si="11">P22+Q22+R22</f>
        <v>0</v>
      </c>
      <c r="P22" s="225">
        <v>0</v>
      </c>
      <c r="Q22" s="225">
        <v>0</v>
      </c>
      <c r="R22" s="225">
        <v>0</v>
      </c>
      <c r="S22" s="176"/>
      <c r="T22" s="177"/>
    </row>
    <row r="23" spans="1:20" hidden="1" x14ac:dyDescent="0.25">
      <c r="A23" s="149"/>
      <c r="B23" s="146"/>
      <c r="C23" s="158"/>
      <c r="D23" s="167" t="s">
        <v>751</v>
      </c>
      <c r="E23" s="173">
        <f t="shared" si="9"/>
        <v>0</v>
      </c>
      <c r="F23" s="174"/>
      <c r="G23" s="174"/>
      <c r="H23" s="174"/>
      <c r="I23" s="167"/>
      <c r="J23" s="173">
        <f t="shared" ref="J23:J26" si="12">K23+L23+M23</f>
        <v>0</v>
      </c>
      <c r="K23" s="174"/>
      <c r="L23" s="174"/>
      <c r="M23" s="174"/>
      <c r="N23" s="170"/>
      <c r="O23" s="173">
        <f t="shared" ref="O23:O26" si="13">P23+Q23+R23</f>
        <v>0</v>
      </c>
      <c r="P23" s="174"/>
      <c r="Q23" s="174"/>
      <c r="R23" s="174"/>
      <c r="S23" s="176"/>
      <c r="T23" s="177"/>
    </row>
    <row r="24" spans="1:20" hidden="1" x14ac:dyDescent="0.25">
      <c r="A24" s="149"/>
      <c r="B24" s="146"/>
      <c r="C24" s="158"/>
      <c r="D24" s="167" t="s">
        <v>752</v>
      </c>
      <c r="E24" s="168">
        <f t="shared" si="9"/>
        <v>0</v>
      </c>
      <c r="F24" s="169"/>
      <c r="G24" s="169"/>
      <c r="H24" s="169"/>
      <c r="I24" s="167"/>
      <c r="J24" s="168">
        <f t="shared" si="12"/>
        <v>0</v>
      </c>
      <c r="K24" s="169"/>
      <c r="L24" s="169"/>
      <c r="M24" s="169"/>
      <c r="N24" s="170"/>
      <c r="O24" s="168">
        <f t="shared" si="13"/>
        <v>0</v>
      </c>
      <c r="P24" s="169"/>
      <c r="Q24" s="169"/>
      <c r="R24" s="169"/>
      <c r="S24" s="176"/>
      <c r="T24" s="177"/>
    </row>
    <row r="25" spans="1:20" hidden="1" x14ac:dyDescent="0.25">
      <c r="A25" s="149"/>
      <c r="B25" s="146"/>
      <c r="C25" s="158"/>
      <c r="D25" s="167" t="s">
        <v>753</v>
      </c>
      <c r="E25" s="168">
        <f t="shared" si="9"/>
        <v>0</v>
      </c>
      <c r="F25" s="169"/>
      <c r="G25" s="169"/>
      <c r="H25" s="169"/>
      <c r="I25" s="167"/>
      <c r="J25" s="168">
        <f t="shared" si="12"/>
        <v>0</v>
      </c>
      <c r="K25" s="169"/>
      <c r="L25" s="169"/>
      <c r="M25" s="169"/>
      <c r="N25" s="170"/>
      <c r="O25" s="168">
        <f t="shared" si="13"/>
        <v>0</v>
      </c>
      <c r="P25" s="169"/>
      <c r="Q25" s="169"/>
      <c r="R25" s="169"/>
      <c r="S25" s="176"/>
      <c r="T25" s="177"/>
    </row>
    <row r="26" spans="1:20" hidden="1" x14ac:dyDescent="0.25">
      <c r="A26" s="149"/>
      <c r="B26" s="146"/>
      <c r="C26" s="158"/>
      <c r="D26" s="167" t="s">
        <v>754</v>
      </c>
      <c r="E26" s="173">
        <f t="shared" si="9"/>
        <v>0</v>
      </c>
      <c r="F26" s="174"/>
      <c r="G26" s="174"/>
      <c r="H26" s="174"/>
      <c r="I26" s="167"/>
      <c r="J26" s="173">
        <f t="shared" si="12"/>
        <v>0</v>
      </c>
      <c r="K26" s="174"/>
      <c r="L26" s="174"/>
      <c r="M26" s="174"/>
      <c r="N26" s="170"/>
      <c r="O26" s="173">
        <f t="shared" si="13"/>
        <v>0</v>
      </c>
      <c r="P26" s="174"/>
      <c r="Q26" s="174"/>
      <c r="R26" s="174"/>
      <c r="S26" s="176"/>
      <c r="T26" s="177"/>
    </row>
    <row r="27" spans="1:20" ht="13.5" thickBot="1" x14ac:dyDescent="0.25">
      <c r="A27" s="159"/>
      <c r="B27" s="144" t="s">
        <v>755</v>
      </c>
      <c r="C27" s="160"/>
      <c r="D27" s="161"/>
      <c r="E27" s="178">
        <f>E16+E21+E23+E24+E25+E26</f>
        <v>3027056416.3899999</v>
      </c>
      <c r="F27" s="178">
        <f>F16+F21+F23+F24+F25+F26</f>
        <v>2735132463.8199997</v>
      </c>
      <c r="G27" s="178">
        <f>G16+G21+G23+G24+G25+G26</f>
        <v>159579731.01999998</v>
      </c>
      <c r="H27" s="178">
        <f>H16+H21+H23+H24+H25+H26</f>
        <v>132344221.54999998</v>
      </c>
      <c r="I27" s="161"/>
      <c r="J27" s="178">
        <f>J16+J21+J23+J24+J25+J26</f>
        <v>2949632210.3099999</v>
      </c>
      <c r="K27" s="178">
        <f>K16+K21+K23+K24+K25+K26</f>
        <v>2616397961.8099999</v>
      </c>
      <c r="L27" s="178">
        <f>L16+L21+L23+L24+L25+L26</f>
        <v>296525959.82999998</v>
      </c>
      <c r="M27" s="178">
        <f>M16+M21+M23+M24+M25+M26</f>
        <v>36708288.669999979</v>
      </c>
      <c r="N27" s="170"/>
      <c r="O27" s="178">
        <f>O16+O21+O23+O24+O25+O26</f>
        <v>2774400831.04</v>
      </c>
      <c r="P27" s="178">
        <v>2464760611.52</v>
      </c>
      <c r="Q27" s="178">
        <v>276641278.02999997</v>
      </c>
      <c r="R27" s="178">
        <v>32998941.490000006</v>
      </c>
      <c r="S27" s="176"/>
      <c r="T27" s="177"/>
    </row>
    <row r="28" spans="1:20" ht="13.5" thickTop="1" x14ac:dyDescent="0.2">
      <c r="A28" s="159"/>
      <c r="B28" s="144"/>
      <c r="C28" s="162"/>
      <c r="D28" s="161"/>
      <c r="E28" s="161"/>
      <c r="F28" s="161"/>
      <c r="G28" s="161"/>
      <c r="H28" s="161"/>
      <c r="I28" s="161"/>
      <c r="J28" s="172"/>
      <c r="K28" s="172"/>
      <c r="L28" s="172"/>
      <c r="M28" s="172"/>
      <c r="N28" s="170"/>
      <c r="O28" s="172"/>
      <c r="P28" s="172"/>
      <c r="Q28" s="172"/>
      <c r="R28" s="172"/>
      <c r="S28" s="176"/>
      <c r="T28" s="177"/>
    </row>
    <row r="29" spans="1:20" ht="12.75" hidden="1" x14ac:dyDescent="0.2">
      <c r="A29" s="154" t="s">
        <v>756</v>
      </c>
      <c r="B29" s="154"/>
      <c r="C29" s="155"/>
      <c r="D29" s="150"/>
      <c r="E29" s="150"/>
      <c r="F29" s="150"/>
      <c r="G29" s="150"/>
      <c r="H29" s="150"/>
      <c r="I29" s="150"/>
      <c r="J29" s="168">
        <f t="shared" ref="J29:J30" si="14">K29+L29+M29</f>
        <v>366454933.91000003</v>
      </c>
      <c r="K29" s="175">
        <f>B!L328</f>
        <v>330048309.03000003</v>
      </c>
      <c r="L29" s="175">
        <f>B!M328</f>
        <v>31535552.479999997</v>
      </c>
      <c r="M29" s="175">
        <f>B!N328</f>
        <v>4871072.3999999724</v>
      </c>
      <c r="N29" s="180"/>
      <c r="O29" s="168">
        <f t="shared" ref="O29:O30" si="15">P29+Q29+R29</f>
        <v>389509768.05999976</v>
      </c>
      <c r="P29" s="175">
        <f>B!Q328</f>
        <v>368479419.49999976</v>
      </c>
      <c r="Q29" s="175">
        <f>B!R328</f>
        <v>29956769.039999995</v>
      </c>
      <c r="R29" s="175">
        <f>B!S328</f>
        <v>-8926420.4800000004</v>
      </c>
      <c r="S29" s="176"/>
      <c r="T29" s="177"/>
    </row>
    <row r="30" spans="1:20" ht="12.75" hidden="1" x14ac:dyDescent="0.2">
      <c r="A30" s="154" t="s">
        <v>757</v>
      </c>
      <c r="B30" s="154"/>
      <c r="C30" s="155"/>
      <c r="D30" s="150"/>
      <c r="E30" s="150"/>
      <c r="F30" s="150"/>
      <c r="G30" s="150"/>
      <c r="H30" s="150"/>
      <c r="I30" s="150"/>
      <c r="J30" s="168">
        <f t="shared" si="14"/>
        <v>0</v>
      </c>
      <c r="K30" s="175">
        <f>SUM(K20-K29)</f>
        <v>0</v>
      </c>
      <c r="L30" s="175">
        <f t="shared" ref="L30:M30" si="16">SUM(L20-L29)</f>
        <v>0</v>
      </c>
      <c r="M30" s="175">
        <f t="shared" si="16"/>
        <v>0</v>
      </c>
      <c r="N30" s="180"/>
      <c r="O30" s="168">
        <f t="shared" si="15"/>
        <v>2.3469328880310059E-7</v>
      </c>
      <c r="P30" s="175">
        <f>SUM(P20-P29)</f>
        <v>2.384185791015625E-7</v>
      </c>
      <c r="Q30" s="175">
        <f t="shared" ref="Q30:R30" si="17">SUM(Q20-Q29)</f>
        <v>-3.7252902984619141E-9</v>
      </c>
      <c r="R30" s="175">
        <f t="shared" si="17"/>
        <v>0</v>
      </c>
      <c r="S30" s="176"/>
      <c r="T30" s="177"/>
    </row>
    <row r="31" spans="1:20" ht="12.75" hidden="1" x14ac:dyDescent="0.2">
      <c r="A31" s="2"/>
      <c r="B31" s="2"/>
      <c r="C31" s="10"/>
      <c r="D31" s="163"/>
      <c r="E31" s="163"/>
      <c r="F31" s="163"/>
      <c r="G31" s="163"/>
      <c r="H31" s="163"/>
      <c r="I31" s="163"/>
      <c r="J31" s="175"/>
      <c r="K31" s="175"/>
      <c r="L31" s="175"/>
      <c r="M31" s="175"/>
      <c r="N31" s="180"/>
      <c r="O31" s="175"/>
      <c r="P31" s="175"/>
      <c r="Q31" s="175"/>
      <c r="R31" s="175"/>
      <c r="S31" s="176"/>
      <c r="T31" s="177"/>
    </row>
    <row r="32" spans="1:20" ht="12.75" hidden="1" x14ac:dyDescent="0.2">
      <c r="A32" s="154" t="s">
        <v>896</v>
      </c>
      <c r="B32" s="10"/>
      <c r="C32" s="164"/>
      <c r="D32" s="165"/>
      <c r="E32" s="165"/>
      <c r="F32" s="165"/>
      <c r="G32" s="165"/>
      <c r="H32" s="165"/>
      <c r="I32" s="165"/>
      <c r="J32" s="168">
        <f t="shared" ref="J32:J33" si="18">K32+L32+M32</f>
        <v>2949632210.3099999</v>
      </c>
      <c r="K32" s="175">
        <f>A!L545</f>
        <v>2616397961.8099999</v>
      </c>
      <c r="L32" s="175">
        <f>A!M545</f>
        <v>296525959.82999998</v>
      </c>
      <c r="M32" s="175">
        <f>A!N545</f>
        <v>36708288.669999979</v>
      </c>
      <c r="N32" s="180"/>
      <c r="O32" s="168">
        <f t="shared" ref="O32:O33" si="19">P32+Q32+R32</f>
        <v>2774400831.04</v>
      </c>
      <c r="P32" s="175">
        <f>A!Q545</f>
        <v>2464760611.52</v>
      </c>
      <c r="Q32" s="175">
        <f>A!R545</f>
        <v>276641278.02999997</v>
      </c>
      <c r="R32" s="175">
        <f>A!S545</f>
        <v>32998941.490000006</v>
      </c>
      <c r="S32" s="176"/>
      <c r="T32" s="177"/>
    </row>
    <row r="33" spans="1:20" ht="12.75" hidden="1" x14ac:dyDescent="0.2">
      <c r="A33" s="154" t="s">
        <v>757</v>
      </c>
      <c r="B33" s="10"/>
      <c r="C33" s="164"/>
      <c r="D33" s="165"/>
      <c r="E33" s="165"/>
      <c r="F33" s="165"/>
      <c r="G33" s="165"/>
      <c r="H33" s="165"/>
      <c r="I33" s="165"/>
      <c r="J33" s="168">
        <f t="shared" si="18"/>
        <v>0</v>
      </c>
      <c r="K33" s="175">
        <f>SUM(K27-K32)</f>
        <v>0</v>
      </c>
      <c r="L33" s="175">
        <f t="shared" ref="L33:M33" si="20">SUM(L27-L32)</f>
        <v>0</v>
      </c>
      <c r="M33" s="175">
        <f t="shared" si="20"/>
        <v>0</v>
      </c>
      <c r="N33" s="180"/>
      <c r="O33" s="168">
        <f t="shared" si="19"/>
        <v>0</v>
      </c>
      <c r="P33" s="175">
        <f>SUM(P27-P32)</f>
        <v>0</v>
      </c>
      <c r="Q33" s="175">
        <f t="shared" ref="Q33:R33" si="21">SUM(Q27-Q32)</f>
        <v>0</v>
      </c>
      <c r="R33" s="175">
        <f t="shared" si="21"/>
        <v>0</v>
      </c>
      <c r="S33" s="176"/>
      <c r="T33" s="177"/>
    </row>
    <row r="34" spans="1:20" ht="12.75" hidden="1" x14ac:dyDescent="0.2">
      <c r="A34" s="10"/>
      <c r="B34" s="166"/>
      <c r="C34" s="2"/>
      <c r="D34" s="163"/>
      <c r="E34" s="163"/>
      <c r="F34" s="163"/>
      <c r="G34" s="163"/>
      <c r="H34" s="163"/>
      <c r="I34" s="163"/>
      <c r="J34" s="9"/>
      <c r="K34" s="145"/>
      <c r="L34" s="145"/>
      <c r="M34" s="145"/>
      <c r="N34" s="3"/>
      <c r="O34" s="3"/>
      <c r="P34" s="3"/>
      <c r="Q34" s="3"/>
      <c r="R34" s="3"/>
      <c r="S34" s="176"/>
      <c r="T34" s="177"/>
    </row>
    <row r="35" spans="1:20" x14ac:dyDescent="0.25">
      <c r="A35" s="158"/>
      <c r="B35" s="158"/>
      <c r="C35" s="158"/>
      <c r="D35" s="153"/>
      <c r="E35" s="153"/>
      <c r="F35" s="153"/>
      <c r="G35" s="153"/>
      <c r="H35" s="153"/>
      <c r="I35" s="153"/>
      <c r="J35" s="181"/>
      <c r="K35" s="145"/>
      <c r="L35" s="145"/>
      <c r="M35" s="145"/>
      <c r="N35" s="3"/>
      <c r="O35" s="3"/>
      <c r="P35" s="3"/>
      <c r="Q35" s="3"/>
      <c r="R35" s="3"/>
      <c r="S35" s="176"/>
      <c r="T35" s="177"/>
    </row>
    <row r="36" spans="1:20" x14ac:dyDescent="0.25">
      <c r="J36" s="179"/>
      <c r="O36" s="143"/>
    </row>
    <row r="42" spans="1:20" x14ac:dyDescent="0.25">
      <c r="N42" s="36"/>
    </row>
  </sheetData>
  <sheetProtection algorithmName="SHA-512" hashValue="ZOqceTlx8Tar3A19o+ARX1m/FIoT0BleDK+0XUPt6jRC+2Ez3bI77r6ZhfTNgV/SHCeMk5GcGT5eb2AqOsM5IA==" saltValue="EBK8M6YI5q30/BcPrayZDA==" spinCount="100000" sheet="1" objects="1" scenarios="1" selectLockedCells="1" selectUnlockedCells="1"/>
  <mergeCells count="11">
    <mergeCell ref="A1:R1"/>
    <mergeCell ref="A2:R2"/>
    <mergeCell ref="A3:R3"/>
    <mergeCell ref="A4:R4"/>
    <mergeCell ref="A5:R5"/>
    <mergeCell ref="C21:D21"/>
    <mergeCell ref="A8:D8"/>
    <mergeCell ref="J8:M8"/>
    <mergeCell ref="O8:R8"/>
    <mergeCell ref="B17:D17"/>
    <mergeCell ref="E8:H8"/>
  </mergeCells>
  <pageMargins left="0.98425196850393704" right="0.98425196850393704" top="1.4960629921259843" bottom="0.98425196850393704" header="0.98425196850393704" footer="0.51181102362204722"/>
  <pageSetup scale="56" firstPageNumber="219" orientation="landscape" useFirstPageNumber="1" horizontalDpi="360" verticalDpi="360" r:id="rId1"/>
  <headerFooter>
    <oddHeader>&amp;R&amp;"Times New Roman,Regular"&amp;12Annex C
AAR Page 6</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pageSetUpPr fitToPage="1"/>
  </sheetPr>
  <dimension ref="A1:Z109"/>
  <sheetViews>
    <sheetView zoomScaleNormal="100" zoomScaleSheetLayoutView="70" workbookViewId="0">
      <selection sqref="A1:S1"/>
    </sheetView>
  </sheetViews>
  <sheetFormatPr defaultColWidth="0" defaultRowHeight="12.75" x14ac:dyDescent="0.2"/>
  <cols>
    <col min="1" max="1" width="2.140625" style="3" customWidth="1"/>
    <col min="2" max="2" width="1.7109375" style="3" customWidth="1"/>
    <col min="3" max="3" width="1.5703125" style="3" customWidth="1"/>
    <col min="4" max="4" width="2.140625" style="3" customWidth="1"/>
    <col min="5" max="5" width="46.42578125" style="3" customWidth="1"/>
    <col min="6" max="9" width="16.5703125" style="3" customWidth="1"/>
    <col min="10" max="10" width="2" style="3" customWidth="1"/>
    <col min="11" max="12" width="17.7109375" style="2" bestFit="1" customWidth="1"/>
    <col min="13" max="14" width="15.7109375" style="2" bestFit="1" customWidth="1"/>
    <col min="15" max="15" width="2.28515625" style="3" customWidth="1"/>
    <col min="16" max="17" width="17.7109375" style="2" hidden="1" customWidth="1"/>
    <col min="18" max="19" width="15.7109375" style="2" hidden="1" customWidth="1"/>
    <col min="20" max="20" width="9.140625" style="3" hidden="1" customWidth="1"/>
    <col min="21" max="16200" width="9.140625" style="3" customWidth="1"/>
    <col min="16201" max="16201" width="9.5703125" style="3" customWidth="1"/>
    <col min="16202" max="16384" width="6.7109375" style="3" customWidth="1"/>
  </cols>
  <sheetData>
    <row r="1" spans="1:26" s="32" customFormat="1" ht="15.75" customHeight="1" x14ac:dyDescent="0.3">
      <c r="A1" s="614" t="s">
        <v>891</v>
      </c>
      <c r="B1" s="614"/>
      <c r="C1" s="614"/>
      <c r="D1" s="614"/>
      <c r="E1" s="614"/>
      <c r="F1" s="614"/>
      <c r="G1" s="614"/>
      <c r="H1" s="614"/>
      <c r="I1" s="614"/>
      <c r="J1" s="614"/>
      <c r="K1" s="614"/>
      <c r="L1" s="614"/>
      <c r="M1" s="614"/>
      <c r="N1" s="614"/>
      <c r="O1" s="614"/>
      <c r="P1" s="614"/>
      <c r="Q1" s="614"/>
      <c r="R1" s="614"/>
      <c r="S1" s="614"/>
      <c r="T1" s="143"/>
      <c r="U1" s="143"/>
      <c r="V1" s="143"/>
      <c r="W1" s="143"/>
      <c r="X1" s="143"/>
      <c r="Y1" s="143"/>
      <c r="Z1" s="143"/>
    </row>
    <row r="2" spans="1:26" s="32" customFormat="1" ht="15.75" customHeight="1" x14ac:dyDescent="0.2">
      <c r="A2" s="615" t="s">
        <v>899</v>
      </c>
      <c r="B2" s="615"/>
      <c r="C2" s="615"/>
      <c r="D2" s="615"/>
      <c r="E2" s="615"/>
      <c r="F2" s="615"/>
      <c r="G2" s="615"/>
      <c r="H2" s="615"/>
      <c r="I2" s="615"/>
      <c r="J2" s="615"/>
      <c r="K2" s="615"/>
      <c r="L2" s="615"/>
      <c r="M2" s="615"/>
      <c r="N2" s="615"/>
      <c r="O2" s="615"/>
      <c r="P2" s="615"/>
      <c r="Q2" s="615"/>
      <c r="R2" s="615"/>
      <c r="S2" s="615"/>
      <c r="T2" s="143"/>
      <c r="U2" s="143"/>
      <c r="V2" s="143"/>
      <c r="W2" s="143"/>
      <c r="X2" s="143"/>
      <c r="Y2" s="143"/>
      <c r="Z2" s="143"/>
    </row>
    <row r="3" spans="1:26" s="32" customFormat="1" ht="15.75" customHeight="1" x14ac:dyDescent="0.2">
      <c r="A3" s="615" t="s">
        <v>1369</v>
      </c>
      <c r="B3" s="615"/>
      <c r="C3" s="615"/>
      <c r="D3" s="615"/>
      <c r="E3" s="615"/>
      <c r="F3" s="615"/>
      <c r="G3" s="615"/>
      <c r="H3" s="615"/>
      <c r="I3" s="615"/>
      <c r="J3" s="615"/>
      <c r="K3" s="615"/>
      <c r="L3" s="615"/>
      <c r="M3" s="615"/>
      <c r="N3" s="615"/>
      <c r="O3" s="615"/>
      <c r="P3" s="615"/>
      <c r="Q3" s="615"/>
      <c r="R3" s="615"/>
      <c r="S3" s="615"/>
      <c r="T3" s="143"/>
      <c r="U3" s="143"/>
      <c r="V3" s="143"/>
      <c r="W3" s="143"/>
      <c r="X3" s="143"/>
      <c r="Y3" s="143"/>
      <c r="Z3" s="143"/>
    </row>
    <row r="4" spans="1:26" s="32" customFormat="1" ht="15.75" customHeight="1" x14ac:dyDescent="0.2">
      <c r="A4" s="616" t="s">
        <v>1370</v>
      </c>
      <c r="B4" s="616"/>
      <c r="C4" s="616"/>
      <c r="D4" s="616"/>
      <c r="E4" s="616"/>
      <c r="F4" s="616"/>
      <c r="G4" s="616"/>
      <c r="H4" s="616"/>
      <c r="I4" s="616"/>
      <c r="J4" s="616"/>
      <c r="K4" s="616"/>
      <c r="L4" s="616"/>
      <c r="M4" s="616"/>
      <c r="N4" s="616"/>
      <c r="O4" s="616"/>
      <c r="P4" s="616"/>
      <c r="Q4" s="616"/>
      <c r="R4" s="616"/>
      <c r="S4" s="616"/>
      <c r="T4" s="143"/>
      <c r="U4" s="143"/>
      <c r="V4" s="143"/>
      <c r="W4" s="143"/>
      <c r="X4" s="143"/>
      <c r="Y4" s="143"/>
      <c r="Z4" s="143"/>
    </row>
    <row r="5" spans="1:26" s="32" customFormat="1" ht="15.75" customHeight="1" x14ac:dyDescent="0.2">
      <c r="A5" s="613" t="s">
        <v>890</v>
      </c>
      <c r="B5" s="613"/>
      <c r="C5" s="613"/>
      <c r="D5" s="613"/>
      <c r="E5" s="613"/>
      <c r="F5" s="613"/>
      <c r="G5" s="613"/>
      <c r="H5" s="613"/>
      <c r="I5" s="613"/>
      <c r="J5" s="613"/>
      <c r="K5" s="613"/>
      <c r="L5" s="613"/>
      <c r="M5" s="613"/>
      <c r="N5" s="613"/>
      <c r="O5" s="613"/>
      <c r="P5" s="613"/>
      <c r="Q5" s="613"/>
      <c r="R5" s="613"/>
      <c r="S5" s="613"/>
      <c r="T5" s="143"/>
      <c r="U5" s="143"/>
      <c r="V5" s="143"/>
      <c r="W5" s="143"/>
      <c r="X5" s="143"/>
      <c r="Y5" s="143"/>
      <c r="Z5" s="143"/>
    </row>
    <row r="6" spans="1:26" x14ac:dyDescent="0.2">
      <c r="A6" s="39" t="s">
        <v>4</v>
      </c>
      <c r="B6" s="5" t="s">
        <v>4</v>
      </c>
      <c r="C6" s="5"/>
      <c r="D6" s="5"/>
      <c r="E6" s="5"/>
      <c r="F6" s="5"/>
      <c r="G6" s="5"/>
      <c r="H6" s="5"/>
      <c r="I6" s="5"/>
      <c r="J6" s="5"/>
    </row>
    <row r="7" spans="1:26" x14ac:dyDescent="0.2">
      <c r="A7" s="626" t="s">
        <v>6</v>
      </c>
      <c r="B7" s="626"/>
      <c r="C7" s="626"/>
      <c r="D7" s="626"/>
      <c r="E7" s="626"/>
      <c r="F7" s="622">
        <v>2021</v>
      </c>
      <c r="G7" s="622"/>
      <c r="H7" s="622"/>
      <c r="I7" s="622"/>
      <c r="J7" s="480"/>
      <c r="K7" s="622">
        <v>2020</v>
      </c>
      <c r="L7" s="622"/>
      <c r="M7" s="622"/>
      <c r="N7" s="622"/>
      <c r="P7" s="622">
        <v>2019</v>
      </c>
      <c r="Q7" s="622"/>
      <c r="R7" s="622"/>
      <c r="S7" s="622"/>
    </row>
    <row r="8" spans="1:26" ht="13.5" customHeight="1" x14ac:dyDescent="0.2">
      <c r="A8" s="626"/>
      <c r="B8" s="626"/>
      <c r="C8" s="626"/>
      <c r="D8" s="626"/>
      <c r="E8" s="626"/>
      <c r="F8" s="6" t="s">
        <v>1</v>
      </c>
      <c r="G8" s="7" t="s">
        <v>7</v>
      </c>
      <c r="H8" s="7" t="s">
        <v>8</v>
      </c>
      <c r="I8" s="7" t="s">
        <v>9</v>
      </c>
      <c r="J8" s="480"/>
      <c r="K8" s="6" t="s">
        <v>1</v>
      </c>
      <c r="L8" s="7" t="s">
        <v>7</v>
      </c>
      <c r="M8" s="7" t="s">
        <v>8</v>
      </c>
      <c r="N8" s="7" t="s">
        <v>9</v>
      </c>
      <c r="P8" s="6" t="s">
        <v>1</v>
      </c>
      <c r="Q8" s="7" t="s">
        <v>7</v>
      </c>
      <c r="R8" s="7" t="s">
        <v>8</v>
      </c>
      <c r="S8" s="7" t="s">
        <v>9</v>
      </c>
    </row>
    <row r="9" spans="1:26" ht="12.75" customHeight="1" x14ac:dyDescent="0.2">
      <c r="A9" s="8" t="s">
        <v>758</v>
      </c>
      <c r="B9" s="8"/>
      <c r="C9" s="8"/>
      <c r="D9" s="5"/>
      <c r="E9" s="5"/>
      <c r="F9" s="5"/>
      <c r="G9" s="5"/>
      <c r="H9" s="5"/>
      <c r="I9" s="5"/>
      <c r="J9" s="5"/>
      <c r="K9" s="9"/>
      <c r="L9" s="9"/>
      <c r="M9" s="9"/>
      <c r="N9" s="9"/>
      <c r="P9" s="9"/>
      <c r="Q9" s="9"/>
      <c r="R9" s="9"/>
      <c r="S9" s="9"/>
    </row>
    <row r="10" spans="1:26" x14ac:dyDescent="0.2">
      <c r="A10" s="5"/>
      <c r="B10" s="8" t="s">
        <v>759</v>
      </c>
      <c r="C10" s="8"/>
      <c r="D10" s="5"/>
      <c r="E10" s="5"/>
      <c r="F10" s="5"/>
      <c r="G10" s="5"/>
      <c r="H10" s="5"/>
      <c r="I10" s="5"/>
      <c r="J10" s="5"/>
      <c r="K10" s="187"/>
      <c r="L10" s="187"/>
      <c r="M10" s="187"/>
      <c r="N10" s="187"/>
      <c r="O10" s="182"/>
      <c r="P10" s="187"/>
      <c r="Q10" s="187"/>
      <c r="R10" s="187"/>
      <c r="S10" s="187"/>
    </row>
    <row r="11" spans="1:26" x14ac:dyDescent="0.2">
      <c r="A11" s="10"/>
      <c r="B11" s="5"/>
      <c r="C11" s="10" t="s">
        <v>760</v>
      </c>
      <c r="D11" s="5"/>
      <c r="E11" s="5"/>
      <c r="F11" s="188">
        <f>G11+H11+I11</f>
        <v>297273079.70999992</v>
      </c>
      <c r="G11" s="183">
        <v>233829677.02999991</v>
      </c>
      <c r="H11" s="183">
        <v>63443402.68</v>
      </c>
      <c r="I11" s="183">
        <v>0</v>
      </c>
      <c r="J11" s="5"/>
      <c r="K11" s="188">
        <f>L11+M11+N11</f>
        <v>288230355.18000001</v>
      </c>
      <c r="L11" s="183">
        <v>229684136.96000001</v>
      </c>
      <c r="M11" s="183">
        <v>58546218.219999999</v>
      </c>
      <c r="N11" s="183">
        <v>0</v>
      </c>
      <c r="O11" s="182"/>
      <c r="P11" s="188">
        <f t="shared" ref="P11:P16" si="0">Q11+R11+S11</f>
        <v>288806227.48000002</v>
      </c>
      <c r="Q11" s="183">
        <v>227236899.13</v>
      </c>
      <c r="R11" s="183">
        <v>61569328.350000001</v>
      </c>
      <c r="S11" s="183">
        <v>0</v>
      </c>
      <c r="T11" s="182"/>
      <c r="U11" s="195"/>
    </row>
    <row r="12" spans="1:26" x14ac:dyDescent="0.2">
      <c r="A12" s="10"/>
      <c r="B12" s="5"/>
      <c r="C12" s="10" t="s">
        <v>761</v>
      </c>
      <c r="D12" s="5"/>
      <c r="E12" s="5"/>
      <c r="F12" s="188">
        <f t="shared" ref="F12:F16" si="1">G12+H12+I12</f>
        <v>889216030</v>
      </c>
      <c r="G12" s="183">
        <v>889216030</v>
      </c>
      <c r="H12" s="183">
        <v>0</v>
      </c>
      <c r="I12" s="183">
        <v>0</v>
      </c>
      <c r="J12" s="5"/>
      <c r="K12" s="188">
        <f t="shared" ref="K12:K15" si="2">L12+M12+N12</f>
        <v>663737960.79999995</v>
      </c>
      <c r="L12" s="183">
        <v>663737960.79999995</v>
      </c>
      <c r="M12" s="183">
        <v>0</v>
      </c>
      <c r="N12" s="183">
        <v>0</v>
      </c>
      <c r="O12" s="182"/>
      <c r="P12" s="188">
        <f t="shared" si="0"/>
        <v>662885897.39999998</v>
      </c>
      <c r="Q12" s="183">
        <v>662885897.39999998</v>
      </c>
      <c r="R12" s="183">
        <v>0</v>
      </c>
      <c r="S12" s="183">
        <v>0</v>
      </c>
      <c r="T12" s="182"/>
      <c r="U12" s="195"/>
    </row>
    <row r="13" spans="1:26" x14ac:dyDescent="0.2">
      <c r="A13" s="10"/>
      <c r="B13" s="5"/>
      <c r="C13" s="10" t="s">
        <v>762</v>
      </c>
      <c r="D13" s="5"/>
      <c r="E13" s="5"/>
      <c r="F13" s="188">
        <f t="shared" si="1"/>
        <v>105712748.59</v>
      </c>
      <c r="G13" s="183">
        <v>105712748.59</v>
      </c>
      <c r="H13" s="183">
        <v>0</v>
      </c>
      <c r="I13" s="183">
        <v>0</v>
      </c>
      <c r="J13" s="5"/>
      <c r="K13" s="188">
        <f t="shared" si="2"/>
        <v>115853814.49000001</v>
      </c>
      <c r="L13" s="183">
        <v>115853814.49000001</v>
      </c>
      <c r="M13" s="183">
        <v>0</v>
      </c>
      <c r="N13" s="183">
        <v>0</v>
      </c>
      <c r="O13" s="182"/>
      <c r="P13" s="188">
        <f t="shared" si="0"/>
        <v>146014787.75999999</v>
      </c>
      <c r="Q13" s="183">
        <v>146014787.75999999</v>
      </c>
      <c r="R13" s="183">
        <v>0</v>
      </c>
      <c r="S13" s="183">
        <v>0</v>
      </c>
      <c r="T13" s="182"/>
      <c r="U13" s="195"/>
    </row>
    <row r="14" spans="1:26" x14ac:dyDescent="0.2">
      <c r="A14" s="10"/>
      <c r="B14" s="5"/>
      <c r="C14" s="10" t="s">
        <v>763</v>
      </c>
      <c r="D14" s="5"/>
      <c r="E14" s="5"/>
      <c r="F14" s="188">
        <f t="shared" si="1"/>
        <v>385197.81999999995</v>
      </c>
      <c r="G14" s="183">
        <v>349917.16</v>
      </c>
      <c r="H14" s="183">
        <v>35280.660000000003</v>
      </c>
      <c r="I14" s="183">
        <v>0</v>
      </c>
      <c r="J14" s="5"/>
      <c r="K14" s="188">
        <f t="shared" si="2"/>
        <v>2641158.4500000002</v>
      </c>
      <c r="L14" s="183">
        <v>2578718.4300000002</v>
      </c>
      <c r="M14" s="183">
        <v>62440.020000000004</v>
      </c>
      <c r="N14" s="183">
        <v>0</v>
      </c>
      <c r="O14" s="182"/>
      <c r="P14" s="188">
        <f t="shared" si="0"/>
        <v>1296923.99</v>
      </c>
      <c r="Q14" s="183">
        <v>1233224.02</v>
      </c>
      <c r="R14" s="183">
        <v>63699.97</v>
      </c>
      <c r="S14" s="183">
        <v>0</v>
      </c>
      <c r="T14" s="182"/>
      <c r="U14" s="195"/>
    </row>
    <row r="15" spans="1:26" x14ac:dyDescent="0.2">
      <c r="A15" s="10"/>
      <c r="B15" s="5"/>
      <c r="C15" s="10" t="s">
        <v>764</v>
      </c>
      <c r="D15" s="5"/>
      <c r="E15" s="5"/>
      <c r="F15" s="188">
        <f t="shared" si="1"/>
        <v>1231171775.1399999</v>
      </c>
      <c r="G15" s="183">
        <v>740698274.56999993</v>
      </c>
      <c r="H15" s="183">
        <v>1339435.21</v>
      </c>
      <c r="I15" s="183">
        <v>489134065.36000001</v>
      </c>
      <c r="J15" s="5"/>
      <c r="K15" s="188">
        <f t="shared" si="2"/>
        <v>949582741.56999993</v>
      </c>
      <c r="L15" s="183">
        <v>641228372.40999997</v>
      </c>
      <c r="M15" s="183">
        <v>283663.95</v>
      </c>
      <c r="N15" s="183">
        <v>308070705.20999998</v>
      </c>
      <c r="O15" s="182"/>
      <c r="P15" s="188">
        <f t="shared" si="0"/>
        <v>359073482.09000003</v>
      </c>
      <c r="Q15" s="183">
        <v>318383965.41000003</v>
      </c>
      <c r="R15" s="183">
        <v>4544077.93</v>
      </c>
      <c r="S15" s="183">
        <v>36145438.749999993</v>
      </c>
      <c r="T15" s="182"/>
      <c r="U15" s="195"/>
    </row>
    <row r="16" spans="1:26" x14ac:dyDescent="0.2">
      <c r="A16" s="5"/>
      <c r="B16" s="8" t="s">
        <v>765</v>
      </c>
      <c r="C16" s="8"/>
      <c r="D16" s="5"/>
      <c r="E16" s="5"/>
      <c r="F16" s="189">
        <f t="shared" si="1"/>
        <v>2523758831.2599998</v>
      </c>
      <c r="G16" s="190">
        <f>SUM(G11:G15)</f>
        <v>1969806647.3499999</v>
      </c>
      <c r="H16" s="190">
        <f t="shared" ref="H16:I16" si="3">SUM(H11:H15)</f>
        <v>64818118.549999997</v>
      </c>
      <c r="I16" s="190">
        <f t="shared" si="3"/>
        <v>489134065.36000001</v>
      </c>
      <c r="J16" s="5"/>
      <c r="K16" s="189">
        <f t="shared" ref="K16" si="4">L16+M16+N16</f>
        <v>2020046030.49</v>
      </c>
      <c r="L16" s="190">
        <f>SUM(L11:L15)</f>
        <v>1653083003.0899999</v>
      </c>
      <c r="M16" s="190">
        <f t="shared" ref="M16" si="5">SUM(M11:M15)</f>
        <v>58892322.190000005</v>
      </c>
      <c r="N16" s="190">
        <f t="shared" ref="N16" si="6">SUM(N11:N15)</f>
        <v>308070705.20999998</v>
      </c>
      <c r="O16" s="182"/>
      <c r="P16" s="189">
        <f t="shared" si="0"/>
        <v>1458077318.72</v>
      </c>
      <c r="Q16" s="190">
        <v>1355754773.72</v>
      </c>
      <c r="R16" s="190">
        <v>66177106.25</v>
      </c>
      <c r="S16" s="190">
        <v>36145438.749999993</v>
      </c>
      <c r="T16" s="182"/>
      <c r="U16" s="195"/>
    </row>
    <row r="17" spans="1:21" x14ac:dyDescent="0.2">
      <c r="A17" s="5"/>
      <c r="B17" s="8" t="s">
        <v>766</v>
      </c>
      <c r="C17" s="8"/>
      <c r="D17" s="5"/>
      <c r="E17" s="5"/>
      <c r="F17" s="187"/>
      <c r="G17" s="187"/>
      <c r="H17" s="187"/>
      <c r="I17" s="187"/>
      <c r="J17" s="5"/>
      <c r="K17" s="187"/>
      <c r="L17" s="187"/>
      <c r="M17" s="187"/>
      <c r="N17" s="187"/>
      <c r="O17" s="182"/>
      <c r="P17" s="187"/>
      <c r="Q17" s="187"/>
      <c r="R17" s="187"/>
      <c r="S17" s="187"/>
      <c r="T17" s="182"/>
      <c r="U17" s="195"/>
    </row>
    <row r="18" spans="1:21" x14ac:dyDescent="0.2">
      <c r="A18" s="10"/>
      <c r="B18" s="5"/>
      <c r="C18" s="10" t="s">
        <v>767</v>
      </c>
      <c r="D18" s="5"/>
      <c r="E18" s="5"/>
      <c r="F18" s="188">
        <f>G18+H18+I18</f>
        <v>335308658.83000004</v>
      </c>
      <c r="G18" s="183">
        <v>319488467.72000003</v>
      </c>
      <c r="H18" s="183">
        <v>11339962.050000001</v>
      </c>
      <c r="I18" s="183">
        <v>4480229.0600000005</v>
      </c>
      <c r="J18" s="5"/>
      <c r="K18" s="188">
        <f>L18+M18+N18</f>
        <v>463116029.39999998</v>
      </c>
      <c r="L18" s="183">
        <v>284121625.35999995</v>
      </c>
      <c r="M18" s="183">
        <v>8271822.4900000002</v>
      </c>
      <c r="N18" s="183">
        <v>170722581.54999998</v>
      </c>
      <c r="O18" s="182"/>
      <c r="P18" s="188">
        <f t="shared" ref="P18:P24" si="7">Q18+R18+S18</f>
        <v>311662372.58999997</v>
      </c>
      <c r="Q18" s="183">
        <v>299646031.82999998</v>
      </c>
      <c r="R18" s="183">
        <v>10012852.119999999</v>
      </c>
      <c r="S18" s="183">
        <v>2003488.64</v>
      </c>
      <c r="T18" s="182"/>
      <c r="U18" s="195"/>
    </row>
    <row r="19" spans="1:21" x14ac:dyDescent="0.2">
      <c r="A19" s="10"/>
      <c r="B19" s="5"/>
      <c r="C19" s="10" t="s">
        <v>768</v>
      </c>
      <c r="D19" s="5"/>
      <c r="E19" s="5"/>
      <c r="F19" s="188">
        <f t="shared" ref="F19:F24" si="8">G19+H19+I19</f>
        <v>181936847.51999998</v>
      </c>
      <c r="G19" s="183">
        <v>159998272.81999999</v>
      </c>
      <c r="H19" s="183">
        <v>8656964.6400000006</v>
      </c>
      <c r="I19" s="183">
        <v>13281610.059999999</v>
      </c>
      <c r="J19" s="5"/>
      <c r="K19" s="188">
        <f t="shared" ref="K19:K22" si="9">L19+M19+N19</f>
        <v>195676707.17000002</v>
      </c>
      <c r="L19" s="183">
        <v>177644417.41000003</v>
      </c>
      <c r="M19" s="183">
        <v>9258431.5700000003</v>
      </c>
      <c r="N19" s="183">
        <v>8773858.1899999995</v>
      </c>
      <c r="O19" s="182"/>
      <c r="P19" s="188">
        <f t="shared" si="7"/>
        <v>82428376.510000005</v>
      </c>
      <c r="Q19" s="183">
        <v>72626546.379999995</v>
      </c>
      <c r="R19" s="183">
        <v>8002195.9800000004</v>
      </c>
      <c r="S19" s="183">
        <v>1799634.15</v>
      </c>
      <c r="T19" s="182"/>
      <c r="U19" s="195"/>
    </row>
    <row r="20" spans="1:21" x14ac:dyDescent="0.2">
      <c r="A20" s="10"/>
      <c r="B20" s="5"/>
      <c r="C20" s="10" t="s">
        <v>769</v>
      </c>
      <c r="D20" s="5"/>
      <c r="E20" s="5"/>
      <c r="F20" s="188">
        <f t="shared" si="8"/>
        <v>258193603.06799999</v>
      </c>
      <c r="G20" s="183">
        <v>258193603.06799999</v>
      </c>
      <c r="H20" s="183">
        <v>0</v>
      </c>
      <c r="I20" s="183">
        <v>0</v>
      </c>
      <c r="J20" s="5"/>
      <c r="K20" s="188">
        <f t="shared" si="9"/>
        <v>260557747.31000003</v>
      </c>
      <c r="L20" s="183">
        <v>260252071.34000003</v>
      </c>
      <c r="M20" s="183">
        <v>0</v>
      </c>
      <c r="N20" s="183">
        <v>305675.96999999997</v>
      </c>
      <c r="O20" s="182"/>
      <c r="P20" s="188">
        <f t="shared" si="7"/>
        <v>211473043.55000001</v>
      </c>
      <c r="Q20" s="183">
        <v>211473043.55000001</v>
      </c>
      <c r="R20" s="183">
        <v>0</v>
      </c>
      <c r="S20" s="183">
        <v>0</v>
      </c>
      <c r="T20" s="182"/>
      <c r="U20" s="195"/>
    </row>
    <row r="21" spans="1:21" x14ac:dyDescent="0.2">
      <c r="A21" s="10"/>
      <c r="B21" s="5"/>
      <c r="C21" s="10" t="s">
        <v>770</v>
      </c>
      <c r="D21" s="5"/>
      <c r="E21" s="5"/>
      <c r="F21" s="188">
        <f t="shared" si="8"/>
        <v>10419963.130000003</v>
      </c>
      <c r="G21" s="183">
        <v>10419963.130000003</v>
      </c>
      <c r="H21" s="183">
        <v>0</v>
      </c>
      <c r="I21" s="183">
        <v>0</v>
      </c>
      <c r="J21" s="5"/>
      <c r="K21" s="188">
        <f t="shared" si="9"/>
        <v>11780898.51</v>
      </c>
      <c r="L21" s="183">
        <v>11780898.51</v>
      </c>
      <c r="M21" s="183">
        <v>0</v>
      </c>
      <c r="N21" s="183">
        <v>0</v>
      </c>
      <c r="O21" s="182"/>
      <c r="P21" s="188">
        <f t="shared" si="7"/>
        <v>11009434.91</v>
      </c>
      <c r="Q21" s="183">
        <v>10907855.1</v>
      </c>
      <c r="R21" s="183">
        <v>101579.81</v>
      </c>
      <c r="S21" s="183">
        <v>0</v>
      </c>
      <c r="T21" s="182"/>
      <c r="U21" s="195"/>
    </row>
    <row r="22" spans="1:21" x14ac:dyDescent="0.2">
      <c r="A22" s="10"/>
      <c r="B22" s="5"/>
      <c r="C22" s="10" t="s">
        <v>771</v>
      </c>
      <c r="D22" s="5"/>
      <c r="E22" s="5"/>
      <c r="F22" s="188">
        <f t="shared" si="8"/>
        <v>981665595.7700001</v>
      </c>
      <c r="G22" s="183">
        <v>929229320.79000008</v>
      </c>
      <c r="H22" s="183">
        <v>11535296.949999999</v>
      </c>
      <c r="I22" s="183">
        <v>40900978.030000001</v>
      </c>
      <c r="J22" s="5"/>
      <c r="K22" s="188">
        <f t="shared" si="9"/>
        <v>681484635.48000014</v>
      </c>
      <c r="L22" s="183">
        <v>642952891.07000005</v>
      </c>
      <c r="M22" s="183">
        <v>6954738.7199999997</v>
      </c>
      <c r="N22" s="183">
        <v>31577005.690000001</v>
      </c>
      <c r="O22" s="182"/>
      <c r="P22" s="188">
        <f t="shared" si="7"/>
        <v>472489815.95999998</v>
      </c>
      <c r="Q22" s="183">
        <v>451843840.25999999</v>
      </c>
      <c r="R22" s="183">
        <v>9296907.3599999994</v>
      </c>
      <c r="S22" s="183">
        <v>11349068.34</v>
      </c>
      <c r="T22" s="182"/>
      <c r="U22" s="195"/>
    </row>
    <row r="23" spans="1:21" x14ac:dyDescent="0.2">
      <c r="A23" s="5"/>
      <c r="B23" s="8" t="s">
        <v>772</v>
      </c>
      <c r="C23" s="8"/>
      <c r="D23" s="5"/>
      <c r="E23" s="5"/>
      <c r="F23" s="189">
        <f t="shared" si="8"/>
        <v>1767524668.3180003</v>
      </c>
      <c r="G23" s="190">
        <f>SUM(G18:G22)</f>
        <v>1677329627.5280001</v>
      </c>
      <c r="H23" s="190">
        <f t="shared" ref="H23:I23" si="10">SUM(H18:H22)</f>
        <v>31532223.640000001</v>
      </c>
      <c r="I23" s="190">
        <f t="shared" si="10"/>
        <v>58662817.149999999</v>
      </c>
      <c r="J23" s="5"/>
      <c r="K23" s="189">
        <f t="shared" ref="K23:K24" si="11">L23+M23+N23</f>
        <v>1612616017.8699999</v>
      </c>
      <c r="L23" s="190">
        <f>SUM(L18:L22)</f>
        <v>1376751903.6900001</v>
      </c>
      <c r="M23" s="190">
        <f t="shared" ref="M23" si="12">SUM(M18:M22)</f>
        <v>24484992.780000001</v>
      </c>
      <c r="N23" s="190">
        <f t="shared" ref="N23" si="13">SUM(N18:N22)</f>
        <v>211379121.39999998</v>
      </c>
      <c r="O23" s="182"/>
      <c r="P23" s="189">
        <f t="shared" si="7"/>
        <v>1089063043.5200002</v>
      </c>
      <c r="Q23" s="190">
        <v>1046497317.12</v>
      </c>
      <c r="R23" s="190">
        <v>27413535.27</v>
      </c>
      <c r="S23" s="190">
        <v>15152191.129999999</v>
      </c>
      <c r="T23" s="182"/>
      <c r="U23" s="195"/>
    </row>
    <row r="24" spans="1:21" x14ac:dyDescent="0.2">
      <c r="A24" s="8" t="s">
        <v>773</v>
      </c>
      <c r="B24" s="8"/>
      <c r="C24" s="8"/>
      <c r="D24" s="12"/>
      <c r="E24" s="12"/>
      <c r="F24" s="189">
        <f t="shared" si="8"/>
        <v>756234162.94199979</v>
      </c>
      <c r="G24" s="190">
        <f>G16-G23</f>
        <v>292477019.82199979</v>
      </c>
      <c r="H24" s="190">
        <f t="shared" ref="H24:I24" si="14">H16-H23</f>
        <v>33285894.909999996</v>
      </c>
      <c r="I24" s="190">
        <f t="shared" si="14"/>
        <v>430471248.21000004</v>
      </c>
      <c r="J24" s="12"/>
      <c r="K24" s="189">
        <f t="shared" si="11"/>
        <v>407430012.61999989</v>
      </c>
      <c r="L24" s="190">
        <f>L16-L23</f>
        <v>276331099.39999986</v>
      </c>
      <c r="M24" s="190">
        <f t="shared" ref="M24" si="15">M16-M23</f>
        <v>34407329.410000004</v>
      </c>
      <c r="N24" s="190">
        <f t="shared" ref="N24" si="16">N16-N23</f>
        <v>96691583.810000002</v>
      </c>
      <c r="O24" s="182"/>
      <c r="P24" s="189">
        <f t="shared" si="7"/>
        <v>369014275.20000005</v>
      </c>
      <c r="Q24" s="190">
        <v>309257456.60000002</v>
      </c>
      <c r="R24" s="190">
        <v>38763570.980000004</v>
      </c>
      <c r="S24" s="190">
        <v>20993247.619999994</v>
      </c>
      <c r="T24" s="182"/>
      <c r="U24" s="195"/>
    </row>
    <row r="25" spans="1:21" x14ac:dyDescent="0.2">
      <c r="A25" s="8" t="s">
        <v>774</v>
      </c>
      <c r="B25" s="8"/>
      <c r="C25" s="8"/>
      <c r="D25" s="5"/>
      <c r="E25" s="5"/>
      <c r="F25" s="187"/>
      <c r="G25" s="187"/>
      <c r="H25" s="187"/>
      <c r="I25" s="187"/>
      <c r="J25" s="5"/>
      <c r="K25" s="187"/>
      <c r="L25" s="187"/>
      <c r="M25" s="187"/>
      <c r="N25" s="187"/>
      <c r="O25" s="182"/>
      <c r="P25" s="187"/>
      <c r="Q25" s="187"/>
      <c r="R25" s="187"/>
      <c r="S25" s="187"/>
      <c r="T25" s="182"/>
      <c r="U25" s="195"/>
    </row>
    <row r="26" spans="1:21" x14ac:dyDescent="0.2">
      <c r="A26" s="5"/>
      <c r="B26" s="8" t="s">
        <v>759</v>
      </c>
      <c r="C26" s="8"/>
      <c r="D26" s="5"/>
      <c r="E26" s="5"/>
      <c r="F26" s="187"/>
      <c r="G26" s="187"/>
      <c r="H26" s="187"/>
      <c r="I26" s="187"/>
      <c r="J26" s="5"/>
      <c r="K26" s="187"/>
      <c r="L26" s="187"/>
      <c r="M26" s="187"/>
      <c r="N26" s="187"/>
      <c r="O26" s="182"/>
      <c r="P26" s="187"/>
      <c r="Q26" s="187"/>
      <c r="R26" s="187"/>
      <c r="S26" s="187"/>
      <c r="T26" s="182"/>
      <c r="U26" s="195"/>
    </row>
    <row r="27" spans="1:21" x14ac:dyDescent="0.2">
      <c r="A27" s="8"/>
      <c r="B27" s="5"/>
      <c r="C27" s="10" t="s">
        <v>901</v>
      </c>
      <c r="D27" s="5"/>
      <c r="E27" s="5"/>
      <c r="F27" s="188">
        <f t="shared" ref="F27:F28" si="17">G27+H27+I27</f>
        <v>0</v>
      </c>
      <c r="G27" s="183">
        <v>0</v>
      </c>
      <c r="H27" s="183">
        <v>0</v>
      </c>
      <c r="I27" s="183">
        <v>0</v>
      </c>
      <c r="J27" s="5"/>
      <c r="K27" s="188">
        <f t="shared" ref="K27:K28" si="18">L27+M27+N27</f>
        <v>0</v>
      </c>
      <c r="L27" s="183">
        <v>0</v>
      </c>
      <c r="M27" s="183">
        <v>0</v>
      </c>
      <c r="N27" s="183">
        <v>0</v>
      </c>
      <c r="O27" s="182"/>
      <c r="P27" s="188">
        <f t="shared" ref="P27:P28" si="19">Q27+R27+S27</f>
        <v>10280.049999999999</v>
      </c>
      <c r="Q27" s="183">
        <v>10280.049999999999</v>
      </c>
      <c r="R27" s="183">
        <v>0</v>
      </c>
      <c r="S27" s="183">
        <v>0</v>
      </c>
      <c r="T27" s="182"/>
      <c r="U27" s="195"/>
    </row>
    <row r="28" spans="1:21" x14ac:dyDescent="0.2">
      <c r="A28" s="5"/>
      <c r="B28" s="8" t="s">
        <v>765</v>
      </c>
      <c r="C28" s="8"/>
      <c r="D28" s="5"/>
      <c r="E28" s="5"/>
      <c r="F28" s="189">
        <f t="shared" si="17"/>
        <v>0</v>
      </c>
      <c r="G28" s="190">
        <v>0</v>
      </c>
      <c r="H28" s="190">
        <v>0</v>
      </c>
      <c r="I28" s="190">
        <v>0</v>
      </c>
      <c r="J28" s="5"/>
      <c r="K28" s="189">
        <f t="shared" si="18"/>
        <v>0</v>
      </c>
      <c r="L28" s="190">
        <v>0</v>
      </c>
      <c r="M28" s="190">
        <v>0</v>
      </c>
      <c r="N28" s="190">
        <v>0</v>
      </c>
      <c r="O28" s="182"/>
      <c r="P28" s="189">
        <f t="shared" si="19"/>
        <v>10280.049999999999</v>
      </c>
      <c r="Q28" s="190">
        <v>10280.049999999999</v>
      </c>
      <c r="R28" s="190">
        <v>0</v>
      </c>
      <c r="S28" s="190">
        <v>0</v>
      </c>
      <c r="T28" s="182"/>
      <c r="U28" s="195"/>
    </row>
    <row r="29" spans="1:21" x14ac:dyDescent="0.2">
      <c r="A29" s="5"/>
      <c r="B29" s="8" t="s">
        <v>766</v>
      </c>
      <c r="C29" s="8"/>
      <c r="D29" s="5"/>
      <c r="E29" s="5"/>
      <c r="F29" s="187"/>
      <c r="G29" s="187"/>
      <c r="H29" s="187"/>
      <c r="I29" s="187"/>
      <c r="J29" s="5"/>
      <c r="K29" s="187"/>
      <c r="L29" s="187"/>
      <c r="M29" s="187"/>
      <c r="N29" s="187"/>
      <c r="O29" s="182"/>
      <c r="P29" s="187"/>
      <c r="Q29" s="187"/>
      <c r="R29" s="187"/>
      <c r="S29" s="187"/>
      <c r="T29" s="182"/>
      <c r="U29" s="195"/>
    </row>
    <row r="30" spans="1:21" x14ac:dyDescent="0.2">
      <c r="A30" s="10"/>
      <c r="B30" s="14"/>
      <c r="C30" s="10" t="s">
        <v>775</v>
      </c>
      <c r="D30" s="5"/>
      <c r="E30" s="5"/>
      <c r="F30" s="188">
        <f t="shared" ref="F30:F32" si="20">G30+H30+I30</f>
        <v>538127189.43999994</v>
      </c>
      <c r="G30" s="183">
        <v>408766103.53999996</v>
      </c>
      <c r="H30" s="183">
        <v>31337979.989999998</v>
      </c>
      <c r="I30" s="183">
        <v>98023105.909999996</v>
      </c>
      <c r="J30" s="5"/>
      <c r="K30" s="188">
        <f t="shared" ref="K30:K32" si="21">L30+M30+N30</f>
        <v>255416024.74000001</v>
      </c>
      <c r="L30" s="183">
        <v>229893468.25999999</v>
      </c>
      <c r="M30" s="183">
        <v>11311922.239999998</v>
      </c>
      <c r="N30" s="183">
        <v>14210634.24</v>
      </c>
      <c r="O30" s="182"/>
      <c r="P30" s="188">
        <f t="shared" ref="P30:P32" si="22">Q30+R30+S30</f>
        <v>284693225.42000002</v>
      </c>
      <c r="Q30" s="183">
        <v>226719779.87</v>
      </c>
      <c r="R30" s="183">
        <v>37267026.82</v>
      </c>
      <c r="S30" s="183">
        <v>20706418.73</v>
      </c>
      <c r="T30" s="182"/>
      <c r="U30" s="195"/>
    </row>
    <row r="31" spans="1:21" x14ac:dyDescent="0.2">
      <c r="A31" s="5"/>
      <c r="B31" s="8" t="s">
        <v>772</v>
      </c>
      <c r="C31" s="8"/>
      <c r="D31" s="5"/>
      <c r="E31" s="5"/>
      <c r="F31" s="189">
        <f t="shared" si="20"/>
        <v>538127189.43999994</v>
      </c>
      <c r="G31" s="190">
        <f>G30</f>
        <v>408766103.53999996</v>
      </c>
      <c r="H31" s="190">
        <f t="shared" ref="H31:I31" si="23">H30</f>
        <v>31337979.989999998</v>
      </c>
      <c r="I31" s="190">
        <f t="shared" si="23"/>
        <v>98023105.909999996</v>
      </c>
      <c r="J31" s="5"/>
      <c r="K31" s="189">
        <f t="shared" si="21"/>
        <v>255416024.74000001</v>
      </c>
      <c r="L31" s="190">
        <f>L30</f>
        <v>229893468.25999999</v>
      </c>
      <c r="M31" s="190">
        <f t="shared" ref="M31" si="24">M30</f>
        <v>11311922.239999998</v>
      </c>
      <c r="N31" s="190">
        <f t="shared" ref="N31" si="25">N30</f>
        <v>14210634.24</v>
      </c>
      <c r="O31" s="182"/>
      <c r="P31" s="189">
        <f t="shared" si="22"/>
        <v>284693225.42000002</v>
      </c>
      <c r="Q31" s="190">
        <v>226719779.87</v>
      </c>
      <c r="R31" s="190">
        <v>37267026.82</v>
      </c>
      <c r="S31" s="190">
        <v>20706418.73</v>
      </c>
      <c r="T31" s="182"/>
      <c r="U31" s="195"/>
    </row>
    <row r="32" spans="1:21" x14ac:dyDescent="0.2">
      <c r="A32" s="8" t="s">
        <v>776</v>
      </c>
      <c r="B32" s="8"/>
      <c r="C32" s="8"/>
      <c r="D32" s="12"/>
      <c r="E32" s="12"/>
      <c r="F32" s="189">
        <f t="shared" si="20"/>
        <v>-538127189.43999994</v>
      </c>
      <c r="G32" s="191">
        <f>-G31</f>
        <v>-408766103.53999996</v>
      </c>
      <c r="H32" s="191">
        <f t="shared" ref="H32:I32" si="26">-H31</f>
        <v>-31337979.989999998</v>
      </c>
      <c r="I32" s="191">
        <f t="shared" si="26"/>
        <v>-98023105.909999996</v>
      </c>
      <c r="J32" s="12"/>
      <c r="K32" s="189">
        <f t="shared" si="21"/>
        <v>-255416024.74000001</v>
      </c>
      <c r="L32" s="191">
        <f>-L31</f>
        <v>-229893468.25999999</v>
      </c>
      <c r="M32" s="191">
        <f t="shared" ref="M32" si="27">-M31</f>
        <v>-11311922.239999998</v>
      </c>
      <c r="N32" s="191">
        <f t="shared" ref="N32" si="28">-N31</f>
        <v>-14210634.24</v>
      </c>
      <c r="O32" s="182"/>
      <c r="P32" s="189">
        <f t="shared" si="22"/>
        <v>-284682945.37</v>
      </c>
      <c r="Q32" s="191">
        <v>-226709499.81999999</v>
      </c>
      <c r="R32" s="191">
        <v>-37267026.82</v>
      </c>
      <c r="S32" s="191">
        <v>-20706418.73</v>
      </c>
      <c r="T32" s="182"/>
      <c r="U32" s="195"/>
    </row>
    <row r="33" spans="1:21" x14ac:dyDescent="0.2">
      <c r="A33" s="8" t="s">
        <v>777</v>
      </c>
      <c r="B33" s="8"/>
      <c r="C33" s="8"/>
      <c r="D33" s="5"/>
      <c r="E33" s="5"/>
      <c r="F33" s="187"/>
      <c r="G33" s="187"/>
      <c r="H33" s="187"/>
      <c r="I33" s="187"/>
      <c r="J33" s="5"/>
      <c r="K33" s="187"/>
      <c r="L33" s="187"/>
      <c r="M33" s="187"/>
      <c r="N33" s="187"/>
      <c r="O33" s="182"/>
      <c r="P33" s="187"/>
      <c r="Q33" s="187"/>
      <c r="R33" s="187"/>
      <c r="S33" s="187"/>
      <c r="T33" s="182"/>
      <c r="U33" s="195"/>
    </row>
    <row r="34" spans="1:21" x14ac:dyDescent="0.2">
      <c r="A34" s="5"/>
      <c r="B34" s="8" t="s">
        <v>759</v>
      </c>
      <c r="C34" s="8"/>
      <c r="D34" s="5"/>
      <c r="E34" s="5"/>
      <c r="F34" s="187"/>
      <c r="G34" s="187"/>
      <c r="H34" s="187"/>
      <c r="I34" s="187"/>
      <c r="J34" s="5"/>
      <c r="K34" s="187"/>
      <c r="L34" s="187"/>
      <c r="M34" s="187"/>
      <c r="N34" s="187"/>
      <c r="O34" s="182"/>
      <c r="P34" s="187"/>
      <c r="Q34" s="187"/>
      <c r="R34" s="187"/>
      <c r="S34" s="187"/>
      <c r="T34" s="182"/>
      <c r="U34" s="195"/>
    </row>
    <row r="35" spans="1:21" s="15" customFormat="1" hidden="1" x14ac:dyDescent="0.2">
      <c r="A35" s="10"/>
      <c r="B35" s="5"/>
      <c r="C35" s="10" t="s">
        <v>778</v>
      </c>
      <c r="D35" s="5"/>
      <c r="E35" s="5"/>
      <c r="F35" s="188">
        <f>G35+H35+I35</f>
        <v>0</v>
      </c>
      <c r="G35" s="183"/>
      <c r="H35" s="183"/>
      <c r="I35" s="184"/>
      <c r="J35" s="5"/>
      <c r="K35" s="188">
        <f>L35+M35+N35</f>
        <v>0</v>
      </c>
      <c r="L35" s="183"/>
      <c r="M35" s="183"/>
      <c r="N35" s="184"/>
      <c r="O35" s="182"/>
      <c r="P35" s="188">
        <f>Q35+R35+S35</f>
        <v>0</v>
      </c>
      <c r="Q35" s="183"/>
      <c r="R35" s="183"/>
      <c r="S35" s="184"/>
      <c r="T35" s="182"/>
      <c r="U35" s="195"/>
    </row>
    <row r="36" spans="1:21" x14ac:dyDescent="0.2">
      <c r="A36" s="10"/>
      <c r="B36" s="5"/>
      <c r="C36" s="10" t="s">
        <v>779</v>
      </c>
      <c r="D36" s="5"/>
      <c r="E36" s="5"/>
      <c r="F36" s="188">
        <f>G36+H36+I36</f>
        <v>9564783</v>
      </c>
      <c r="G36" s="183">
        <v>9564783</v>
      </c>
      <c r="H36" s="183">
        <v>0</v>
      </c>
      <c r="I36" s="183">
        <v>0</v>
      </c>
      <c r="J36" s="5"/>
      <c r="K36" s="188">
        <f>L36+M36+N36</f>
        <v>109938877.03</v>
      </c>
      <c r="L36" s="183">
        <v>109938877.03</v>
      </c>
      <c r="M36" s="183">
        <v>0</v>
      </c>
      <c r="N36" s="183">
        <v>0</v>
      </c>
      <c r="O36" s="182"/>
      <c r="P36" s="188">
        <f>Q36+R36+S36</f>
        <v>94028150</v>
      </c>
      <c r="Q36" s="183">
        <v>94028150</v>
      </c>
      <c r="R36" s="183">
        <v>0</v>
      </c>
      <c r="S36" s="183">
        <v>0</v>
      </c>
      <c r="T36" s="182"/>
      <c r="U36" s="195"/>
    </row>
    <row r="37" spans="1:21" x14ac:dyDescent="0.2">
      <c r="A37" s="5"/>
      <c r="B37" s="8" t="s">
        <v>765</v>
      </c>
      <c r="C37" s="8"/>
      <c r="D37" s="5"/>
      <c r="E37" s="5"/>
      <c r="F37" s="192">
        <f>G37+H37+I37</f>
        <v>9564783</v>
      </c>
      <c r="G37" s="193">
        <f>SUM(G35:G36)</f>
        <v>9564783</v>
      </c>
      <c r="H37" s="193">
        <f t="shared" ref="H37" si="29">SUM(H35:H36)</f>
        <v>0</v>
      </c>
      <c r="I37" s="193">
        <f t="shared" ref="I37" si="30">SUM(I35:I36)</f>
        <v>0</v>
      </c>
      <c r="J37" s="5"/>
      <c r="K37" s="192">
        <f>L37+M37+N37</f>
        <v>109938877.03</v>
      </c>
      <c r="L37" s="193">
        <f>SUM(L35:L36)</f>
        <v>109938877.03</v>
      </c>
      <c r="M37" s="193">
        <f t="shared" ref="M37" si="31">SUM(M35:M36)</f>
        <v>0</v>
      </c>
      <c r="N37" s="193">
        <f t="shared" ref="N37" si="32">SUM(N35:N36)</f>
        <v>0</v>
      </c>
      <c r="O37" s="182"/>
      <c r="P37" s="192">
        <f>Q37+R37+S37</f>
        <v>94028150</v>
      </c>
      <c r="Q37" s="193">
        <v>94028150</v>
      </c>
      <c r="R37" s="193">
        <v>0</v>
      </c>
      <c r="S37" s="193">
        <v>0</v>
      </c>
      <c r="T37" s="182"/>
      <c r="U37" s="195"/>
    </row>
    <row r="38" spans="1:21" x14ac:dyDescent="0.2">
      <c r="A38" s="5"/>
      <c r="B38" s="8" t="s">
        <v>766</v>
      </c>
      <c r="C38" s="8"/>
      <c r="D38" s="5"/>
      <c r="E38" s="5"/>
      <c r="F38" s="187"/>
      <c r="G38" s="187"/>
      <c r="H38" s="187"/>
      <c r="I38" s="187"/>
      <c r="J38" s="5"/>
      <c r="K38" s="187"/>
      <c r="L38" s="187"/>
      <c r="M38" s="187"/>
      <c r="N38" s="187"/>
      <c r="O38" s="182"/>
      <c r="P38" s="187"/>
      <c r="Q38" s="187"/>
      <c r="R38" s="187"/>
      <c r="S38" s="187"/>
      <c r="T38" s="182"/>
      <c r="U38" s="195"/>
    </row>
    <row r="39" spans="1:21" x14ac:dyDescent="0.2">
      <c r="A39" s="10"/>
      <c r="B39" s="5"/>
      <c r="C39" s="10" t="s">
        <v>780</v>
      </c>
      <c r="D39" s="5"/>
      <c r="E39" s="5"/>
      <c r="F39" s="188">
        <f>G39+H39+I39</f>
        <v>26694020.509999998</v>
      </c>
      <c r="G39" s="184">
        <v>26694020.509999998</v>
      </c>
      <c r="H39" s="184">
        <v>0</v>
      </c>
      <c r="I39" s="184">
        <v>0</v>
      </c>
      <c r="J39" s="5"/>
      <c r="K39" s="188">
        <f>L39+M39+N39</f>
        <v>27389241.369999997</v>
      </c>
      <c r="L39" s="184">
        <v>27389241.369999997</v>
      </c>
      <c r="M39" s="184">
        <v>0</v>
      </c>
      <c r="N39" s="184">
        <v>0</v>
      </c>
      <c r="O39" s="182"/>
      <c r="P39" s="188">
        <f t="shared" ref="P39:P47" si="33">Q39+R39+S39</f>
        <v>28330579.350000001</v>
      </c>
      <c r="Q39" s="184">
        <v>26709270.210000001</v>
      </c>
      <c r="R39" s="184">
        <v>1621309.14</v>
      </c>
      <c r="S39" s="184">
        <v>0</v>
      </c>
      <c r="T39" s="182"/>
      <c r="U39" s="195"/>
    </row>
    <row r="40" spans="1:21" hidden="1" x14ac:dyDescent="0.2">
      <c r="A40" s="10"/>
      <c r="B40" s="16"/>
      <c r="C40" s="10" t="s">
        <v>781</v>
      </c>
      <c r="D40" s="5"/>
      <c r="E40" s="5"/>
      <c r="F40" s="188">
        <f t="shared" ref="F40:F44" si="34">G40+H40+I40</f>
        <v>0</v>
      </c>
      <c r="G40" s="184"/>
      <c r="H40" s="183"/>
      <c r="I40" s="184"/>
      <c r="J40" s="5"/>
      <c r="K40" s="188">
        <f t="shared" ref="K40:K47" si="35">L40+M40+N40</f>
        <v>0</v>
      </c>
      <c r="L40" s="184"/>
      <c r="M40" s="183"/>
      <c r="N40" s="184"/>
      <c r="O40" s="182"/>
      <c r="P40" s="188">
        <f t="shared" si="33"/>
        <v>0</v>
      </c>
      <c r="Q40" s="184"/>
      <c r="R40" s="183"/>
      <c r="S40" s="184"/>
      <c r="T40" s="182"/>
      <c r="U40" s="195"/>
    </row>
    <row r="41" spans="1:21" hidden="1" x14ac:dyDescent="0.2">
      <c r="A41" s="17"/>
      <c r="B41" s="5"/>
      <c r="C41" s="10" t="s">
        <v>782</v>
      </c>
      <c r="D41" s="5"/>
      <c r="E41" s="5"/>
      <c r="F41" s="188">
        <f t="shared" si="34"/>
        <v>0</v>
      </c>
      <c r="G41" s="183"/>
      <c r="H41" s="183"/>
      <c r="I41" s="184"/>
      <c r="J41" s="5"/>
      <c r="K41" s="188">
        <f t="shared" si="35"/>
        <v>0</v>
      </c>
      <c r="L41" s="183"/>
      <c r="M41" s="183"/>
      <c r="N41" s="184"/>
      <c r="O41" s="182"/>
      <c r="P41" s="188">
        <f t="shared" si="33"/>
        <v>0</v>
      </c>
      <c r="Q41" s="183"/>
      <c r="R41" s="183"/>
      <c r="S41" s="184"/>
      <c r="T41" s="182"/>
      <c r="U41" s="195"/>
    </row>
    <row r="42" spans="1:21" x14ac:dyDescent="0.2">
      <c r="A42" s="13"/>
      <c r="B42" s="8" t="s">
        <v>772</v>
      </c>
      <c r="C42" s="8"/>
      <c r="D42" s="5"/>
      <c r="E42" s="5"/>
      <c r="F42" s="189">
        <f t="shared" si="34"/>
        <v>26694020.509999998</v>
      </c>
      <c r="G42" s="191">
        <f>SUM(G39:G41)</f>
        <v>26694020.509999998</v>
      </c>
      <c r="H42" s="191">
        <f t="shared" ref="H42:I42" si="36">SUM(H39:H41)</f>
        <v>0</v>
      </c>
      <c r="I42" s="191">
        <f t="shared" si="36"/>
        <v>0</v>
      </c>
      <c r="J42" s="5"/>
      <c r="K42" s="189">
        <f t="shared" si="35"/>
        <v>27389241.369999997</v>
      </c>
      <c r="L42" s="191">
        <f>SUM(L39:L41)</f>
        <v>27389241.369999997</v>
      </c>
      <c r="M42" s="191">
        <f t="shared" ref="M42" si="37">SUM(M39:M41)</f>
        <v>0</v>
      </c>
      <c r="N42" s="191">
        <f t="shared" ref="N42" si="38">SUM(N39:N41)</f>
        <v>0</v>
      </c>
      <c r="O42" s="182"/>
      <c r="P42" s="189">
        <f t="shared" si="33"/>
        <v>28330579.350000001</v>
      </c>
      <c r="Q42" s="191">
        <v>26709270.210000001</v>
      </c>
      <c r="R42" s="191">
        <v>1621309.14</v>
      </c>
      <c r="S42" s="191">
        <v>0</v>
      </c>
      <c r="T42" s="182"/>
      <c r="U42" s="195"/>
    </row>
    <row r="43" spans="1:21" s="15" customFormat="1" x14ac:dyDescent="0.2">
      <c r="A43" s="8" t="s">
        <v>783</v>
      </c>
      <c r="B43" s="8"/>
      <c r="C43" s="8"/>
      <c r="D43" s="12"/>
      <c r="E43" s="12"/>
      <c r="F43" s="189">
        <f t="shared" si="34"/>
        <v>-17129237.509999998</v>
      </c>
      <c r="G43" s="191">
        <f>G37-G42</f>
        <v>-17129237.509999998</v>
      </c>
      <c r="H43" s="191">
        <f t="shared" ref="H43:I43" si="39">H37-H42</f>
        <v>0</v>
      </c>
      <c r="I43" s="191">
        <f t="shared" si="39"/>
        <v>0</v>
      </c>
      <c r="J43" s="12"/>
      <c r="K43" s="189">
        <f t="shared" si="35"/>
        <v>82549635.659999996</v>
      </c>
      <c r="L43" s="191">
        <f>L37-L42</f>
        <v>82549635.659999996</v>
      </c>
      <c r="M43" s="191">
        <f t="shared" ref="M43" si="40">M37-M42</f>
        <v>0</v>
      </c>
      <c r="N43" s="191">
        <f t="shared" ref="N43" si="41">N37-N42</f>
        <v>0</v>
      </c>
      <c r="O43" s="182"/>
      <c r="P43" s="189">
        <f t="shared" si="33"/>
        <v>65697570.649999991</v>
      </c>
      <c r="Q43" s="191">
        <v>67318879.789999992</v>
      </c>
      <c r="R43" s="191">
        <v>-1621309.14</v>
      </c>
      <c r="S43" s="191">
        <v>0</v>
      </c>
      <c r="T43" s="182"/>
      <c r="U43" s="195"/>
    </row>
    <row r="44" spans="1:21" s="15" customFormat="1" ht="28.5" customHeight="1" x14ac:dyDescent="0.2">
      <c r="A44" s="627" t="s">
        <v>784</v>
      </c>
      <c r="B44" s="627"/>
      <c r="C44" s="627"/>
      <c r="D44" s="627"/>
      <c r="E44" s="627"/>
      <c r="F44" s="194">
        <f t="shared" si="34"/>
        <v>200977735.99199992</v>
      </c>
      <c r="G44" s="190">
        <f>G24+G32+G43</f>
        <v>-133418321.22800016</v>
      </c>
      <c r="H44" s="190">
        <f t="shared" ref="H44:I44" si="42">H24+H32+H43</f>
        <v>1947914.9199999981</v>
      </c>
      <c r="I44" s="190">
        <f t="shared" si="42"/>
        <v>332448142.30000007</v>
      </c>
      <c r="J44" s="481"/>
      <c r="K44" s="194">
        <f t="shared" si="35"/>
        <v>234563623.5399999</v>
      </c>
      <c r="L44" s="190">
        <f>L24+L32+L43</f>
        <v>128987266.79999986</v>
      </c>
      <c r="M44" s="190">
        <f t="shared" ref="M44" si="43">M24+M32+M43</f>
        <v>23095407.170000006</v>
      </c>
      <c r="N44" s="190">
        <f t="shared" ref="N44" si="44">N24+N32+N43</f>
        <v>82480949.570000008</v>
      </c>
      <c r="O44" s="182"/>
      <c r="P44" s="194">
        <f t="shared" si="33"/>
        <v>150028900.48000002</v>
      </c>
      <c r="Q44" s="190">
        <v>149866836.57000002</v>
      </c>
      <c r="R44" s="190">
        <v>-124764.97999999672</v>
      </c>
      <c r="S44" s="190">
        <v>286828.88999999315</v>
      </c>
      <c r="T44" s="182"/>
      <c r="U44" s="195"/>
    </row>
    <row r="45" spans="1:21" x14ac:dyDescent="0.2">
      <c r="A45" s="8" t="s">
        <v>785</v>
      </c>
      <c r="B45" s="8"/>
      <c r="C45" s="8"/>
      <c r="D45" s="12"/>
      <c r="E45" s="12"/>
      <c r="F45" s="188">
        <f>G45+H45+I45</f>
        <v>1154189142.9200001</v>
      </c>
      <c r="G45" s="183">
        <f>L47</f>
        <v>911952953.54999995</v>
      </c>
      <c r="H45" s="183">
        <f>M47</f>
        <v>79320575.87000002</v>
      </c>
      <c r="I45" s="183">
        <f>N47</f>
        <v>162915613.5</v>
      </c>
      <c r="J45" s="12"/>
      <c r="K45" s="188">
        <f>L45+M45+N45</f>
        <v>919464922.93000007</v>
      </c>
      <c r="L45" s="183">
        <v>782805145.80000007</v>
      </c>
      <c r="M45" s="183">
        <v>56225113.20000001</v>
      </c>
      <c r="N45" s="183">
        <v>80434663.929999977</v>
      </c>
      <c r="O45" s="182"/>
      <c r="P45" s="188">
        <f t="shared" si="33"/>
        <v>769436022.45000005</v>
      </c>
      <c r="Q45" s="183">
        <v>632938309.23000002</v>
      </c>
      <c r="R45" s="183">
        <v>56349878.180000007</v>
      </c>
      <c r="S45" s="183">
        <v>80147835.039999992</v>
      </c>
      <c r="T45" s="182"/>
      <c r="U45" s="195"/>
    </row>
    <row r="46" spans="1:21" x14ac:dyDescent="0.2">
      <c r="A46" s="8" t="s">
        <v>822</v>
      </c>
      <c r="B46" s="8"/>
      <c r="C46" s="8"/>
      <c r="D46" s="12"/>
      <c r="E46" s="12"/>
      <c r="F46" s="188">
        <f>G46+H46+I46</f>
        <v>-85620.82</v>
      </c>
      <c r="G46" s="183">
        <v>-72818</v>
      </c>
      <c r="H46" s="183">
        <v>-12802.82</v>
      </c>
      <c r="I46" s="183">
        <v>0</v>
      </c>
      <c r="J46" s="12"/>
      <c r="K46" s="188">
        <f>L46+M46+N46</f>
        <v>160596.44999999998</v>
      </c>
      <c r="L46" s="183">
        <v>160540.94999999998</v>
      </c>
      <c r="M46" s="183">
        <v>55.5</v>
      </c>
      <c r="N46" s="183">
        <v>0</v>
      </c>
      <c r="O46" s="182"/>
      <c r="P46" s="188">
        <f t="shared" si="33"/>
        <v>0</v>
      </c>
      <c r="Q46" s="183">
        <v>0</v>
      </c>
      <c r="R46" s="183">
        <v>0</v>
      </c>
      <c r="S46" s="183">
        <v>0</v>
      </c>
      <c r="T46" s="182"/>
      <c r="U46" s="195"/>
    </row>
    <row r="47" spans="1:21" ht="18.75" customHeight="1" thickBot="1" x14ac:dyDescent="0.25">
      <c r="A47" s="18" t="s">
        <v>786</v>
      </c>
      <c r="B47" s="18"/>
      <c r="C47" s="18"/>
      <c r="D47" s="19"/>
      <c r="E47" s="19"/>
      <c r="F47" s="516">
        <f t="shared" ref="F47" si="45">G47+H47+I47</f>
        <v>1355081258.092</v>
      </c>
      <c r="G47" s="517">
        <f>G45+G44+G46</f>
        <v>778461814.32199979</v>
      </c>
      <c r="H47" s="517">
        <f>H45+H44+H46</f>
        <v>81255687.970000029</v>
      </c>
      <c r="I47" s="517">
        <f>I45+I44</f>
        <v>495363755.80000007</v>
      </c>
      <c r="J47" s="518"/>
      <c r="K47" s="516">
        <f t="shared" si="35"/>
        <v>1154189142.9200001</v>
      </c>
      <c r="L47" s="517">
        <f>L45+L44+L46</f>
        <v>911952953.54999995</v>
      </c>
      <c r="M47" s="517">
        <f>M45+M44+M46</f>
        <v>79320575.87000002</v>
      </c>
      <c r="N47" s="517">
        <f>N45+N44</f>
        <v>162915613.5</v>
      </c>
      <c r="O47" s="180"/>
      <c r="P47" s="185">
        <f t="shared" si="33"/>
        <v>919464922.93000007</v>
      </c>
      <c r="Q47" s="186">
        <f>Q45+Q44+Q46</f>
        <v>782805145.80000007</v>
      </c>
      <c r="R47" s="186">
        <f>R45+R44+R46</f>
        <v>56225113.20000001</v>
      </c>
      <c r="S47" s="186">
        <f>S45+S44+S46</f>
        <v>80434663.929999977</v>
      </c>
      <c r="T47" s="182"/>
      <c r="U47" s="195"/>
    </row>
    <row r="48" spans="1:21" ht="13.5" hidden="1" thickTop="1" x14ac:dyDescent="0.2">
      <c r="A48" s="5" t="s">
        <v>787</v>
      </c>
      <c r="B48" s="20"/>
      <c r="C48" s="20"/>
      <c r="D48" s="20"/>
      <c r="E48" s="20"/>
      <c r="F48" s="20"/>
      <c r="G48" s="20"/>
      <c r="H48" s="20"/>
      <c r="I48" s="20"/>
      <c r="J48" s="20"/>
      <c r="K48" s="207">
        <f>SUM(L48:N48)</f>
        <v>618078499.27999997</v>
      </c>
      <c r="L48" s="184">
        <f>+'[3]FPOS-'!G23</f>
        <v>489770241.50999999</v>
      </c>
      <c r="M48" s="184">
        <f>'[3]FPOS-'!H23</f>
        <v>53854359.900000006</v>
      </c>
      <c r="N48" s="184">
        <f>'[3]FPOS-'!I23</f>
        <v>74453897.870000005</v>
      </c>
      <c r="O48" s="182"/>
      <c r="P48" s="207">
        <f>SUM(Q48:S48)</f>
        <v>531177897.12</v>
      </c>
      <c r="Q48" s="184">
        <f>'[3]FPOS-'!L23</f>
        <v>382104897.95999998</v>
      </c>
      <c r="R48" s="184">
        <f>'[3]FPOS-'!M23</f>
        <v>59007196.870000005</v>
      </c>
      <c r="S48" s="184">
        <f>'[3]FPOS-'!N23</f>
        <v>90065802.290000007</v>
      </c>
      <c r="U48" s="195"/>
    </row>
    <row r="49" spans="1:21" hidden="1" x14ac:dyDescent="0.2">
      <c r="A49" s="5" t="s">
        <v>788</v>
      </c>
      <c r="B49" s="20"/>
      <c r="C49" s="20"/>
      <c r="D49" s="20"/>
      <c r="E49" s="20"/>
      <c r="F49" s="20"/>
      <c r="G49" s="20"/>
      <c r="H49" s="20"/>
      <c r="I49" s="20"/>
      <c r="J49" s="20"/>
      <c r="K49" s="184">
        <f t="shared" ref="K49:N49" si="46">K47-K48</f>
        <v>536110643.6400001</v>
      </c>
      <c r="L49" s="184">
        <f t="shared" si="46"/>
        <v>422182712.03999996</v>
      </c>
      <c r="M49" s="184">
        <f t="shared" si="46"/>
        <v>25466215.970000014</v>
      </c>
      <c r="N49" s="184">
        <f t="shared" si="46"/>
        <v>88461715.629999995</v>
      </c>
      <c r="O49" s="182"/>
      <c r="P49" s="184">
        <f t="shared" ref="P49:S49" si="47">P47-P48</f>
        <v>388287025.81000006</v>
      </c>
      <c r="Q49" s="184">
        <f t="shared" si="47"/>
        <v>400700247.84000009</v>
      </c>
      <c r="R49" s="184">
        <f t="shared" si="47"/>
        <v>-2782083.6699999943</v>
      </c>
      <c r="S49" s="184">
        <f t="shared" si="47"/>
        <v>-9631138.3600000292</v>
      </c>
      <c r="U49" s="195"/>
    </row>
    <row r="50" spans="1:21" hidden="1" x14ac:dyDescent="0.2">
      <c r="A50" s="5" t="s">
        <v>789</v>
      </c>
      <c r="B50" s="5"/>
      <c r="C50" s="5"/>
      <c r="D50" s="5"/>
      <c r="E50" s="5"/>
      <c r="F50" s="5"/>
      <c r="G50" s="5"/>
      <c r="H50" s="5"/>
      <c r="I50" s="5"/>
      <c r="J50" s="5"/>
      <c r="K50" s="207">
        <f>SUM(L50:N50)</f>
        <v>618078499.27999997</v>
      </c>
      <c r="L50" s="184">
        <v>489770241.50999999</v>
      </c>
      <c r="M50" s="183">
        <v>53854359.899999999</v>
      </c>
      <c r="N50" s="184">
        <v>74453897.870000005</v>
      </c>
      <c r="O50" s="182"/>
      <c r="P50" s="207">
        <f>SUM(Q50:S50)</f>
        <v>0</v>
      </c>
      <c r="Q50" s="184"/>
      <c r="R50" s="183"/>
      <c r="S50" s="184"/>
      <c r="U50" s="195"/>
    </row>
    <row r="51" spans="1:21" hidden="1" x14ac:dyDescent="0.2">
      <c r="A51" s="1" t="s">
        <v>757</v>
      </c>
      <c r="B51" s="1"/>
      <c r="C51" s="1"/>
      <c r="D51" s="1"/>
      <c r="E51" s="1"/>
      <c r="F51" s="1"/>
      <c r="G51" s="1"/>
      <c r="H51" s="1"/>
      <c r="I51" s="1"/>
      <c r="J51" s="1"/>
      <c r="K51" s="187">
        <f t="shared" ref="K51:N51" si="48">K47-K50</f>
        <v>536110643.6400001</v>
      </c>
      <c r="L51" s="187">
        <f t="shared" si="48"/>
        <v>422182712.03999996</v>
      </c>
      <c r="M51" s="187">
        <f t="shared" si="48"/>
        <v>25466215.970000021</v>
      </c>
      <c r="N51" s="187">
        <f t="shared" si="48"/>
        <v>88461715.629999995</v>
      </c>
      <c r="O51" s="182"/>
      <c r="P51" s="187">
        <f t="shared" ref="P51:S51" si="49">P47-P50</f>
        <v>919464922.93000007</v>
      </c>
      <c r="Q51" s="187">
        <f t="shared" si="49"/>
        <v>782805145.80000007</v>
      </c>
      <c r="R51" s="187">
        <f t="shared" si="49"/>
        <v>56225113.20000001</v>
      </c>
      <c r="S51" s="187">
        <f t="shared" si="49"/>
        <v>80434663.929999977</v>
      </c>
      <c r="U51" s="195"/>
    </row>
    <row r="52" spans="1:21" ht="13.5" thickTop="1" x14ac:dyDescent="0.2">
      <c r="A52" s="5"/>
      <c r="B52" s="5"/>
      <c r="C52" s="5"/>
      <c r="D52" s="5"/>
      <c r="E52" s="5"/>
      <c r="F52" s="5"/>
      <c r="G52" s="5"/>
      <c r="H52" s="5"/>
      <c r="I52" s="5"/>
      <c r="J52" s="5"/>
      <c r="K52" s="207"/>
      <c r="L52" s="208"/>
      <c r="M52" s="183"/>
      <c r="N52" s="208"/>
      <c r="O52" s="182"/>
      <c r="P52" s="207"/>
      <c r="Q52" s="208"/>
      <c r="R52" s="183"/>
      <c r="S52" s="208"/>
    </row>
    <row r="53" spans="1:21" x14ac:dyDescent="0.2">
      <c r="A53" s="5"/>
      <c r="B53" s="5"/>
      <c r="C53" s="5"/>
      <c r="D53" s="5"/>
      <c r="E53" s="5"/>
      <c r="F53" s="5"/>
      <c r="G53" s="5"/>
      <c r="H53" s="5"/>
      <c r="I53" s="5"/>
      <c r="J53" s="5"/>
      <c r="K53" s="207"/>
      <c r="L53" s="198"/>
      <c r="M53" s="198"/>
      <c r="N53" s="198"/>
      <c r="O53" s="182"/>
      <c r="P53" s="207"/>
      <c r="Q53" s="198"/>
      <c r="R53" s="198"/>
      <c r="S53" s="198"/>
    </row>
    <row r="54" spans="1:21" hidden="1" x14ac:dyDescent="0.2">
      <c r="A54" s="5"/>
      <c r="B54" s="5"/>
      <c r="C54" s="5"/>
      <c r="D54" s="5"/>
      <c r="E54" s="5"/>
      <c r="F54" s="5"/>
      <c r="G54" s="5"/>
      <c r="H54" s="5"/>
      <c r="I54" s="5"/>
      <c r="J54" s="5"/>
      <c r="K54" s="207"/>
      <c r="L54" s="208"/>
      <c r="M54" s="208"/>
      <c r="N54" s="208"/>
      <c r="O54" s="182"/>
      <c r="P54" s="207"/>
      <c r="Q54" s="208"/>
      <c r="R54" s="183"/>
      <c r="S54" s="208"/>
    </row>
    <row r="55" spans="1:21" hidden="1" x14ac:dyDescent="0.2">
      <c r="A55" s="628" t="s">
        <v>6</v>
      </c>
      <c r="B55" s="629"/>
      <c r="C55" s="629"/>
      <c r="D55" s="629"/>
      <c r="E55" s="630"/>
      <c r="F55" s="482"/>
      <c r="G55" s="482"/>
      <c r="H55" s="482"/>
      <c r="I55" s="482"/>
      <c r="J55" s="482"/>
      <c r="K55" s="634"/>
      <c r="L55" s="635"/>
      <c r="M55" s="635"/>
      <c r="N55" s="636"/>
      <c r="O55" s="182"/>
      <c r="P55" s="634"/>
      <c r="Q55" s="635"/>
      <c r="R55" s="635"/>
      <c r="S55" s="636"/>
    </row>
    <row r="56" spans="1:21" hidden="1" x14ac:dyDescent="0.2">
      <c r="A56" s="631"/>
      <c r="B56" s="632"/>
      <c r="C56" s="632"/>
      <c r="D56" s="632"/>
      <c r="E56" s="633"/>
      <c r="F56" s="483"/>
      <c r="G56" s="483"/>
      <c r="H56" s="483"/>
      <c r="I56" s="483"/>
      <c r="J56" s="483"/>
      <c r="K56" s="209"/>
      <c r="L56" s="210"/>
      <c r="M56" s="210"/>
      <c r="N56" s="210"/>
      <c r="O56" s="182"/>
      <c r="P56" s="209"/>
      <c r="Q56" s="210"/>
      <c r="R56" s="210"/>
      <c r="S56" s="210"/>
    </row>
    <row r="57" spans="1:21" hidden="1" x14ac:dyDescent="0.2">
      <c r="A57" s="5"/>
      <c r="B57" s="8" t="s">
        <v>790</v>
      </c>
      <c r="C57" s="5"/>
      <c r="D57" s="5"/>
      <c r="E57" s="5"/>
      <c r="F57" s="5"/>
      <c r="G57" s="5"/>
      <c r="H57" s="5"/>
      <c r="I57" s="5"/>
      <c r="J57" s="5"/>
      <c r="K57" s="207"/>
      <c r="L57" s="207"/>
      <c r="M57" s="207"/>
      <c r="N57" s="207"/>
      <c r="O57" s="182"/>
      <c r="P57" s="207"/>
      <c r="Q57" s="207"/>
      <c r="R57" s="207"/>
      <c r="S57" s="207"/>
    </row>
    <row r="58" spans="1:21" hidden="1" x14ac:dyDescent="0.2">
      <c r="A58" s="5"/>
      <c r="B58" s="8" t="s">
        <v>791</v>
      </c>
      <c r="C58" s="5"/>
      <c r="D58" s="5"/>
      <c r="E58" s="5"/>
      <c r="F58" s="5"/>
      <c r="G58" s="5"/>
      <c r="H58" s="5"/>
      <c r="I58" s="5"/>
      <c r="J58" s="5"/>
      <c r="K58" s="207"/>
      <c r="L58" s="207"/>
      <c r="M58" s="207"/>
      <c r="N58" s="207"/>
      <c r="O58" s="182"/>
      <c r="P58" s="207"/>
      <c r="Q58" s="207"/>
      <c r="R58" s="207"/>
      <c r="S58" s="207"/>
    </row>
    <row r="59" spans="1:21" hidden="1" x14ac:dyDescent="0.2">
      <c r="A59" s="5"/>
      <c r="B59" s="8" t="s">
        <v>792</v>
      </c>
      <c r="C59" s="5"/>
      <c r="D59" s="5"/>
      <c r="E59" s="5"/>
      <c r="F59" s="5"/>
      <c r="G59" s="5"/>
      <c r="H59" s="5"/>
      <c r="I59" s="5"/>
      <c r="J59" s="5"/>
      <c r="K59" s="207"/>
      <c r="L59" s="207"/>
      <c r="M59" s="207"/>
      <c r="N59" s="207"/>
      <c r="O59" s="182"/>
      <c r="P59" s="207"/>
      <c r="Q59" s="207"/>
      <c r="R59" s="207"/>
      <c r="S59" s="207"/>
    </row>
    <row r="60" spans="1:21" hidden="1" x14ac:dyDescent="0.2">
      <c r="A60" s="5"/>
      <c r="B60" s="8" t="s">
        <v>793</v>
      </c>
      <c r="C60" s="5"/>
      <c r="D60" s="5"/>
      <c r="E60" s="5"/>
      <c r="F60" s="5"/>
      <c r="G60" s="5"/>
      <c r="H60" s="5"/>
      <c r="I60" s="5"/>
      <c r="J60" s="5"/>
      <c r="K60" s="207"/>
      <c r="L60" s="207"/>
      <c r="M60" s="207"/>
      <c r="N60" s="207"/>
      <c r="O60" s="182"/>
      <c r="P60" s="207"/>
      <c r="Q60" s="207"/>
      <c r="R60" s="207"/>
      <c r="S60" s="207"/>
    </row>
    <row r="61" spans="1:21" hidden="1" x14ac:dyDescent="0.2">
      <c r="A61" s="5"/>
      <c r="B61" s="8" t="s">
        <v>794</v>
      </c>
      <c r="C61" s="5"/>
      <c r="D61" s="5"/>
      <c r="E61" s="5"/>
      <c r="F61" s="5"/>
      <c r="G61" s="5"/>
      <c r="H61" s="5"/>
      <c r="I61" s="5"/>
      <c r="J61" s="5"/>
      <c r="K61" s="207"/>
      <c r="L61" s="207"/>
      <c r="M61" s="207"/>
      <c r="N61" s="207"/>
      <c r="O61" s="182"/>
      <c r="P61" s="207"/>
      <c r="Q61" s="207"/>
      <c r="R61" s="207"/>
      <c r="S61" s="207"/>
    </row>
    <row r="62" spans="1:21" hidden="1" x14ac:dyDescent="0.2">
      <c r="A62" s="5"/>
      <c r="B62" s="8" t="s">
        <v>795</v>
      </c>
      <c r="C62" s="5"/>
      <c r="D62" s="5"/>
      <c r="E62" s="5"/>
      <c r="F62" s="5"/>
      <c r="G62" s="5"/>
      <c r="H62" s="5"/>
      <c r="I62" s="5"/>
      <c r="J62" s="5"/>
      <c r="K62" s="207"/>
      <c r="L62" s="207"/>
      <c r="M62" s="207"/>
      <c r="N62" s="207"/>
      <c r="O62" s="182"/>
      <c r="P62" s="207"/>
      <c r="Q62" s="207"/>
      <c r="R62" s="207"/>
      <c r="S62" s="207"/>
    </row>
    <row r="63" spans="1:21" hidden="1" x14ac:dyDescent="0.2">
      <c r="A63" s="5"/>
      <c r="B63" s="5"/>
      <c r="C63" s="5"/>
      <c r="D63" s="5"/>
      <c r="E63" s="5"/>
      <c r="F63" s="5"/>
      <c r="G63" s="5"/>
      <c r="H63" s="5"/>
      <c r="I63" s="5"/>
      <c r="J63" s="5"/>
      <c r="K63" s="207"/>
      <c r="L63" s="207"/>
      <c r="M63" s="207"/>
      <c r="N63" s="207"/>
      <c r="O63" s="182"/>
      <c r="P63" s="207"/>
      <c r="Q63" s="207"/>
      <c r="R63" s="207"/>
      <c r="S63" s="207"/>
    </row>
    <row r="64" spans="1:21" hidden="1" x14ac:dyDescent="0.2">
      <c r="A64" s="5"/>
      <c r="B64" s="5"/>
      <c r="C64" s="5"/>
      <c r="D64" s="5"/>
      <c r="E64" s="5"/>
      <c r="F64" s="5"/>
      <c r="G64" s="5"/>
      <c r="H64" s="5"/>
      <c r="I64" s="5"/>
      <c r="J64" s="5"/>
      <c r="K64" s="207"/>
      <c r="L64" s="211"/>
      <c r="M64" s="183"/>
      <c r="N64" s="208"/>
      <c r="O64" s="182"/>
      <c r="P64" s="207"/>
      <c r="Q64" s="211"/>
      <c r="R64" s="183"/>
      <c r="S64" s="208"/>
    </row>
    <row r="65" spans="1:19" ht="15.75" hidden="1" x14ac:dyDescent="0.25">
      <c r="A65" s="21" t="s">
        <v>796</v>
      </c>
      <c r="B65" s="22"/>
      <c r="C65" s="22"/>
      <c r="D65" s="22"/>
      <c r="E65" s="22"/>
      <c r="F65" s="22"/>
      <c r="G65" s="22"/>
      <c r="H65" s="22"/>
      <c r="I65" s="22"/>
      <c r="J65" s="22"/>
      <c r="K65" s="202"/>
      <c r="L65" s="212"/>
      <c r="M65" s="89"/>
      <c r="N65" s="213"/>
      <c r="O65" s="182"/>
      <c r="P65" s="202"/>
      <c r="Q65" s="212"/>
      <c r="R65" s="89"/>
      <c r="S65" s="213"/>
    </row>
    <row r="66" spans="1:19" hidden="1" x14ac:dyDescent="0.2">
      <c r="A66" s="18"/>
      <c r="B66" s="5"/>
      <c r="C66" s="5"/>
      <c r="D66" s="5"/>
      <c r="E66" s="5"/>
      <c r="F66" s="5"/>
      <c r="G66" s="5"/>
      <c r="H66" s="5"/>
      <c r="I66" s="5"/>
      <c r="J66" s="5"/>
      <c r="K66" s="207"/>
      <c r="L66" s="211"/>
      <c r="M66" s="183"/>
      <c r="N66" s="208"/>
      <c r="O66" s="182"/>
      <c r="P66" s="207"/>
      <c r="Q66" s="211"/>
      <c r="R66" s="183"/>
      <c r="S66" s="208"/>
    </row>
    <row r="67" spans="1:19" ht="15.75" hidden="1" x14ac:dyDescent="0.25">
      <c r="A67" s="24" t="s">
        <v>797</v>
      </c>
      <c r="B67" s="25"/>
      <c r="C67" s="25"/>
      <c r="D67" s="25"/>
      <c r="E67" s="25"/>
      <c r="F67" s="25"/>
      <c r="G67" s="25"/>
      <c r="H67" s="25"/>
      <c r="I67" s="25"/>
      <c r="J67" s="25"/>
      <c r="K67" s="214"/>
      <c r="L67" s="215"/>
      <c r="M67" s="215"/>
      <c r="N67" s="216"/>
      <c r="O67" s="182"/>
      <c r="P67" s="214"/>
      <c r="Q67" s="215"/>
      <c r="R67" s="215"/>
      <c r="S67" s="216"/>
    </row>
    <row r="68" spans="1:19" ht="13.5" hidden="1" x14ac:dyDescent="0.2">
      <c r="A68" s="27"/>
      <c r="B68" s="12"/>
      <c r="C68" s="12"/>
      <c r="D68" s="12"/>
      <c r="E68" s="12"/>
      <c r="F68" s="12"/>
      <c r="G68" s="12"/>
      <c r="H68" s="12"/>
      <c r="I68" s="12"/>
      <c r="J68" s="12"/>
      <c r="K68" s="217"/>
      <c r="L68" s="197"/>
      <c r="M68" s="197"/>
      <c r="N68" s="218"/>
      <c r="O68" s="182"/>
      <c r="P68" s="217"/>
      <c r="Q68" s="197"/>
      <c r="R68" s="197"/>
      <c r="S68" s="218"/>
    </row>
    <row r="69" spans="1:19" ht="63.75" hidden="1" x14ac:dyDescent="0.2">
      <c r="A69" s="5"/>
      <c r="B69" s="5"/>
      <c r="C69" s="5"/>
      <c r="D69" s="5"/>
      <c r="E69" s="28" t="s">
        <v>798</v>
      </c>
      <c r="F69" s="28"/>
      <c r="G69" s="28"/>
      <c r="H69" s="28"/>
      <c r="I69" s="28"/>
      <c r="J69" s="28"/>
      <c r="K69" s="207"/>
      <c r="L69" s="208"/>
      <c r="M69" s="208"/>
      <c r="N69" s="208"/>
      <c r="O69" s="182"/>
      <c r="P69" s="207"/>
      <c r="Q69" s="208"/>
      <c r="R69" s="208"/>
      <c r="S69" s="208"/>
    </row>
    <row r="70" spans="1:19" hidden="1" x14ac:dyDescent="0.2">
      <c r="A70" s="5"/>
      <c r="B70" s="5"/>
      <c r="C70" s="5"/>
      <c r="D70" s="5"/>
      <c r="E70" s="29"/>
      <c r="F70" s="29"/>
      <c r="G70" s="29"/>
      <c r="H70" s="29"/>
      <c r="I70" s="29"/>
      <c r="J70" s="29"/>
      <c r="K70" s="207"/>
      <c r="L70" s="183"/>
      <c r="M70" s="183"/>
      <c r="N70" s="208"/>
      <c r="O70" s="182"/>
      <c r="P70" s="207"/>
      <c r="Q70" s="183"/>
      <c r="R70" s="183"/>
      <c r="S70" s="208"/>
    </row>
    <row r="71" spans="1:19" hidden="1" x14ac:dyDescent="0.2">
      <c r="A71" s="5"/>
      <c r="B71" s="5"/>
      <c r="C71" s="5"/>
      <c r="D71" s="5"/>
      <c r="E71" s="12" t="s">
        <v>799</v>
      </c>
      <c r="F71" s="12"/>
      <c r="G71" s="12"/>
      <c r="H71" s="12"/>
      <c r="I71" s="12"/>
      <c r="J71" s="12"/>
      <c r="K71" s="207"/>
      <c r="L71" s="211"/>
      <c r="M71" s="183"/>
      <c r="N71" s="208"/>
      <c r="O71" s="182"/>
      <c r="P71" s="207"/>
      <c r="Q71" s="211"/>
      <c r="R71" s="183"/>
      <c r="S71" s="208"/>
    </row>
    <row r="72" spans="1:19" hidden="1" x14ac:dyDescent="0.2">
      <c r="A72" s="624" t="s">
        <v>6</v>
      </c>
      <c r="B72" s="624"/>
      <c r="C72" s="624"/>
      <c r="D72" s="624"/>
      <c r="E72" s="624"/>
      <c r="F72" s="479"/>
      <c r="G72" s="479"/>
      <c r="H72" s="479"/>
      <c r="I72" s="479"/>
      <c r="J72" s="479"/>
      <c r="K72" s="625"/>
      <c r="L72" s="625"/>
      <c r="M72" s="625"/>
      <c r="N72" s="625"/>
      <c r="O72" s="182"/>
      <c r="P72" s="625"/>
      <c r="Q72" s="625"/>
      <c r="R72" s="625"/>
      <c r="S72" s="625"/>
    </row>
    <row r="73" spans="1:19" hidden="1" x14ac:dyDescent="0.2">
      <c r="A73" s="624"/>
      <c r="B73" s="624"/>
      <c r="C73" s="624"/>
      <c r="D73" s="624"/>
      <c r="E73" s="624"/>
      <c r="F73" s="479"/>
      <c r="G73" s="479"/>
      <c r="H73" s="479"/>
      <c r="I73" s="479"/>
      <c r="J73" s="479"/>
      <c r="K73" s="219"/>
      <c r="L73" s="220"/>
      <c r="M73" s="220"/>
      <c r="N73" s="220"/>
      <c r="O73" s="182"/>
      <c r="P73" s="219"/>
      <c r="Q73" s="220"/>
      <c r="R73" s="220"/>
      <c r="S73" s="220"/>
    </row>
    <row r="74" spans="1:19" hidden="1" x14ac:dyDescent="0.2">
      <c r="A74" s="55"/>
      <c r="B74" s="55"/>
      <c r="C74" s="55"/>
      <c r="D74" s="55"/>
      <c r="E74" s="55"/>
      <c r="F74" s="483"/>
      <c r="G74" s="483"/>
      <c r="H74" s="483"/>
      <c r="I74" s="483"/>
      <c r="J74" s="483"/>
      <c r="K74" s="209"/>
      <c r="L74" s="210"/>
      <c r="M74" s="210"/>
      <c r="N74" s="210"/>
      <c r="O74" s="182"/>
      <c r="P74" s="209"/>
      <c r="Q74" s="210"/>
      <c r="R74" s="210"/>
      <c r="S74" s="210"/>
    </row>
    <row r="75" spans="1:19" hidden="1" x14ac:dyDescent="0.2">
      <c r="A75" s="5"/>
      <c r="B75" s="5"/>
      <c r="C75" s="5"/>
      <c r="D75" s="5"/>
      <c r="E75" s="30" t="s">
        <v>800</v>
      </c>
      <c r="F75" s="30"/>
      <c r="G75" s="30"/>
      <c r="H75" s="30"/>
      <c r="I75" s="30"/>
      <c r="J75" s="30"/>
      <c r="K75" s="221"/>
      <c r="L75" s="184"/>
      <c r="M75" s="183"/>
      <c r="N75" s="184"/>
      <c r="O75" s="182"/>
      <c r="P75" s="221"/>
      <c r="Q75" s="184"/>
      <c r="R75" s="183"/>
      <c r="S75" s="184"/>
    </row>
    <row r="76" spans="1:19" hidden="1" x14ac:dyDescent="0.2">
      <c r="A76" s="5"/>
      <c r="B76" s="5"/>
      <c r="C76" s="5"/>
      <c r="D76" s="5"/>
      <c r="E76" s="30" t="s">
        <v>801</v>
      </c>
      <c r="F76" s="30"/>
      <c r="G76" s="30"/>
      <c r="H76" s="30"/>
      <c r="I76" s="30"/>
      <c r="J76" s="30"/>
      <c r="K76" s="221"/>
      <c r="L76" s="184"/>
      <c r="M76" s="183"/>
      <c r="N76" s="184"/>
      <c r="O76" s="182"/>
      <c r="P76" s="221"/>
      <c r="Q76" s="184"/>
      <c r="R76" s="183"/>
      <c r="S76" s="184"/>
    </row>
    <row r="77" spans="1:19" hidden="1" x14ac:dyDescent="0.2">
      <c r="A77" s="5"/>
      <c r="B77" s="5"/>
      <c r="C77" s="5"/>
      <c r="D77" s="5"/>
      <c r="E77" s="5" t="s">
        <v>802</v>
      </c>
      <c r="F77" s="5"/>
      <c r="G77" s="5"/>
      <c r="H77" s="5"/>
      <c r="I77" s="5"/>
      <c r="J77" s="5"/>
      <c r="K77" s="207"/>
      <c r="L77" s="207"/>
      <c r="M77" s="207"/>
      <c r="N77" s="207"/>
      <c r="O77" s="182"/>
      <c r="P77" s="207"/>
      <c r="Q77" s="207"/>
      <c r="R77" s="207"/>
      <c r="S77" s="207"/>
    </row>
    <row r="78" spans="1:19" hidden="1" x14ac:dyDescent="0.2">
      <c r="A78" s="5"/>
      <c r="B78" s="5"/>
      <c r="C78" s="5"/>
      <c r="D78" s="5"/>
      <c r="E78" s="5"/>
      <c r="F78" s="5"/>
      <c r="G78" s="5"/>
      <c r="H78" s="5"/>
      <c r="I78" s="5"/>
      <c r="J78" s="5"/>
      <c r="K78" s="207"/>
      <c r="L78" s="211"/>
      <c r="M78" s="211"/>
      <c r="N78" s="208"/>
      <c r="O78" s="182"/>
      <c r="P78" s="207"/>
      <c r="Q78" s="211"/>
      <c r="R78" s="211"/>
      <c r="S78" s="208"/>
    </row>
    <row r="79" spans="1:19" ht="15.75" hidden="1" x14ac:dyDescent="0.2">
      <c r="A79" s="24" t="s">
        <v>820</v>
      </c>
      <c r="B79" s="12"/>
      <c r="C79" s="12"/>
      <c r="D79" s="12"/>
      <c r="E79" s="12"/>
      <c r="F79" s="12"/>
      <c r="G79" s="12"/>
      <c r="H79" s="12"/>
      <c r="I79" s="12"/>
      <c r="J79" s="12"/>
      <c r="K79" s="217"/>
      <c r="L79" s="197"/>
      <c r="M79" s="197"/>
      <c r="N79" s="218"/>
      <c r="O79" s="182"/>
      <c r="P79" s="217"/>
      <c r="Q79" s="197"/>
      <c r="R79" s="197"/>
      <c r="S79" s="218"/>
    </row>
    <row r="80" spans="1:19" hidden="1" x14ac:dyDescent="0.2">
      <c r="A80" s="5"/>
      <c r="B80" s="5"/>
      <c r="C80" s="5"/>
      <c r="D80" s="5"/>
      <c r="E80" s="5"/>
      <c r="F80" s="5"/>
      <c r="G80" s="5"/>
      <c r="H80" s="5"/>
      <c r="I80" s="5"/>
      <c r="J80" s="5"/>
      <c r="K80" s="207"/>
      <c r="L80" s="198"/>
      <c r="M80" s="198"/>
      <c r="N80" s="198"/>
      <c r="O80" s="182"/>
      <c r="P80" s="207"/>
      <c r="Q80" s="198"/>
      <c r="R80" s="198"/>
      <c r="S80" s="198"/>
    </row>
    <row r="81" spans="1:19" hidden="1" x14ac:dyDescent="0.2">
      <c r="A81" s="5"/>
      <c r="B81" s="5"/>
      <c r="C81" s="5"/>
      <c r="D81" s="5"/>
      <c r="E81" s="12" t="s">
        <v>799</v>
      </c>
      <c r="F81" s="12"/>
      <c r="G81" s="12"/>
      <c r="H81" s="12"/>
      <c r="I81" s="12"/>
      <c r="J81" s="12"/>
      <c r="K81" s="207"/>
      <c r="L81" s="183"/>
      <c r="M81" s="183"/>
      <c r="N81" s="208"/>
      <c r="O81" s="182"/>
      <c r="P81" s="207"/>
      <c r="Q81" s="183"/>
      <c r="R81" s="183"/>
      <c r="S81" s="208"/>
    </row>
    <row r="82" spans="1:19" hidden="1" x14ac:dyDescent="0.2">
      <c r="A82" s="12"/>
      <c r="B82" s="12"/>
      <c r="C82" s="12"/>
      <c r="D82" s="12"/>
      <c r="E82" s="30" t="s">
        <v>803</v>
      </c>
      <c r="F82" s="30"/>
      <c r="G82" s="30"/>
      <c r="H82" s="30"/>
      <c r="I82" s="30"/>
      <c r="J82" s="30"/>
      <c r="K82" s="222"/>
      <c r="L82" s="197"/>
      <c r="M82" s="197"/>
      <c r="N82" s="197"/>
      <c r="O82" s="182"/>
      <c r="P82" s="222"/>
      <c r="Q82" s="197"/>
      <c r="R82" s="197"/>
      <c r="S82" s="218"/>
    </row>
    <row r="83" spans="1:19" hidden="1" x14ac:dyDescent="0.2">
      <c r="A83" s="12"/>
      <c r="B83" s="12"/>
      <c r="C83" s="12"/>
      <c r="D83" s="12"/>
      <c r="E83" s="30" t="s">
        <v>804</v>
      </c>
      <c r="F83" s="30"/>
      <c r="G83" s="30"/>
      <c r="H83" s="30"/>
      <c r="I83" s="30"/>
      <c r="J83" s="30"/>
      <c r="K83" s="222"/>
      <c r="L83" s="222"/>
      <c r="M83" s="222"/>
      <c r="N83" s="222"/>
      <c r="O83" s="182"/>
      <c r="P83" s="222"/>
      <c r="Q83" s="222"/>
      <c r="R83" s="222"/>
      <c r="S83" s="222"/>
    </row>
    <row r="84" spans="1:19" hidden="1" x14ac:dyDescent="0.2">
      <c r="A84" s="5"/>
      <c r="B84" s="5"/>
      <c r="C84" s="5"/>
      <c r="D84" s="5"/>
      <c r="E84" s="31" t="s">
        <v>805</v>
      </c>
      <c r="F84" s="31"/>
      <c r="G84" s="31"/>
      <c r="H84" s="31"/>
      <c r="I84" s="31"/>
      <c r="J84" s="31"/>
      <c r="K84" s="221"/>
      <c r="L84" s="211"/>
      <c r="M84" s="211"/>
      <c r="N84" s="211"/>
      <c r="O84" s="182"/>
      <c r="P84" s="221"/>
      <c r="Q84" s="211"/>
      <c r="R84" s="211"/>
      <c r="S84" s="208"/>
    </row>
    <row r="85" spans="1:19" hidden="1" x14ac:dyDescent="0.2">
      <c r="A85" s="5"/>
      <c r="B85" s="5"/>
      <c r="C85" s="5"/>
      <c r="D85" s="5"/>
      <c r="E85" s="31" t="s">
        <v>806</v>
      </c>
      <c r="F85" s="31"/>
      <c r="G85" s="31"/>
      <c r="H85" s="31"/>
      <c r="I85" s="31"/>
      <c r="J85" s="31"/>
      <c r="K85" s="221"/>
      <c r="L85" s="183"/>
      <c r="M85" s="183"/>
      <c r="N85" s="208"/>
      <c r="O85" s="182"/>
      <c r="P85" s="221"/>
      <c r="Q85" s="183"/>
      <c r="R85" s="183"/>
      <c r="S85" s="208"/>
    </row>
    <row r="86" spans="1:19" hidden="1" x14ac:dyDescent="0.2">
      <c r="A86" s="5"/>
      <c r="B86" s="5"/>
      <c r="C86" s="5"/>
      <c r="D86" s="5"/>
      <c r="E86" s="31" t="s">
        <v>807</v>
      </c>
      <c r="F86" s="31"/>
      <c r="G86" s="31"/>
      <c r="H86" s="31"/>
      <c r="I86" s="31"/>
      <c r="J86" s="31"/>
      <c r="K86" s="221"/>
      <c r="L86" s="211"/>
      <c r="M86" s="183"/>
      <c r="N86" s="208"/>
      <c r="O86" s="182"/>
      <c r="P86" s="221"/>
      <c r="Q86" s="211"/>
      <c r="R86" s="183"/>
      <c r="S86" s="208"/>
    </row>
    <row r="87" spans="1:19" hidden="1" x14ac:dyDescent="0.2">
      <c r="A87" s="5"/>
      <c r="B87" s="5"/>
      <c r="C87" s="5"/>
      <c r="D87" s="5"/>
      <c r="E87" s="28" t="s">
        <v>808</v>
      </c>
      <c r="F87" s="28"/>
      <c r="G87" s="28"/>
      <c r="H87" s="28"/>
      <c r="I87" s="28"/>
      <c r="J87" s="28"/>
      <c r="K87" s="221"/>
      <c r="L87" s="183"/>
      <c r="M87" s="183"/>
      <c r="N87" s="208"/>
      <c r="O87" s="182"/>
      <c r="P87" s="221"/>
      <c r="Q87" s="183"/>
      <c r="R87" s="183"/>
      <c r="S87" s="208"/>
    </row>
    <row r="88" spans="1:19" hidden="1" x14ac:dyDescent="0.2">
      <c r="A88" s="5"/>
      <c r="B88" s="5"/>
      <c r="C88" s="5"/>
      <c r="D88" s="5"/>
      <c r="E88" s="31" t="s">
        <v>809</v>
      </c>
      <c r="F88" s="31"/>
      <c r="G88" s="31"/>
      <c r="H88" s="31"/>
      <c r="I88" s="31"/>
      <c r="J88" s="31"/>
      <c r="K88" s="221"/>
      <c r="L88" s="211"/>
      <c r="M88" s="184"/>
      <c r="N88" s="208"/>
      <c r="O88" s="182"/>
      <c r="P88" s="221"/>
      <c r="Q88" s="211"/>
      <c r="R88" s="184"/>
      <c r="S88" s="208"/>
    </row>
    <row r="89" spans="1:19" hidden="1" x14ac:dyDescent="0.2">
      <c r="A89" s="5"/>
      <c r="B89" s="5"/>
      <c r="C89" s="5"/>
      <c r="D89" s="5"/>
      <c r="E89" s="31" t="s">
        <v>810</v>
      </c>
      <c r="F89" s="31"/>
      <c r="G89" s="31"/>
      <c r="H89" s="31"/>
      <c r="I89" s="31"/>
      <c r="J89" s="31"/>
      <c r="K89" s="221"/>
      <c r="L89" s="211"/>
      <c r="M89" s="211"/>
      <c r="N89" s="208"/>
      <c r="O89" s="182"/>
      <c r="P89" s="221"/>
      <c r="Q89" s="211"/>
      <c r="R89" s="211"/>
      <c r="S89" s="208"/>
    </row>
    <row r="90" spans="1:19" hidden="1" x14ac:dyDescent="0.2">
      <c r="A90" s="5"/>
      <c r="B90" s="5"/>
      <c r="C90" s="5"/>
      <c r="D90" s="5"/>
      <c r="E90" s="31" t="s">
        <v>811</v>
      </c>
      <c r="F90" s="31"/>
      <c r="G90" s="31"/>
      <c r="H90" s="31"/>
      <c r="I90" s="31"/>
      <c r="J90" s="31"/>
      <c r="K90" s="221"/>
      <c r="L90" s="211"/>
      <c r="M90" s="183"/>
      <c r="N90" s="208"/>
      <c r="O90" s="182"/>
      <c r="P90" s="221"/>
      <c r="Q90" s="211"/>
      <c r="R90" s="183"/>
      <c r="S90" s="208"/>
    </row>
    <row r="91" spans="1:19" hidden="1" x14ac:dyDescent="0.2">
      <c r="A91" s="5"/>
      <c r="B91" s="5"/>
      <c r="C91" s="5"/>
      <c r="D91" s="5"/>
      <c r="E91" s="31" t="s">
        <v>812</v>
      </c>
      <c r="F91" s="31"/>
      <c r="G91" s="31"/>
      <c r="H91" s="31"/>
      <c r="I91" s="31"/>
      <c r="J91" s="31"/>
      <c r="K91" s="221"/>
      <c r="L91" s="211"/>
      <c r="M91" s="183"/>
      <c r="N91" s="208"/>
      <c r="O91" s="182"/>
      <c r="P91" s="221"/>
      <c r="Q91" s="211"/>
      <c r="R91" s="183"/>
      <c r="S91" s="208"/>
    </row>
    <row r="92" spans="1:19" hidden="1" x14ac:dyDescent="0.2">
      <c r="A92" s="5"/>
      <c r="B92" s="5"/>
      <c r="C92" s="5"/>
      <c r="D92" s="5"/>
      <c r="E92" s="31" t="s">
        <v>813</v>
      </c>
      <c r="F92" s="31"/>
      <c r="G92" s="31"/>
      <c r="H92" s="31"/>
      <c r="I92" s="31"/>
      <c r="J92" s="31"/>
      <c r="K92" s="221"/>
      <c r="L92" s="211"/>
      <c r="M92" s="183"/>
      <c r="N92" s="208"/>
      <c r="O92" s="182"/>
      <c r="P92" s="221"/>
      <c r="Q92" s="211"/>
      <c r="R92" s="183"/>
      <c r="S92" s="208"/>
    </row>
    <row r="93" spans="1:19" ht="38.25" hidden="1" x14ac:dyDescent="0.2">
      <c r="A93" s="5"/>
      <c r="B93" s="5"/>
      <c r="C93" s="5"/>
      <c r="D93" s="5"/>
      <c r="E93" s="31" t="s">
        <v>814</v>
      </c>
      <c r="F93" s="31"/>
      <c r="G93" s="31"/>
      <c r="H93" s="31"/>
      <c r="I93" s="31"/>
      <c r="J93" s="31"/>
      <c r="K93" s="221"/>
      <c r="L93" s="211"/>
      <c r="M93" s="183"/>
      <c r="N93" s="208"/>
      <c r="O93" s="182"/>
      <c r="P93" s="221"/>
      <c r="Q93" s="211"/>
      <c r="R93" s="183"/>
      <c r="S93" s="208"/>
    </row>
    <row r="94" spans="1:19" ht="25.5" hidden="1" x14ac:dyDescent="0.2">
      <c r="A94" s="5"/>
      <c r="B94" s="5"/>
      <c r="C94" s="5"/>
      <c r="D94" s="5"/>
      <c r="E94" s="31" t="s">
        <v>815</v>
      </c>
      <c r="F94" s="31"/>
      <c r="G94" s="31"/>
      <c r="H94" s="31"/>
      <c r="I94" s="31"/>
      <c r="J94" s="31"/>
      <c r="K94" s="221"/>
      <c r="L94" s="211"/>
      <c r="M94" s="183"/>
      <c r="N94" s="208"/>
      <c r="O94" s="182"/>
      <c r="P94" s="221"/>
      <c r="Q94" s="211"/>
      <c r="R94" s="183"/>
      <c r="S94" s="208"/>
    </row>
    <row r="95" spans="1:19" hidden="1" x14ac:dyDescent="0.2">
      <c r="A95" s="5"/>
      <c r="B95" s="5"/>
      <c r="C95" s="5"/>
      <c r="D95" s="5"/>
      <c r="E95" s="31" t="s">
        <v>816</v>
      </c>
      <c r="F95" s="31"/>
      <c r="G95" s="31"/>
      <c r="H95" s="31"/>
      <c r="I95" s="31"/>
      <c r="J95" s="31"/>
      <c r="K95" s="221"/>
      <c r="L95" s="211"/>
      <c r="M95" s="183"/>
      <c r="N95" s="208"/>
      <c r="O95" s="182"/>
      <c r="P95" s="221"/>
      <c r="Q95" s="211"/>
      <c r="R95" s="183"/>
      <c r="S95" s="208"/>
    </row>
    <row r="96" spans="1:19" hidden="1" x14ac:dyDescent="0.2">
      <c r="A96" s="12"/>
      <c r="B96" s="12"/>
      <c r="C96" s="12"/>
      <c r="D96" s="12"/>
      <c r="E96" s="30" t="s">
        <v>817</v>
      </c>
      <c r="F96" s="30"/>
      <c r="G96" s="30"/>
      <c r="H96" s="30"/>
      <c r="I96" s="30"/>
      <c r="J96" s="30"/>
      <c r="K96" s="197"/>
      <c r="L96" s="197"/>
      <c r="M96" s="197"/>
      <c r="N96" s="197"/>
      <c r="O96" s="182"/>
      <c r="P96" s="197"/>
      <c r="Q96" s="197"/>
      <c r="R96" s="197"/>
      <c r="S96" s="197"/>
    </row>
    <row r="97" spans="1:19" hidden="1" x14ac:dyDescent="0.2">
      <c r="A97" s="5"/>
      <c r="B97" s="5"/>
      <c r="C97" s="5"/>
      <c r="D97" s="5"/>
      <c r="E97" s="5"/>
      <c r="F97" s="5"/>
      <c r="G97" s="5"/>
      <c r="H97" s="5"/>
      <c r="I97" s="5"/>
      <c r="J97" s="5"/>
      <c r="K97" s="182"/>
      <c r="L97" s="182"/>
      <c r="M97" s="182"/>
      <c r="N97" s="182"/>
      <c r="O97" s="182"/>
      <c r="P97" s="182"/>
      <c r="Q97" s="182"/>
      <c r="R97" s="182"/>
      <c r="S97" s="182"/>
    </row>
    <row r="98" spans="1:19" hidden="1" x14ac:dyDescent="0.2">
      <c r="A98" s="5"/>
      <c r="B98" s="5"/>
      <c r="C98" s="5"/>
      <c r="D98" s="5"/>
      <c r="E98" s="5"/>
      <c r="F98" s="5"/>
      <c r="G98" s="5"/>
      <c r="H98" s="5"/>
      <c r="I98" s="5"/>
      <c r="J98" s="5"/>
      <c r="K98" s="182"/>
      <c r="L98" s="182"/>
      <c r="M98" s="182"/>
      <c r="N98" s="182"/>
      <c r="O98" s="182"/>
      <c r="P98" s="182"/>
      <c r="Q98" s="182"/>
      <c r="R98" s="182"/>
      <c r="S98" s="182"/>
    </row>
    <row r="99" spans="1:19" hidden="1" x14ac:dyDescent="0.2">
      <c r="A99" s="5"/>
      <c r="B99" s="5"/>
      <c r="C99" s="5"/>
      <c r="D99" s="5"/>
      <c r="E99" s="5"/>
      <c r="F99" s="5"/>
      <c r="G99" s="5"/>
      <c r="H99" s="5"/>
      <c r="I99" s="5"/>
      <c r="J99" s="5"/>
      <c r="K99" s="182"/>
      <c r="L99" s="182"/>
      <c r="M99" s="182"/>
      <c r="N99" s="182"/>
      <c r="O99" s="182"/>
      <c r="P99" s="182"/>
      <c r="Q99" s="182"/>
      <c r="R99" s="182"/>
      <c r="S99" s="182"/>
    </row>
    <row r="100" spans="1:19" hidden="1" x14ac:dyDescent="0.2">
      <c r="A100" s="5"/>
      <c r="B100" s="5"/>
      <c r="C100" s="5"/>
      <c r="D100" s="5"/>
      <c r="E100" s="5"/>
      <c r="F100" s="5"/>
      <c r="G100" s="5"/>
      <c r="H100" s="5"/>
      <c r="I100" s="5"/>
      <c r="J100" s="5"/>
      <c r="K100" s="182"/>
      <c r="L100" s="182"/>
      <c r="M100" s="182"/>
      <c r="N100" s="182"/>
      <c r="O100" s="182"/>
      <c r="P100" s="182"/>
      <c r="Q100" s="182"/>
      <c r="R100" s="182"/>
      <c r="S100" s="182"/>
    </row>
    <row r="101" spans="1:19" hidden="1" x14ac:dyDescent="0.2">
      <c r="A101" s="5"/>
      <c r="B101" s="5"/>
      <c r="C101" s="5"/>
      <c r="D101" s="5"/>
      <c r="E101" s="5"/>
      <c r="F101" s="5"/>
      <c r="G101" s="5"/>
      <c r="H101" s="5"/>
      <c r="I101" s="5"/>
      <c r="J101" s="5"/>
      <c r="K101" s="182"/>
      <c r="L101" s="182"/>
      <c r="M101" s="182"/>
      <c r="N101" s="182"/>
      <c r="O101" s="182"/>
      <c r="P101" s="182"/>
      <c r="Q101" s="182"/>
      <c r="R101" s="182"/>
      <c r="S101" s="182"/>
    </row>
    <row r="102" spans="1:19" hidden="1" x14ac:dyDescent="0.2">
      <c r="K102" s="182"/>
      <c r="L102" s="182"/>
      <c r="M102" s="182"/>
      <c r="N102" s="182"/>
      <c r="O102" s="182"/>
      <c r="P102" s="182"/>
      <c r="Q102" s="182"/>
      <c r="R102" s="182"/>
      <c r="S102" s="182"/>
    </row>
    <row r="103" spans="1:19" hidden="1" x14ac:dyDescent="0.2">
      <c r="B103" s="3" t="s">
        <v>818</v>
      </c>
      <c r="K103" s="192"/>
      <c r="L103" s="182"/>
      <c r="M103" s="182"/>
      <c r="N103" s="182"/>
      <c r="O103" s="182"/>
      <c r="P103" s="192"/>
      <c r="Q103" s="182"/>
      <c r="R103" s="182"/>
      <c r="S103" s="182"/>
    </row>
    <row r="104" spans="1:19" ht="12.75" hidden="1" customHeight="1" x14ac:dyDescent="0.2">
      <c r="K104" s="182"/>
      <c r="L104" s="182"/>
      <c r="M104" s="182"/>
      <c r="N104" s="182"/>
      <c r="O104" s="182"/>
      <c r="P104" s="182"/>
      <c r="Q104" s="182"/>
      <c r="R104" s="182"/>
      <c r="S104" s="182"/>
    </row>
    <row r="105" spans="1:19" hidden="1" x14ac:dyDescent="0.2">
      <c r="E105" s="3" t="s">
        <v>900</v>
      </c>
      <c r="K105" s="182">
        <f>K47-A!K25</f>
        <v>0</v>
      </c>
      <c r="L105" s="182">
        <f>L47-A!L25</f>
        <v>0</v>
      </c>
      <c r="M105" s="182">
        <f>M47-A!M25</f>
        <v>0</v>
      </c>
      <c r="N105" s="182">
        <f>N47-A!N25</f>
        <v>0</v>
      </c>
      <c r="O105" s="182"/>
      <c r="P105" s="182">
        <f>P47-A!P25</f>
        <v>0</v>
      </c>
      <c r="Q105" s="182">
        <f>A!Q25-D!Q47</f>
        <v>0</v>
      </c>
      <c r="R105" s="182">
        <f>R47-A!R25</f>
        <v>0</v>
      </c>
      <c r="S105" s="182">
        <f>S47-A!S25</f>
        <v>0</v>
      </c>
    </row>
    <row r="106" spans="1:19" ht="27" customHeight="1" x14ac:dyDescent="0.2">
      <c r="G106" s="539">
        <f>A!G25</f>
        <v>778461814.31999969</v>
      </c>
      <c r="H106" s="539">
        <f>A!H25</f>
        <v>81255687.969999984</v>
      </c>
      <c r="I106" s="539">
        <f>A!I25</f>
        <v>495363755.80000013</v>
      </c>
    </row>
    <row r="107" spans="1:19" x14ac:dyDescent="0.2">
      <c r="G107" s="539"/>
      <c r="H107" s="539"/>
      <c r="I107" s="539"/>
    </row>
    <row r="109" spans="1:19" x14ac:dyDescent="0.2">
      <c r="G109" s="540">
        <f>G47-G106</f>
        <v>2.0000934600830078E-3</v>
      </c>
      <c r="H109" s="540">
        <f t="shared" ref="H109:I109" si="50">H47-H106</f>
        <v>0</v>
      </c>
      <c r="I109" s="540">
        <f t="shared" si="50"/>
        <v>0</v>
      </c>
    </row>
  </sheetData>
  <sheetProtection algorithmName="SHA-512" hashValue="MqI8/fNF1JUcQ25Ri33fPTkdGp+K6lyjClSRA45C9FILY6Xn3wSWW6hWJ4yTr9l67Wq165B5JSqA5+BcrGwPUg==" saltValue="KUgGOk1TfE5xO1fyIdpsGg==" spinCount="100000" sheet="1" objects="1" scenarios="1" selectLockedCells="1" selectUnlockedCells="1"/>
  <mergeCells count="16">
    <mergeCell ref="A1:S1"/>
    <mergeCell ref="A2:S2"/>
    <mergeCell ref="A3:S3"/>
    <mergeCell ref="A4:S4"/>
    <mergeCell ref="A5:S5"/>
    <mergeCell ref="A72:E73"/>
    <mergeCell ref="K72:N72"/>
    <mergeCell ref="P72:S72"/>
    <mergeCell ref="A7:E8"/>
    <mergeCell ref="K7:N7"/>
    <mergeCell ref="P7:S7"/>
    <mergeCell ref="A44:E44"/>
    <mergeCell ref="A55:E56"/>
    <mergeCell ref="K55:N55"/>
    <mergeCell ref="P55:S55"/>
    <mergeCell ref="F7:I7"/>
  </mergeCells>
  <pageMargins left="0.98425196850393704" right="0.98425196850393704" top="1.49606299212598" bottom="0.98425196850393704" header="0.98425196850393704" footer="0.511811023622047"/>
  <pageSetup scale="60" firstPageNumber="220" fitToHeight="0" orientation="landscape" useFirstPageNumber="1" horizontalDpi="360" verticalDpi="360" r:id="rId1"/>
  <headerFooter>
    <oddHeader>&amp;R&amp;"Times New Roman,Regular"&amp;12Annex D
AAR Page 7</oddHead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L160"/>
  <sheetViews>
    <sheetView zoomScaleNormal="100" zoomScaleSheetLayoutView="100" workbookViewId="0">
      <selection sqref="A1:AJ1"/>
    </sheetView>
  </sheetViews>
  <sheetFormatPr defaultColWidth="8.85546875" defaultRowHeight="12.75" x14ac:dyDescent="0.2"/>
  <cols>
    <col min="1" max="4" width="2.7109375" style="232" customWidth="1"/>
    <col min="5" max="5" width="45.28515625" style="232" customWidth="1"/>
    <col min="6" max="6" width="6.7109375" style="232" bestFit="1" customWidth="1"/>
    <col min="7" max="7" width="1.85546875" style="519" customWidth="1"/>
    <col min="8" max="8" width="16.85546875" style="232" customWidth="1"/>
    <col min="9" max="9" width="1.7109375" style="232" customWidth="1"/>
    <col min="10" max="10" width="16.7109375" style="232" customWidth="1"/>
    <col min="11" max="11" width="1.140625" style="232" customWidth="1"/>
    <col min="12" max="12" width="16.5703125" style="232" customWidth="1"/>
    <col min="13" max="13" width="1.7109375" style="232" customWidth="1"/>
    <col min="14" max="14" width="16.7109375" style="232" bestFit="1" customWidth="1"/>
    <col min="15" max="15" width="1.5703125" style="232" customWidth="1"/>
    <col min="16" max="16" width="16.7109375" style="232" bestFit="1" customWidth="1"/>
    <col min="17" max="17" width="1.85546875" style="232" customWidth="1"/>
    <col min="18" max="18" width="18" style="232" bestFit="1" customWidth="1"/>
    <col min="19" max="19" width="1.85546875" style="519" customWidth="1"/>
    <col min="20" max="20" width="18" style="232" bestFit="1" customWidth="1"/>
    <col min="21" max="21" width="1.5703125" style="519" customWidth="1"/>
    <col min="22" max="22" width="16.85546875" style="232" bestFit="1" customWidth="1"/>
    <col min="23" max="23" width="2" style="519" customWidth="1"/>
    <col min="24" max="24" width="16.7109375" style="232" bestFit="1" customWidth="1"/>
    <col min="25" max="25" width="1.42578125" style="232" customWidth="1"/>
    <col min="26" max="26" width="16.140625" style="232" bestFit="1" customWidth="1"/>
    <col min="27" max="27" width="1.28515625" style="232" hidden="1" customWidth="1"/>
    <col min="28" max="28" width="18" style="232" hidden="1" customWidth="1"/>
    <col min="29" max="29" width="1.28515625" style="232" hidden="1" customWidth="1"/>
    <col min="30" max="30" width="18" style="232" hidden="1" customWidth="1"/>
    <col min="31" max="31" width="1.28515625" style="232" hidden="1" customWidth="1"/>
    <col min="32" max="32" width="16.85546875" style="232" hidden="1" customWidth="1"/>
    <col min="33" max="33" width="1.28515625" style="232" hidden="1" customWidth="1"/>
    <col min="34" max="34" width="18" style="232" hidden="1" customWidth="1"/>
    <col min="35" max="35" width="1.28515625" style="232" hidden="1" customWidth="1"/>
    <col min="36" max="36" width="16.140625" style="232" hidden="1" customWidth="1"/>
    <col min="37" max="266" width="8.85546875" style="232"/>
    <col min="267" max="270" width="2.7109375" style="232" customWidth="1"/>
    <col min="271" max="271" width="49.28515625" style="232" customWidth="1"/>
    <col min="272" max="272" width="10.42578125" style="232" customWidth="1"/>
    <col min="273" max="273" width="1.85546875" style="232" customWidth="1"/>
    <col min="274" max="274" width="17.28515625" style="232" customWidth="1"/>
    <col min="275" max="275" width="1.85546875" style="232" customWidth="1"/>
    <col min="276" max="276" width="19" style="232" customWidth="1"/>
    <col min="277" max="277" width="1.5703125" style="232" customWidth="1"/>
    <col min="278" max="278" width="17.42578125" style="232" customWidth="1"/>
    <col min="279" max="279" width="2" style="232" customWidth="1"/>
    <col min="280" max="280" width="18.140625" style="232" customWidth="1"/>
    <col min="281" max="281" width="1.42578125" style="232" customWidth="1"/>
    <col min="282" max="282" width="17.5703125" style="232" customWidth="1"/>
    <col min="283" max="283" width="1.28515625" style="232" customWidth="1"/>
    <col min="284" max="284" width="18.140625" style="232" customWidth="1"/>
    <col min="285" max="285" width="1.28515625" style="232" customWidth="1"/>
    <col min="286" max="286" width="18.140625" style="232" customWidth="1"/>
    <col min="287" max="287" width="1.28515625" style="232" customWidth="1"/>
    <col min="288" max="288" width="17.140625" style="232" customWidth="1"/>
    <col min="289" max="289" width="1.28515625" style="232" customWidth="1"/>
    <col min="290" max="290" width="17.42578125" style="232" customWidth="1"/>
    <col min="291" max="291" width="1.28515625" style="232" customWidth="1"/>
    <col min="292" max="292" width="17.28515625" style="232" customWidth="1"/>
    <col min="293" max="522" width="8.85546875" style="232"/>
    <col min="523" max="526" width="2.7109375" style="232" customWidth="1"/>
    <col min="527" max="527" width="49.28515625" style="232" customWidth="1"/>
    <col min="528" max="528" width="10.42578125" style="232" customWidth="1"/>
    <col min="529" max="529" width="1.85546875" style="232" customWidth="1"/>
    <col min="530" max="530" width="17.28515625" style="232" customWidth="1"/>
    <col min="531" max="531" width="1.85546875" style="232" customWidth="1"/>
    <col min="532" max="532" width="19" style="232" customWidth="1"/>
    <col min="533" max="533" width="1.5703125" style="232" customWidth="1"/>
    <col min="534" max="534" width="17.42578125" style="232" customWidth="1"/>
    <col min="535" max="535" width="2" style="232" customWidth="1"/>
    <col min="536" max="536" width="18.140625" style="232" customWidth="1"/>
    <col min="537" max="537" width="1.42578125" style="232" customWidth="1"/>
    <col min="538" max="538" width="17.5703125" style="232" customWidth="1"/>
    <col min="539" max="539" width="1.28515625" style="232" customWidth="1"/>
    <col min="540" max="540" width="18.140625" style="232" customWidth="1"/>
    <col min="541" max="541" width="1.28515625" style="232" customWidth="1"/>
    <col min="542" max="542" width="18.140625" style="232" customWidth="1"/>
    <col min="543" max="543" width="1.28515625" style="232" customWidth="1"/>
    <col min="544" max="544" width="17.140625" style="232" customWidth="1"/>
    <col min="545" max="545" width="1.28515625" style="232" customWidth="1"/>
    <col min="546" max="546" width="17.42578125" style="232" customWidth="1"/>
    <col min="547" max="547" width="1.28515625" style="232" customWidth="1"/>
    <col min="548" max="548" width="17.28515625" style="232" customWidth="1"/>
    <col min="549" max="778" width="8.85546875" style="232"/>
    <col min="779" max="782" width="2.7109375" style="232" customWidth="1"/>
    <col min="783" max="783" width="49.28515625" style="232" customWidth="1"/>
    <col min="784" max="784" width="10.42578125" style="232" customWidth="1"/>
    <col min="785" max="785" width="1.85546875" style="232" customWidth="1"/>
    <col min="786" max="786" width="17.28515625" style="232" customWidth="1"/>
    <col min="787" max="787" width="1.85546875" style="232" customWidth="1"/>
    <col min="788" max="788" width="19" style="232" customWidth="1"/>
    <col min="789" max="789" width="1.5703125" style="232" customWidth="1"/>
    <col min="790" max="790" width="17.42578125" style="232" customWidth="1"/>
    <col min="791" max="791" width="2" style="232" customWidth="1"/>
    <col min="792" max="792" width="18.140625" style="232" customWidth="1"/>
    <col min="793" max="793" width="1.42578125" style="232" customWidth="1"/>
    <col min="794" max="794" width="17.5703125" style="232" customWidth="1"/>
    <col min="795" max="795" width="1.28515625" style="232" customWidth="1"/>
    <col min="796" max="796" width="18.140625" style="232" customWidth="1"/>
    <col min="797" max="797" width="1.28515625" style="232" customWidth="1"/>
    <col min="798" max="798" width="18.140625" style="232" customWidth="1"/>
    <col min="799" max="799" width="1.28515625" style="232" customWidth="1"/>
    <col min="800" max="800" width="17.140625" style="232" customWidth="1"/>
    <col min="801" max="801" width="1.28515625" style="232" customWidth="1"/>
    <col min="802" max="802" width="17.42578125" style="232" customWidth="1"/>
    <col min="803" max="803" width="1.28515625" style="232" customWidth="1"/>
    <col min="804" max="804" width="17.28515625" style="232" customWidth="1"/>
    <col min="805" max="1034" width="8.85546875" style="232"/>
    <col min="1035" max="1038" width="2.7109375" style="232" customWidth="1"/>
    <col min="1039" max="1039" width="49.28515625" style="232" customWidth="1"/>
    <col min="1040" max="1040" width="10.42578125" style="232" customWidth="1"/>
    <col min="1041" max="1041" width="1.85546875" style="232" customWidth="1"/>
    <col min="1042" max="1042" width="17.28515625" style="232" customWidth="1"/>
    <col min="1043" max="1043" width="1.85546875" style="232" customWidth="1"/>
    <col min="1044" max="1044" width="19" style="232" customWidth="1"/>
    <col min="1045" max="1045" width="1.5703125" style="232" customWidth="1"/>
    <col min="1046" max="1046" width="17.42578125" style="232" customWidth="1"/>
    <col min="1047" max="1047" width="2" style="232" customWidth="1"/>
    <col min="1048" max="1048" width="18.140625" style="232" customWidth="1"/>
    <col min="1049" max="1049" width="1.42578125" style="232" customWidth="1"/>
    <col min="1050" max="1050" width="17.5703125" style="232" customWidth="1"/>
    <col min="1051" max="1051" width="1.28515625" style="232" customWidth="1"/>
    <col min="1052" max="1052" width="18.140625" style="232" customWidth="1"/>
    <col min="1053" max="1053" width="1.28515625" style="232" customWidth="1"/>
    <col min="1054" max="1054" width="18.140625" style="232" customWidth="1"/>
    <col min="1055" max="1055" width="1.28515625" style="232" customWidth="1"/>
    <col min="1056" max="1056" width="17.140625" style="232" customWidth="1"/>
    <col min="1057" max="1057" width="1.28515625" style="232" customWidth="1"/>
    <col min="1058" max="1058" width="17.42578125" style="232" customWidth="1"/>
    <col min="1059" max="1059" width="1.28515625" style="232" customWidth="1"/>
    <col min="1060" max="1060" width="17.28515625" style="232" customWidth="1"/>
    <col min="1061" max="1290" width="8.85546875" style="232"/>
    <col min="1291" max="1294" width="2.7109375" style="232" customWidth="1"/>
    <col min="1295" max="1295" width="49.28515625" style="232" customWidth="1"/>
    <col min="1296" max="1296" width="10.42578125" style="232" customWidth="1"/>
    <col min="1297" max="1297" width="1.85546875" style="232" customWidth="1"/>
    <col min="1298" max="1298" width="17.28515625" style="232" customWidth="1"/>
    <col min="1299" max="1299" width="1.85546875" style="232" customWidth="1"/>
    <col min="1300" max="1300" width="19" style="232" customWidth="1"/>
    <col min="1301" max="1301" width="1.5703125" style="232" customWidth="1"/>
    <col min="1302" max="1302" width="17.42578125" style="232" customWidth="1"/>
    <col min="1303" max="1303" width="2" style="232" customWidth="1"/>
    <col min="1304" max="1304" width="18.140625" style="232" customWidth="1"/>
    <col min="1305" max="1305" width="1.42578125" style="232" customWidth="1"/>
    <col min="1306" max="1306" width="17.5703125" style="232" customWidth="1"/>
    <col min="1307" max="1307" width="1.28515625" style="232" customWidth="1"/>
    <col min="1308" max="1308" width="18.140625" style="232" customWidth="1"/>
    <col min="1309" max="1309" width="1.28515625" style="232" customWidth="1"/>
    <col min="1310" max="1310" width="18.140625" style="232" customWidth="1"/>
    <col min="1311" max="1311" width="1.28515625" style="232" customWidth="1"/>
    <col min="1312" max="1312" width="17.140625" style="232" customWidth="1"/>
    <col min="1313" max="1313" width="1.28515625" style="232" customWidth="1"/>
    <col min="1314" max="1314" width="17.42578125" style="232" customWidth="1"/>
    <col min="1315" max="1315" width="1.28515625" style="232" customWidth="1"/>
    <col min="1316" max="1316" width="17.28515625" style="232" customWidth="1"/>
    <col min="1317" max="1546" width="8.85546875" style="232"/>
    <col min="1547" max="1550" width="2.7109375" style="232" customWidth="1"/>
    <col min="1551" max="1551" width="49.28515625" style="232" customWidth="1"/>
    <col min="1552" max="1552" width="10.42578125" style="232" customWidth="1"/>
    <col min="1553" max="1553" width="1.85546875" style="232" customWidth="1"/>
    <col min="1554" max="1554" width="17.28515625" style="232" customWidth="1"/>
    <col min="1555" max="1555" width="1.85546875" style="232" customWidth="1"/>
    <col min="1556" max="1556" width="19" style="232" customWidth="1"/>
    <col min="1557" max="1557" width="1.5703125" style="232" customWidth="1"/>
    <col min="1558" max="1558" width="17.42578125" style="232" customWidth="1"/>
    <col min="1559" max="1559" width="2" style="232" customWidth="1"/>
    <col min="1560" max="1560" width="18.140625" style="232" customWidth="1"/>
    <col min="1561" max="1561" width="1.42578125" style="232" customWidth="1"/>
    <col min="1562" max="1562" width="17.5703125" style="232" customWidth="1"/>
    <col min="1563" max="1563" width="1.28515625" style="232" customWidth="1"/>
    <col min="1564" max="1564" width="18.140625" style="232" customWidth="1"/>
    <col min="1565" max="1565" width="1.28515625" style="232" customWidth="1"/>
    <col min="1566" max="1566" width="18.140625" style="232" customWidth="1"/>
    <col min="1567" max="1567" width="1.28515625" style="232" customWidth="1"/>
    <col min="1568" max="1568" width="17.140625" style="232" customWidth="1"/>
    <col min="1569" max="1569" width="1.28515625" style="232" customWidth="1"/>
    <col min="1570" max="1570" width="17.42578125" style="232" customWidth="1"/>
    <col min="1571" max="1571" width="1.28515625" style="232" customWidth="1"/>
    <col min="1572" max="1572" width="17.28515625" style="232" customWidth="1"/>
    <col min="1573" max="1802" width="8.85546875" style="232"/>
    <col min="1803" max="1806" width="2.7109375" style="232" customWidth="1"/>
    <col min="1807" max="1807" width="49.28515625" style="232" customWidth="1"/>
    <col min="1808" max="1808" width="10.42578125" style="232" customWidth="1"/>
    <col min="1809" max="1809" width="1.85546875" style="232" customWidth="1"/>
    <col min="1810" max="1810" width="17.28515625" style="232" customWidth="1"/>
    <col min="1811" max="1811" width="1.85546875" style="232" customWidth="1"/>
    <col min="1812" max="1812" width="19" style="232" customWidth="1"/>
    <col min="1813" max="1813" width="1.5703125" style="232" customWidth="1"/>
    <col min="1814" max="1814" width="17.42578125" style="232" customWidth="1"/>
    <col min="1815" max="1815" width="2" style="232" customWidth="1"/>
    <col min="1816" max="1816" width="18.140625" style="232" customWidth="1"/>
    <col min="1817" max="1817" width="1.42578125" style="232" customWidth="1"/>
    <col min="1818" max="1818" width="17.5703125" style="232" customWidth="1"/>
    <col min="1819" max="1819" width="1.28515625" style="232" customWidth="1"/>
    <col min="1820" max="1820" width="18.140625" style="232" customWidth="1"/>
    <col min="1821" max="1821" width="1.28515625" style="232" customWidth="1"/>
    <col min="1822" max="1822" width="18.140625" style="232" customWidth="1"/>
    <col min="1823" max="1823" width="1.28515625" style="232" customWidth="1"/>
    <col min="1824" max="1824" width="17.140625" style="232" customWidth="1"/>
    <col min="1825" max="1825" width="1.28515625" style="232" customWidth="1"/>
    <col min="1826" max="1826" width="17.42578125" style="232" customWidth="1"/>
    <col min="1827" max="1827" width="1.28515625" style="232" customWidth="1"/>
    <col min="1828" max="1828" width="17.28515625" style="232" customWidth="1"/>
    <col min="1829" max="2058" width="8.85546875" style="232"/>
    <col min="2059" max="2062" width="2.7109375" style="232" customWidth="1"/>
    <col min="2063" max="2063" width="49.28515625" style="232" customWidth="1"/>
    <col min="2064" max="2064" width="10.42578125" style="232" customWidth="1"/>
    <col min="2065" max="2065" width="1.85546875" style="232" customWidth="1"/>
    <col min="2066" max="2066" width="17.28515625" style="232" customWidth="1"/>
    <col min="2067" max="2067" width="1.85546875" style="232" customWidth="1"/>
    <col min="2068" max="2068" width="19" style="232" customWidth="1"/>
    <col min="2069" max="2069" width="1.5703125" style="232" customWidth="1"/>
    <col min="2070" max="2070" width="17.42578125" style="232" customWidth="1"/>
    <col min="2071" max="2071" width="2" style="232" customWidth="1"/>
    <col min="2072" max="2072" width="18.140625" style="232" customWidth="1"/>
    <col min="2073" max="2073" width="1.42578125" style="232" customWidth="1"/>
    <col min="2074" max="2074" width="17.5703125" style="232" customWidth="1"/>
    <col min="2075" max="2075" width="1.28515625" style="232" customWidth="1"/>
    <col min="2076" max="2076" width="18.140625" style="232" customWidth="1"/>
    <col min="2077" max="2077" width="1.28515625" style="232" customWidth="1"/>
    <col min="2078" max="2078" width="18.140625" style="232" customWidth="1"/>
    <col min="2079" max="2079" width="1.28515625" style="232" customWidth="1"/>
    <col min="2080" max="2080" width="17.140625" style="232" customWidth="1"/>
    <col min="2081" max="2081" width="1.28515625" style="232" customWidth="1"/>
    <col min="2082" max="2082" width="17.42578125" style="232" customWidth="1"/>
    <col min="2083" max="2083" width="1.28515625" style="232" customWidth="1"/>
    <col min="2084" max="2084" width="17.28515625" style="232" customWidth="1"/>
    <col min="2085" max="2314" width="8.85546875" style="232"/>
    <col min="2315" max="2318" width="2.7109375" style="232" customWidth="1"/>
    <col min="2319" max="2319" width="49.28515625" style="232" customWidth="1"/>
    <col min="2320" max="2320" width="10.42578125" style="232" customWidth="1"/>
    <col min="2321" max="2321" width="1.85546875" style="232" customWidth="1"/>
    <col min="2322" max="2322" width="17.28515625" style="232" customWidth="1"/>
    <col min="2323" max="2323" width="1.85546875" style="232" customWidth="1"/>
    <col min="2324" max="2324" width="19" style="232" customWidth="1"/>
    <col min="2325" max="2325" width="1.5703125" style="232" customWidth="1"/>
    <col min="2326" max="2326" width="17.42578125" style="232" customWidth="1"/>
    <col min="2327" max="2327" width="2" style="232" customWidth="1"/>
    <col min="2328" max="2328" width="18.140625" style="232" customWidth="1"/>
    <col min="2329" max="2329" width="1.42578125" style="232" customWidth="1"/>
    <col min="2330" max="2330" width="17.5703125" style="232" customWidth="1"/>
    <col min="2331" max="2331" width="1.28515625" style="232" customWidth="1"/>
    <col min="2332" max="2332" width="18.140625" style="232" customWidth="1"/>
    <col min="2333" max="2333" width="1.28515625" style="232" customWidth="1"/>
    <col min="2334" max="2334" width="18.140625" style="232" customWidth="1"/>
    <col min="2335" max="2335" width="1.28515625" style="232" customWidth="1"/>
    <col min="2336" max="2336" width="17.140625" style="232" customWidth="1"/>
    <col min="2337" max="2337" width="1.28515625" style="232" customWidth="1"/>
    <col min="2338" max="2338" width="17.42578125" style="232" customWidth="1"/>
    <col min="2339" max="2339" width="1.28515625" style="232" customWidth="1"/>
    <col min="2340" max="2340" width="17.28515625" style="232" customWidth="1"/>
    <col min="2341" max="2570" width="8.85546875" style="232"/>
    <col min="2571" max="2574" width="2.7109375" style="232" customWidth="1"/>
    <col min="2575" max="2575" width="49.28515625" style="232" customWidth="1"/>
    <col min="2576" max="2576" width="10.42578125" style="232" customWidth="1"/>
    <col min="2577" max="2577" width="1.85546875" style="232" customWidth="1"/>
    <col min="2578" max="2578" width="17.28515625" style="232" customWidth="1"/>
    <col min="2579" max="2579" width="1.85546875" style="232" customWidth="1"/>
    <col min="2580" max="2580" width="19" style="232" customWidth="1"/>
    <col min="2581" max="2581" width="1.5703125" style="232" customWidth="1"/>
    <col min="2582" max="2582" width="17.42578125" style="232" customWidth="1"/>
    <col min="2583" max="2583" width="2" style="232" customWidth="1"/>
    <col min="2584" max="2584" width="18.140625" style="232" customWidth="1"/>
    <col min="2585" max="2585" width="1.42578125" style="232" customWidth="1"/>
    <col min="2586" max="2586" width="17.5703125" style="232" customWidth="1"/>
    <col min="2587" max="2587" width="1.28515625" style="232" customWidth="1"/>
    <col min="2588" max="2588" width="18.140625" style="232" customWidth="1"/>
    <col min="2589" max="2589" width="1.28515625" style="232" customWidth="1"/>
    <col min="2590" max="2590" width="18.140625" style="232" customWidth="1"/>
    <col min="2591" max="2591" width="1.28515625" style="232" customWidth="1"/>
    <col min="2592" max="2592" width="17.140625" style="232" customWidth="1"/>
    <col min="2593" max="2593" width="1.28515625" style="232" customWidth="1"/>
    <col min="2594" max="2594" width="17.42578125" style="232" customWidth="1"/>
    <col min="2595" max="2595" width="1.28515625" style="232" customWidth="1"/>
    <col min="2596" max="2596" width="17.28515625" style="232" customWidth="1"/>
    <col min="2597" max="2826" width="8.85546875" style="232"/>
    <col min="2827" max="2830" width="2.7109375" style="232" customWidth="1"/>
    <col min="2831" max="2831" width="49.28515625" style="232" customWidth="1"/>
    <col min="2832" max="2832" width="10.42578125" style="232" customWidth="1"/>
    <col min="2833" max="2833" width="1.85546875" style="232" customWidth="1"/>
    <col min="2834" max="2834" width="17.28515625" style="232" customWidth="1"/>
    <col min="2835" max="2835" width="1.85546875" style="232" customWidth="1"/>
    <col min="2836" max="2836" width="19" style="232" customWidth="1"/>
    <col min="2837" max="2837" width="1.5703125" style="232" customWidth="1"/>
    <col min="2838" max="2838" width="17.42578125" style="232" customWidth="1"/>
    <col min="2839" max="2839" width="2" style="232" customWidth="1"/>
    <col min="2840" max="2840" width="18.140625" style="232" customWidth="1"/>
    <col min="2841" max="2841" width="1.42578125" style="232" customWidth="1"/>
    <col min="2842" max="2842" width="17.5703125" style="232" customWidth="1"/>
    <col min="2843" max="2843" width="1.28515625" style="232" customWidth="1"/>
    <col min="2844" max="2844" width="18.140625" style="232" customWidth="1"/>
    <col min="2845" max="2845" width="1.28515625" style="232" customWidth="1"/>
    <col min="2846" max="2846" width="18.140625" style="232" customWidth="1"/>
    <col min="2847" max="2847" width="1.28515625" style="232" customWidth="1"/>
    <col min="2848" max="2848" width="17.140625" style="232" customWidth="1"/>
    <col min="2849" max="2849" width="1.28515625" style="232" customWidth="1"/>
    <col min="2850" max="2850" width="17.42578125" style="232" customWidth="1"/>
    <col min="2851" max="2851" width="1.28515625" style="232" customWidth="1"/>
    <col min="2852" max="2852" width="17.28515625" style="232" customWidth="1"/>
    <col min="2853" max="3082" width="8.85546875" style="232"/>
    <col min="3083" max="3086" width="2.7109375" style="232" customWidth="1"/>
    <col min="3087" max="3087" width="49.28515625" style="232" customWidth="1"/>
    <col min="3088" max="3088" width="10.42578125" style="232" customWidth="1"/>
    <col min="3089" max="3089" width="1.85546875" style="232" customWidth="1"/>
    <col min="3090" max="3090" width="17.28515625" style="232" customWidth="1"/>
    <col min="3091" max="3091" width="1.85546875" style="232" customWidth="1"/>
    <col min="3092" max="3092" width="19" style="232" customWidth="1"/>
    <col min="3093" max="3093" width="1.5703125" style="232" customWidth="1"/>
    <col min="3094" max="3094" width="17.42578125" style="232" customWidth="1"/>
    <col min="3095" max="3095" width="2" style="232" customWidth="1"/>
    <col min="3096" max="3096" width="18.140625" style="232" customWidth="1"/>
    <col min="3097" max="3097" width="1.42578125" style="232" customWidth="1"/>
    <col min="3098" max="3098" width="17.5703125" style="232" customWidth="1"/>
    <col min="3099" max="3099" width="1.28515625" style="232" customWidth="1"/>
    <col min="3100" max="3100" width="18.140625" style="232" customWidth="1"/>
    <col min="3101" max="3101" width="1.28515625" style="232" customWidth="1"/>
    <col min="3102" max="3102" width="18.140625" style="232" customWidth="1"/>
    <col min="3103" max="3103" width="1.28515625" style="232" customWidth="1"/>
    <col min="3104" max="3104" width="17.140625" style="232" customWidth="1"/>
    <col min="3105" max="3105" width="1.28515625" style="232" customWidth="1"/>
    <col min="3106" max="3106" width="17.42578125" style="232" customWidth="1"/>
    <col min="3107" max="3107" width="1.28515625" style="232" customWidth="1"/>
    <col min="3108" max="3108" width="17.28515625" style="232" customWidth="1"/>
    <col min="3109" max="3338" width="8.85546875" style="232"/>
    <col min="3339" max="3342" width="2.7109375" style="232" customWidth="1"/>
    <col min="3343" max="3343" width="49.28515625" style="232" customWidth="1"/>
    <col min="3344" max="3344" width="10.42578125" style="232" customWidth="1"/>
    <col min="3345" max="3345" width="1.85546875" style="232" customWidth="1"/>
    <col min="3346" max="3346" width="17.28515625" style="232" customWidth="1"/>
    <col min="3347" max="3347" width="1.85546875" style="232" customWidth="1"/>
    <col min="3348" max="3348" width="19" style="232" customWidth="1"/>
    <col min="3349" max="3349" width="1.5703125" style="232" customWidth="1"/>
    <col min="3350" max="3350" width="17.42578125" style="232" customWidth="1"/>
    <col min="3351" max="3351" width="2" style="232" customWidth="1"/>
    <col min="3352" max="3352" width="18.140625" style="232" customWidth="1"/>
    <col min="3353" max="3353" width="1.42578125" style="232" customWidth="1"/>
    <col min="3354" max="3354" width="17.5703125" style="232" customWidth="1"/>
    <col min="3355" max="3355" width="1.28515625" style="232" customWidth="1"/>
    <col min="3356" max="3356" width="18.140625" style="232" customWidth="1"/>
    <col min="3357" max="3357" width="1.28515625" style="232" customWidth="1"/>
    <col min="3358" max="3358" width="18.140625" style="232" customWidth="1"/>
    <col min="3359" max="3359" width="1.28515625" style="232" customWidth="1"/>
    <col min="3360" max="3360" width="17.140625" style="232" customWidth="1"/>
    <col min="3361" max="3361" width="1.28515625" style="232" customWidth="1"/>
    <col min="3362" max="3362" width="17.42578125" style="232" customWidth="1"/>
    <col min="3363" max="3363" width="1.28515625" style="232" customWidth="1"/>
    <col min="3364" max="3364" width="17.28515625" style="232" customWidth="1"/>
    <col min="3365" max="3594" width="8.85546875" style="232"/>
    <col min="3595" max="3598" width="2.7109375" style="232" customWidth="1"/>
    <col min="3599" max="3599" width="49.28515625" style="232" customWidth="1"/>
    <col min="3600" max="3600" width="10.42578125" style="232" customWidth="1"/>
    <col min="3601" max="3601" width="1.85546875" style="232" customWidth="1"/>
    <col min="3602" max="3602" width="17.28515625" style="232" customWidth="1"/>
    <col min="3603" max="3603" width="1.85546875" style="232" customWidth="1"/>
    <col min="3604" max="3604" width="19" style="232" customWidth="1"/>
    <col min="3605" max="3605" width="1.5703125" style="232" customWidth="1"/>
    <col min="3606" max="3606" width="17.42578125" style="232" customWidth="1"/>
    <col min="3607" max="3607" width="2" style="232" customWidth="1"/>
    <col min="3608" max="3608" width="18.140625" style="232" customWidth="1"/>
    <col min="3609" max="3609" width="1.42578125" style="232" customWidth="1"/>
    <col min="3610" max="3610" width="17.5703125" style="232" customWidth="1"/>
    <col min="3611" max="3611" width="1.28515625" style="232" customWidth="1"/>
    <col min="3612" max="3612" width="18.140625" style="232" customWidth="1"/>
    <col min="3613" max="3613" width="1.28515625" style="232" customWidth="1"/>
    <col min="3614" max="3614" width="18.140625" style="232" customWidth="1"/>
    <col min="3615" max="3615" width="1.28515625" style="232" customWidth="1"/>
    <col min="3616" max="3616" width="17.140625" style="232" customWidth="1"/>
    <col min="3617" max="3617" width="1.28515625" style="232" customWidth="1"/>
    <col min="3618" max="3618" width="17.42578125" style="232" customWidth="1"/>
    <col min="3619" max="3619" width="1.28515625" style="232" customWidth="1"/>
    <col min="3620" max="3620" width="17.28515625" style="232" customWidth="1"/>
    <col min="3621" max="3850" width="8.85546875" style="232"/>
    <col min="3851" max="3854" width="2.7109375" style="232" customWidth="1"/>
    <col min="3855" max="3855" width="49.28515625" style="232" customWidth="1"/>
    <col min="3856" max="3856" width="10.42578125" style="232" customWidth="1"/>
    <col min="3857" max="3857" width="1.85546875" style="232" customWidth="1"/>
    <col min="3858" max="3858" width="17.28515625" style="232" customWidth="1"/>
    <col min="3859" max="3859" width="1.85546875" style="232" customWidth="1"/>
    <col min="3860" max="3860" width="19" style="232" customWidth="1"/>
    <col min="3861" max="3861" width="1.5703125" style="232" customWidth="1"/>
    <col min="3862" max="3862" width="17.42578125" style="232" customWidth="1"/>
    <col min="3863" max="3863" width="2" style="232" customWidth="1"/>
    <col min="3864" max="3864" width="18.140625" style="232" customWidth="1"/>
    <col min="3865" max="3865" width="1.42578125" style="232" customWidth="1"/>
    <col min="3866" max="3866" width="17.5703125" style="232" customWidth="1"/>
    <col min="3867" max="3867" width="1.28515625" style="232" customWidth="1"/>
    <col min="3868" max="3868" width="18.140625" style="232" customWidth="1"/>
    <col min="3869" max="3869" width="1.28515625" style="232" customWidth="1"/>
    <col min="3870" max="3870" width="18.140625" style="232" customWidth="1"/>
    <col min="3871" max="3871" width="1.28515625" style="232" customWidth="1"/>
    <col min="3872" max="3872" width="17.140625" style="232" customWidth="1"/>
    <col min="3873" max="3873" width="1.28515625" style="232" customWidth="1"/>
    <col min="3874" max="3874" width="17.42578125" style="232" customWidth="1"/>
    <col min="3875" max="3875" width="1.28515625" style="232" customWidth="1"/>
    <col min="3876" max="3876" width="17.28515625" style="232" customWidth="1"/>
    <col min="3877" max="4106" width="8.85546875" style="232"/>
    <col min="4107" max="4110" width="2.7109375" style="232" customWidth="1"/>
    <col min="4111" max="4111" width="49.28515625" style="232" customWidth="1"/>
    <col min="4112" max="4112" width="10.42578125" style="232" customWidth="1"/>
    <col min="4113" max="4113" width="1.85546875" style="232" customWidth="1"/>
    <col min="4114" max="4114" width="17.28515625" style="232" customWidth="1"/>
    <col min="4115" max="4115" width="1.85546875" style="232" customWidth="1"/>
    <col min="4116" max="4116" width="19" style="232" customWidth="1"/>
    <col min="4117" max="4117" width="1.5703125" style="232" customWidth="1"/>
    <col min="4118" max="4118" width="17.42578125" style="232" customWidth="1"/>
    <col min="4119" max="4119" width="2" style="232" customWidth="1"/>
    <col min="4120" max="4120" width="18.140625" style="232" customWidth="1"/>
    <col min="4121" max="4121" width="1.42578125" style="232" customWidth="1"/>
    <col min="4122" max="4122" width="17.5703125" style="232" customWidth="1"/>
    <col min="4123" max="4123" width="1.28515625" style="232" customWidth="1"/>
    <col min="4124" max="4124" width="18.140625" style="232" customWidth="1"/>
    <col min="4125" max="4125" width="1.28515625" style="232" customWidth="1"/>
    <col min="4126" max="4126" width="18.140625" style="232" customWidth="1"/>
    <col min="4127" max="4127" width="1.28515625" style="232" customWidth="1"/>
    <col min="4128" max="4128" width="17.140625" style="232" customWidth="1"/>
    <col min="4129" max="4129" width="1.28515625" style="232" customWidth="1"/>
    <col min="4130" max="4130" width="17.42578125" style="232" customWidth="1"/>
    <col min="4131" max="4131" width="1.28515625" style="232" customWidth="1"/>
    <col min="4132" max="4132" width="17.28515625" style="232" customWidth="1"/>
    <col min="4133" max="4362" width="8.85546875" style="232"/>
    <col min="4363" max="4366" width="2.7109375" style="232" customWidth="1"/>
    <col min="4367" max="4367" width="49.28515625" style="232" customWidth="1"/>
    <col min="4368" max="4368" width="10.42578125" style="232" customWidth="1"/>
    <col min="4369" max="4369" width="1.85546875" style="232" customWidth="1"/>
    <col min="4370" max="4370" width="17.28515625" style="232" customWidth="1"/>
    <col min="4371" max="4371" width="1.85546875" style="232" customWidth="1"/>
    <col min="4372" max="4372" width="19" style="232" customWidth="1"/>
    <col min="4373" max="4373" width="1.5703125" style="232" customWidth="1"/>
    <col min="4374" max="4374" width="17.42578125" style="232" customWidth="1"/>
    <col min="4375" max="4375" width="2" style="232" customWidth="1"/>
    <col min="4376" max="4376" width="18.140625" style="232" customWidth="1"/>
    <col min="4377" max="4377" width="1.42578125" style="232" customWidth="1"/>
    <col min="4378" max="4378" width="17.5703125" style="232" customWidth="1"/>
    <col min="4379" max="4379" width="1.28515625" style="232" customWidth="1"/>
    <col min="4380" max="4380" width="18.140625" style="232" customWidth="1"/>
    <col min="4381" max="4381" width="1.28515625" style="232" customWidth="1"/>
    <col min="4382" max="4382" width="18.140625" style="232" customWidth="1"/>
    <col min="4383" max="4383" width="1.28515625" style="232" customWidth="1"/>
    <col min="4384" max="4384" width="17.140625" style="232" customWidth="1"/>
    <col min="4385" max="4385" width="1.28515625" style="232" customWidth="1"/>
    <col min="4386" max="4386" width="17.42578125" style="232" customWidth="1"/>
    <col min="4387" max="4387" width="1.28515625" style="232" customWidth="1"/>
    <col min="4388" max="4388" width="17.28515625" style="232" customWidth="1"/>
    <col min="4389" max="4618" width="8.85546875" style="232"/>
    <col min="4619" max="4622" width="2.7109375" style="232" customWidth="1"/>
    <col min="4623" max="4623" width="49.28515625" style="232" customWidth="1"/>
    <col min="4624" max="4624" width="10.42578125" style="232" customWidth="1"/>
    <col min="4625" max="4625" width="1.85546875" style="232" customWidth="1"/>
    <col min="4626" max="4626" width="17.28515625" style="232" customWidth="1"/>
    <col min="4627" max="4627" width="1.85546875" style="232" customWidth="1"/>
    <col min="4628" max="4628" width="19" style="232" customWidth="1"/>
    <col min="4629" max="4629" width="1.5703125" style="232" customWidth="1"/>
    <col min="4630" max="4630" width="17.42578125" style="232" customWidth="1"/>
    <col min="4631" max="4631" width="2" style="232" customWidth="1"/>
    <col min="4632" max="4632" width="18.140625" style="232" customWidth="1"/>
    <col min="4633" max="4633" width="1.42578125" style="232" customWidth="1"/>
    <col min="4634" max="4634" width="17.5703125" style="232" customWidth="1"/>
    <col min="4635" max="4635" width="1.28515625" style="232" customWidth="1"/>
    <col min="4636" max="4636" width="18.140625" style="232" customWidth="1"/>
    <col min="4637" max="4637" width="1.28515625" style="232" customWidth="1"/>
    <col min="4638" max="4638" width="18.140625" style="232" customWidth="1"/>
    <col min="4639" max="4639" width="1.28515625" style="232" customWidth="1"/>
    <col min="4640" max="4640" width="17.140625" style="232" customWidth="1"/>
    <col min="4641" max="4641" width="1.28515625" style="232" customWidth="1"/>
    <col min="4642" max="4642" width="17.42578125" style="232" customWidth="1"/>
    <col min="4643" max="4643" width="1.28515625" style="232" customWidth="1"/>
    <col min="4644" max="4644" width="17.28515625" style="232" customWidth="1"/>
    <col min="4645" max="4874" width="8.85546875" style="232"/>
    <col min="4875" max="4878" width="2.7109375" style="232" customWidth="1"/>
    <col min="4879" max="4879" width="49.28515625" style="232" customWidth="1"/>
    <col min="4880" max="4880" width="10.42578125" style="232" customWidth="1"/>
    <col min="4881" max="4881" width="1.85546875" style="232" customWidth="1"/>
    <col min="4882" max="4882" width="17.28515625" style="232" customWidth="1"/>
    <col min="4883" max="4883" width="1.85546875" style="232" customWidth="1"/>
    <col min="4884" max="4884" width="19" style="232" customWidth="1"/>
    <col min="4885" max="4885" width="1.5703125" style="232" customWidth="1"/>
    <col min="4886" max="4886" width="17.42578125" style="232" customWidth="1"/>
    <col min="4887" max="4887" width="2" style="232" customWidth="1"/>
    <col min="4888" max="4888" width="18.140625" style="232" customWidth="1"/>
    <col min="4889" max="4889" width="1.42578125" style="232" customWidth="1"/>
    <col min="4890" max="4890" width="17.5703125" style="232" customWidth="1"/>
    <col min="4891" max="4891" width="1.28515625" style="232" customWidth="1"/>
    <col min="4892" max="4892" width="18.140625" style="232" customWidth="1"/>
    <col min="4893" max="4893" width="1.28515625" style="232" customWidth="1"/>
    <col min="4894" max="4894" width="18.140625" style="232" customWidth="1"/>
    <col min="4895" max="4895" width="1.28515625" style="232" customWidth="1"/>
    <col min="4896" max="4896" width="17.140625" style="232" customWidth="1"/>
    <col min="4897" max="4897" width="1.28515625" style="232" customWidth="1"/>
    <col min="4898" max="4898" width="17.42578125" style="232" customWidth="1"/>
    <col min="4899" max="4899" width="1.28515625" style="232" customWidth="1"/>
    <col min="4900" max="4900" width="17.28515625" style="232" customWidth="1"/>
    <col min="4901" max="5130" width="8.85546875" style="232"/>
    <col min="5131" max="5134" width="2.7109375" style="232" customWidth="1"/>
    <col min="5135" max="5135" width="49.28515625" style="232" customWidth="1"/>
    <col min="5136" max="5136" width="10.42578125" style="232" customWidth="1"/>
    <col min="5137" max="5137" width="1.85546875" style="232" customWidth="1"/>
    <col min="5138" max="5138" width="17.28515625" style="232" customWidth="1"/>
    <col min="5139" max="5139" width="1.85546875" style="232" customWidth="1"/>
    <col min="5140" max="5140" width="19" style="232" customWidth="1"/>
    <col min="5141" max="5141" width="1.5703125" style="232" customWidth="1"/>
    <col min="5142" max="5142" width="17.42578125" style="232" customWidth="1"/>
    <col min="5143" max="5143" width="2" style="232" customWidth="1"/>
    <col min="5144" max="5144" width="18.140625" style="232" customWidth="1"/>
    <col min="5145" max="5145" width="1.42578125" style="232" customWidth="1"/>
    <col min="5146" max="5146" width="17.5703125" style="232" customWidth="1"/>
    <col min="5147" max="5147" width="1.28515625" style="232" customWidth="1"/>
    <col min="5148" max="5148" width="18.140625" style="232" customWidth="1"/>
    <col min="5149" max="5149" width="1.28515625" style="232" customWidth="1"/>
    <col min="5150" max="5150" width="18.140625" style="232" customWidth="1"/>
    <col min="5151" max="5151" width="1.28515625" style="232" customWidth="1"/>
    <col min="5152" max="5152" width="17.140625" style="232" customWidth="1"/>
    <col min="5153" max="5153" width="1.28515625" style="232" customWidth="1"/>
    <col min="5154" max="5154" width="17.42578125" style="232" customWidth="1"/>
    <col min="5155" max="5155" width="1.28515625" style="232" customWidth="1"/>
    <col min="5156" max="5156" width="17.28515625" style="232" customWidth="1"/>
    <col min="5157" max="5386" width="8.85546875" style="232"/>
    <col min="5387" max="5390" width="2.7109375" style="232" customWidth="1"/>
    <col min="5391" max="5391" width="49.28515625" style="232" customWidth="1"/>
    <col min="5392" max="5392" width="10.42578125" style="232" customWidth="1"/>
    <col min="5393" max="5393" width="1.85546875" style="232" customWidth="1"/>
    <col min="5394" max="5394" width="17.28515625" style="232" customWidth="1"/>
    <col min="5395" max="5395" width="1.85546875" style="232" customWidth="1"/>
    <col min="5396" max="5396" width="19" style="232" customWidth="1"/>
    <col min="5397" max="5397" width="1.5703125" style="232" customWidth="1"/>
    <col min="5398" max="5398" width="17.42578125" style="232" customWidth="1"/>
    <col min="5399" max="5399" width="2" style="232" customWidth="1"/>
    <col min="5400" max="5400" width="18.140625" style="232" customWidth="1"/>
    <col min="5401" max="5401" width="1.42578125" style="232" customWidth="1"/>
    <col min="5402" max="5402" width="17.5703125" style="232" customWidth="1"/>
    <col min="5403" max="5403" width="1.28515625" style="232" customWidth="1"/>
    <col min="5404" max="5404" width="18.140625" style="232" customWidth="1"/>
    <col min="5405" max="5405" width="1.28515625" style="232" customWidth="1"/>
    <col min="5406" max="5406" width="18.140625" style="232" customWidth="1"/>
    <col min="5407" max="5407" width="1.28515625" style="232" customWidth="1"/>
    <col min="5408" max="5408" width="17.140625" style="232" customWidth="1"/>
    <col min="5409" max="5409" width="1.28515625" style="232" customWidth="1"/>
    <col min="5410" max="5410" width="17.42578125" style="232" customWidth="1"/>
    <col min="5411" max="5411" width="1.28515625" style="232" customWidth="1"/>
    <col min="5412" max="5412" width="17.28515625" style="232" customWidth="1"/>
    <col min="5413" max="5642" width="8.85546875" style="232"/>
    <col min="5643" max="5646" width="2.7109375" style="232" customWidth="1"/>
    <col min="5647" max="5647" width="49.28515625" style="232" customWidth="1"/>
    <col min="5648" max="5648" width="10.42578125" style="232" customWidth="1"/>
    <col min="5649" max="5649" width="1.85546875" style="232" customWidth="1"/>
    <col min="5650" max="5650" width="17.28515625" style="232" customWidth="1"/>
    <col min="5651" max="5651" width="1.85546875" style="232" customWidth="1"/>
    <col min="5652" max="5652" width="19" style="232" customWidth="1"/>
    <col min="5653" max="5653" width="1.5703125" style="232" customWidth="1"/>
    <col min="5654" max="5654" width="17.42578125" style="232" customWidth="1"/>
    <col min="5655" max="5655" width="2" style="232" customWidth="1"/>
    <col min="5656" max="5656" width="18.140625" style="232" customWidth="1"/>
    <col min="5657" max="5657" width="1.42578125" style="232" customWidth="1"/>
    <col min="5658" max="5658" width="17.5703125" style="232" customWidth="1"/>
    <col min="5659" max="5659" width="1.28515625" style="232" customWidth="1"/>
    <col min="5660" max="5660" width="18.140625" style="232" customWidth="1"/>
    <col min="5661" max="5661" width="1.28515625" style="232" customWidth="1"/>
    <col min="5662" max="5662" width="18.140625" style="232" customWidth="1"/>
    <col min="5663" max="5663" width="1.28515625" style="232" customWidth="1"/>
    <col min="5664" max="5664" width="17.140625" style="232" customWidth="1"/>
    <col min="5665" max="5665" width="1.28515625" style="232" customWidth="1"/>
    <col min="5666" max="5666" width="17.42578125" style="232" customWidth="1"/>
    <col min="5667" max="5667" width="1.28515625" style="232" customWidth="1"/>
    <col min="5668" max="5668" width="17.28515625" style="232" customWidth="1"/>
    <col min="5669" max="5898" width="8.85546875" style="232"/>
    <col min="5899" max="5902" width="2.7109375" style="232" customWidth="1"/>
    <col min="5903" max="5903" width="49.28515625" style="232" customWidth="1"/>
    <col min="5904" max="5904" width="10.42578125" style="232" customWidth="1"/>
    <col min="5905" max="5905" width="1.85546875" style="232" customWidth="1"/>
    <col min="5906" max="5906" width="17.28515625" style="232" customWidth="1"/>
    <col min="5907" max="5907" width="1.85546875" style="232" customWidth="1"/>
    <col min="5908" max="5908" width="19" style="232" customWidth="1"/>
    <col min="5909" max="5909" width="1.5703125" style="232" customWidth="1"/>
    <col min="5910" max="5910" width="17.42578125" style="232" customWidth="1"/>
    <col min="5911" max="5911" width="2" style="232" customWidth="1"/>
    <col min="5912" max="5912" width="18.140625" style="232" customWidth="1"/>
    <col min="5913" max="5913" width="1.42578125" style="232" customWidth="1"/>
    <col min="5914" max="5914" width="17.5703125" style="232" customWidth="1"/>
    <col min="5915" max="5915" width="1.28515625" style="232" customWidth="1"/>
    <col min="5916" max="5916" width="18.140625" style="232" customWidth="1"/>
    <col min="5917" max="5917" width="1.28515625" style="232" customWidth="1"/>
    <col min="5918" max="5918" width="18.140625" style="232" customWidth="1"/>
    <col min="5919" max="5919" width="1.28515625" style="232" customWidth="1"/>
    <col min="5920" max="5920" width="17.140625" style="232" customWidth="1"/>
    <col min="5921" max="5921" width="1.28515625" style="232" customWidth="1"/>
    <col min="5922" max="5922" width="17.42578125" style="232" customWidth="1"/>
    <col min="5923" max="5923" width="1.28515625" style="232" customWidth="1"/>
    <col min="5924" max="5924" width="17.28515625" style="232" customWidth="1"/>
    <col min="5925" max="6154" width="8.85546875" style="232"/>
    <col min="6155" max="6158" width="2.7109375" style="232" customWidth="1"/>
    <col min="6159" max="6159" width="49.28515625" style="232" customWidth="1"/>
    <col min="6160" max="6160" width="10.42578125" style="232" customWidth="1"/>
    <col min="6161" max="6161" width="1.85546875" style="232" customWidth="1"/>
    <col min="6162" max="6162" width="17.28515625" style="232" customWidth="1"/>
    <col min="6163" max="6163" width="1.85546875" style="232" customWidth="1"/>
    <col min="6164" max="6164" width="19" style="232" customWidth="1"/>
    <col min="6165" max="6165" width="1.5703125" style="232" customWidth="1"/>
    <col min="6166" max="6166" width="17.42578125" style="232" customWidth="1"/>
    <col min="6167" max="6167" width="2" style="232" customWidth="1"/>
    <col min="6168" max="6168" width="18.140625" style="232" customWidth="1"/>
    <col min="6169" max="6169" width="1.42578125" style="232" customWidth="1"/>
    <col min="6170" max="6170" width="17.5703125" style="232" customWidth="1"/>
    <col min="6171" max="6171" width="1.28515625" style="232" customWidth="1"/>
    <col min="6172" max="6172" width="18.140625" style="232" customWidth="1"/>
    <col min="6173" max="6173" width="1.28515625" style="232" customWidth="1"/>
    <col min="6174" max="6174" width="18.140625" style="232" customWidth="1"/>
    <col min="6175" max="6175" width="1.28515625" style="232" customWidth="1"/>
    <col min="6176" max="6176" width="17.140625" style="232" customWidth="1"/>
    <col min="6177" max="6177" width="1.28515625" style="232" customWidth="1"/>
    <col min="6178" max="6178" width="17.42578125" style="232" customWidth="1"/>
    <col min="6179" max="6179" width="1.28515625" style="232" customWidth="1"/>
    <col min="6180" max="6180" width="17.28515625" style="232" customWidth="1"/>
    <col min="6181" max="6410" width="8.85546875" style="232"/>
    <col min="6411" max="6414" width="2.7109375" style="232" customWidth="1"/>
    <col min="6415" max="6415" width="49.28515625" style="232" customWidth="1"/>
    <col min="6416" max="6416" width="10.42578125" style="232" customWidth="1"/>
    <col min="6417" max="6417" width="1.85546875" style="232" customWidth="1"/>
    <col min="6418" max="6418" width="17.28515625" style="232" customWidth="1"/>
    <col min="6419" max="6419" width="1.85546875" style="232" customWidth="1"/>
    <col min="6420" max="6420" width="19" style="232" customWidth="1"/>
    <col min="6421" max="6421" width="1.5703125" style="232" customWidth="1"/>
    <col min="6422" max="6422" width="17.42578125" style="232" customWidth="1"/>
    <col min="6423" max="6423" width="2" style="232" customWidth="1"/>
    <col min="6424" max="6424" width="18.140625" style="232" customWidth="1"/>
    <col min="6425" max="6425" width="1.42578125" style="232" customWidth="1"/>
    <col min="6426" max="6426" width="17.5703125" style="232" customWidth="1"/>
    <col min="6427" max="6427" width="1.28515625" style="232" customWidth="1"/>
    <col min="6428" max="6428" width="18.140625" style="232" customWidth="1"/>
    <col min="6429" max="6429" width="1.28515625" style="232" customWidth="1"/>
    <col min="6430" max="6430" width="18.140625" style="232" customWidth="1"/>
    <col min="6431" max="6431" width="1.28515625" style="232" customWidth="1"/>
    <col min="6432" max="6432" width="17.140625" style="232" customWidth="1"/>
    <col min="6433" max="6433" width="1.28515625" style="232" customWidth="1"/>
    <col min="6434" max="6434" width="17.42578125" style="232" customWidth="1"/>
    <col min="6435" max="6435" width="1.28515625" style="232" customWidth="1"/>
    <col min="6436" max="6436" width="17.28515625" style="232" customWidth="1"/>
    <col min="6437" max="6666" width="8.85546875" style="232"/>
    <col min="6667" max="6670" width="2.7109375" style="232" customWidth="1"/>
    <col min="6671" max="6671" width="49.28515625" style="232" customWidth="1"/>
    <col min="6672" max="6672" width="10.42578125" style="232" customWidth="1"/>
    <col min="6673" max="6673" width="1.85546875" style="232" customWidth="1"/>
    <col min="6674" max="6674" width="17.28515625" style="232" customWidth="1"/>
    <col min="6675" max="6675" width="1.85546875" style="232" customWidth="1"/>
    <col min="6676" max="6676" width="19" style="232" customWidth="1"/>
    <col min="6677" max="6677" width="1.5703125" style="232" customWidth="1"/>
    <col min="6678" max="6678" width="17.42578125" style="232" customWidth="1"/>
    <col min="6679" max="6679" width="2" style="232" customWidth="1"/>
    <col min="6680" max="6680" width="18.140625" style="232" customWidth="1"/>
    <col min="6681" max="6681" width="1.42578125" style="232" customWidth="1"/>
    <col min="6682" max="6682" width="17.5703125" style="232" customWidth="1"/>
    <col min="6683" max="6683" width="1.28515625" style="232" customWidth="1"/>
    <col min="6684" max="6684" width="18.140625" style="232" customWidth="1"/>
    <col min="6685" max="6685" width="1.28515625" style="232" customWidth="1"/>
    <col min="6686" max="6686" width="18.140625" style="232" customWidth="1"/>
    <col min="6687" max="6687" width="1.28515625" style="232" customWidth="1"/>
    <col min="6688" max="6688" width="17.140625" style="232" customWidth="1"/>
    <col min="6689" max="6689" width="1.28515625" style="232" customWidth="1"/>
    <col min="6690" max="6690" width="17.42578125" style="232" customWidth="1"/>
    <col min="6691" max="6691" width="1.28515625" style="232" customWidth="1"/>
    <col min="6692" max="6692" width="17.28515625" style="232" customWidth="1"/>
    <col min="6693" max="6922" width="8.85546875" style="232"/>
    <col min="6923" max="6926" width="2.7109375" style="232" customWidth="1"/>
    <col min="6927" max="6927" width="49.28515625" style="232" customWidth="1"/>
    <col min="6928" max="6928" width="10.42578125" style="232" customWidth="1"/>
    <col min="6929" max="6929" width="1.85546875" style="232" customWidth="1"/>
    <col min="6930" max="6930" width="17.28515625" style="232" customWidth="1"/>
    <col min="6931" max="6931" width="1.85546875" style="232" customWidth="1"/>
    <col min="6932" max="6932" width="19" style="232" customWidth="1"/>
    <col min="6933" max="6933" width="1.5703125" style="232" customWidth="1"/>
    <col min="6934" max="6934" width="17.42578125" style="232" customWidth="1"/>
    <col min="6935" max="6935" width="2" style="232" customWidth="1"/>
    <col min="6936" max="6936" width="18.140625" style="232" customWidth="1"/>
    <col min="6937" max="6937" width="1.42578125" style="232" customWidth="1"/>
    <col min="6938" max="6938" width="17.5703125" style="232" customWidth="1"/>
    <col min="6939" max="6939" width="1.28515625" style="232" customWidth="1"/>
    <col min="6940" max="6940" width="18.140625" style="232" customWidth="1"/>
    <col min="6941" max="6941" width="1.28515625" style="232" customWidth="1"/>
    <col min="6942" max="6942" width="18.140625" style="232" customWidth="1"/>
    <col min="6943" max="6943" width="1.28515625" style="232" customWidth="1"/>
    <col min="6944" max="6944" width="17.140625" style="232" customWidth="1"/>
    <col min="6945" max="6945" width="1.28515625" style="232" customWidth="1"/>
    <col min="6946" max="6946" width="17.42578125" style="232" customWidth="1"/>
    <col min="6947" max="6947" width="1.28515625" style="232" customWidth="1"/>
    <col min="6948" max="6948" width="17.28515625" style="232" customWidth="1"/>
    <col min="6949" max="7178" width="8.85546875" style="232"/>
    <col min="7179" max="7182" width="2.7109375" style="232" customWidth="1"/>
    <col min="7183" max="7183" width="49.28515625" style="232" customWidth="1"/>
    <col min="7184" max="7184" width="10.42578125" style="232" customWidth="1"/>
    <col min="7185" max="7185" width="1.85546875" style="232" customWidth="1"/>
    <col min="7186" max="7186" width="17.28515625" style="232" customWidth="1"/>
    <col min="7187" max="7187" width="1.85546875" style="232" customWidth="1"/>
    <col min="7188" max="7188" width="19" style="232" customWidth="1"/>
    <col min="7189" max="7189" width="1.5703125" style="232" customWidth="1"/>
    <col min="7190" max="7190" width="17.42578125" style="232" customWidth="1"/>
    <col min="7191" max="7191" width="2" style="232" customWidth="1"/>
    <col min="7192" max="7192" width="18.140625" style="232" customWidth="1"/>
    <col min="7193" max="7193" width="1.42578125" style="232" customWidth="1"/>
    <col min="7194" max="7194" width="17.5703125" style="232" customWidth="1"/>
    <col min="7195" max="7195" width="1.28515625" style="232" customWidth="1"/>
    <col min="7196" max="7196" width="18.140625" style="232" customWidth="1"/>
    <col min="7197" max="7197" width="1.28515625" style="232" customWidth="1"/>
    <col min="7198" max="7198" width="18.140625" style="232" customWidth="1"/>
    <col min="7199" max="7199" width="1.28515625" style="232" customWidth="1"/>
    <col min="7200" max="7200" width="17.140625" style="232" customWidth="1"/>
    <col min="7201" max="7201" width="1.28515625" style="232" customWidth="1"/>
    <col min="7202" max="7202" width="17.42578125" style="232" customWidth="1"/>
    <col min="7203" max="7203" width="1.28515625" style="232" customWidth="1"/>
    <col min="7204" max="7204" width="17.28515625" style="232" customWidth="1"/>
    <col min="7205" max="7434" width="8.85546875" style="232"/>
    <col min="7435" max="7438" width="2.7109375" style="232" customWidth="1"/>
    <col min="7439" max="7439" width="49.28515625" style="232" customWidth="1"/>
    <col min="7440" max="7440" width="10.42578125" style="232" customWidth="1"/>
    <col min="7441" max="7441" width="1.85546875" style="232" customWidth="1"/>
    <col min="7442" max="7442" width="17.28515625" style="232" customWidth="1"/>
    <col min="7443" max="7443" width="1.85546875" style="232" customWidth="1"/>
    <col min="7444" max="7444" width="19" style="232" customWidth="1"/>
    <col min="7445" max="7445" width="1.5703125" style="232" customWidth="1"/>
    <col min="7446" max="7446" width="17.42578125" style="232" customWidth="1"/>
    <col min="7447" max="7447" width="2" style="232" customWidth="1"/>
    <col min="7448" max="7448" width="18.140625" style="232" customWidth="1"/>
    <col min="7449" max="7449" width="1.42578125" style="232" customWidth="1"/>
    <col min="7450" max="7450" width="17.5703125" style="232" customWidth="1"/>
    <col min="7451" max="7451" width="1.28515625" style="232" customWidth="1"/>
    <col min="7452" max="7452" width="18.140625" style="232" customWidth="1"/>
    <col min="7453" max="7453" width="1.28515625" style="232" customWidth="1"/>
    <col min="7454" max="7454" width="18.140625" style="232" customWidth="1"/>
    <col min="7455" max="7455" width="1.28515625" style="232" customWidth="1"/>
    <col min="7456" max="7456" width="17.140625" style="232" customWidth="1"/>
    <col min="7457" max="7457" width="1.28515625" style="232" customWidth="1"/>
    <col min="7458" max="7458" width="17.42578125" style="232" customWidth="1"/>
    <col min="7459" max="7459" width="1.28515625" style="232" customWidth="1"/>
    <col min="7460" max="7460" width="17.28515625" style="232" customWidth="1"/>
    <col min="7461" max="7690" width="8.85546875" style="232"/>
    <col min="7691" max="7694" width="2.7109375" style="232" customWidth="1"/>
    <col min="7695" max="7695" width="49.28515625" style="232" customWidth="1"/>
    <col min="7696" max="7696" width="10.42578125" style="232" customWidth="1"/>
    <col min="7697" max="7697" width="1.85546875" style="232" customWidth="1"/>
    <col min="7698" max="7698" width="17.28515625" style="232" customWidth="1"/>
    <col min="7699" max="7699" width="1.85546875" style="232" customWidth="1"/>
    <col min="7700" max="7700" width="19" style="232" customWidth="1"/>
    <col min="7701" max="7701" width="1.5703125" style="232" customWidth="1"/>
    <col min="7702" max="7702" width="17.42578125" style="232" customWidth="1"/>
    <col min="7703" max="7703" width="2" style="232" customWidth="1"/>
    <col min="7704" max="7704" width="18.140625" style="232" customWidth="1"/>
    <col min="7705" max="7705" width="1.42578125" style="232" customWidth="1"/>
    <col min="7706" max="7706" width="17.5703125" style="232" customWidth="1"/>
    <col min="7707" max="7707" width="1.28515625" style="232" customWidth="1"/>
    <col min="7708" max="7708" width="18.140625" style="232" customWidth="1"/>
    <col min="7709" max="7709" width="1.28515625" style="232" customWidth="1"/>
    <col min="7710" max="7710" width="18.140625" style="232" customWidth="1"/>
    <col min="7711" max="7711" width="1.28515625" style="232" customWidth="1"/>
    <col min="7712" max="7712" width="17.140625" style="232" customWidth="1"/>
    <col min="7713" max="7713" width="1.28515625" style="232" customWidth="1"/>
    <col min="7714" max="7714" width="17.42578125" style="232" customWidth="1"/>
    <col min="7715" max="7715" width="1.28515625" style="232" customWidth="1"/>
    <col min="7716" max="7716" width="17.28515625" style="232" customWidth="1"/>
    <col min="7717" max="7946" width="8.85546875" style="232"/>
    <col min="7947" max="7950" width="2.7109375" style="232" customWidth="1"/>
    <col min="7951" max="7951" width="49.28515625" style="232" customWidth="1"/>
    <col min="7952" max="7952" width="10.42578125" style="232" customWidth="1"/>
    <col min="7953" max="7953" width="1.85546875" style="232" customWidth="1"/>
    <col min="7954" max="7954" width="17.28515625" style="232" customWidth="1"/>
    <col min="7955" max="7955" width="1.85546875" style="232" customWidth="1"/>
    <col min="7956" max="7956" width="19" style="232" customWidth="1"/>
    <col min="7957" max="7957" width="1.5703125" style="232" customWidth="1"/>
    <col min="7958" max="7958" width="17.42578125" style="232" customWidth="1"/>
    <col min="7959" max="7959" width="2" style="232" customWidth="1"/>
    <col min="7960" max="7960" width="18.140625" style="232" customWidth="1"/>
    <col min="7961" max="7961" width="1.42578125" style="232" customWidth="1"/>
    <col min="7962" max="7962" width="17.5703125" style="232" customWidth="1"/>
    <col min="7963" max="7963" width="1.28515625" style="232" customWidth="1"/>
    <col min="7964" max="7964" width="18.140625" style="232" customWidth="1"/>
    <col min="7965" max="7965" width="1.28515625" style="232" customWidth="1"/>
    <col min="7966" max="7966" width="18.140625" style="232" customWidth="1"/>
    <col min="7967" max="7967" width="1.28515625" style="232" customWidth="1"/>
    <col min="7968" max="7968" width="17.140625" style="232" customWidth="1"/>
    <col min="7969" max="7969" width="1.28515625" style="232" customWidth="1"/>
    <col min="7970" max="7970" width="17.42578125" style="232" customWidth="1"/>
    <col min="7971" max="7971" width="1.28515625" style="232" customWidth="1"/>
    <col min="7972" max="7972" width="17.28515625" style="232" customWidth="1"/>
    <col min="7973" max="8202" width="8.85546875" style="232"/>
    <col min="8203" max="8206" width="2.7109375" style="232" customWidth="1"/>
    <col min="8207" max="8207" width="49.28515625" style="232" customWidth="1"/>
    <col min="8208" max="8208" width="10.42578125" style="232" customWidth="1"/>
    <col min="8209" max="8209" width="1.85546875" style="232" customWidth="1"/>
    <col min="8210" max="8210" width="17.28515625" style="232" customWidth="1"/>
    <col min="8211" max="8211" width="1.85546875" style="232" customWidth="1"/>
    <col min="8212" max="8212" width="19" style="232" customWidth="1"/>
    <col min="8213" max="8213" width="1.5703125" style="232" customWidth="1"/>
    <col min="8214" max="8214" width="17.42578125" style="232" customWidth="1"/>
    <col min="8215" max="8215" width="2" style="232" customWidth="1"/>
    <col min="8216" max="8216" width="18.140625" style="232" customWidth="1"/>
    <col min="8217" max="8217" width="1.42578125" style="232" customWidth="1"/>
    <col min="8218" max="8218" width="17.5703125" style="232" customWidth="1"/>
    <col min="8219" max="8219" width="1.28515625" style="232" customWidth="1"/>
    <col min="8220" max="8220" width="18.140625" style="232" customWidth="1"/>
    <col min="8221" max="8221" width="1.28515625" style="232" customWidth="1"/>
    <col min="8222" max="8222" width="18.140625" style="232" customWidth="1"/>
    <col min="8223" max="8223" width="1.28515625" style="232" customWidth="1"/>
    <col min="8224" max="8224" width="17.140625" style="232" customWidth="1"/>
    <col min="8225" max="8225" width="1.28515625" style="232" customWidth="1"/>
    <col min="8226" max="8226" width="17.42578125" style="232" customWidth="1"/>
    <col min="8227" max="8227" width="1.28515625" style="232" customWidth="1"/>
    <col min="8228" max="8228" width="17.28515625" style="232" customWidth="1"/>
    <col min="8229" max="8458" width="8.85546875" style="232"/>
    <col min="8459" max="8462" width="2.7109375" style="232" customWidth="1"/>
    <col min="8463" max="8463" width="49.28515625" style="232" customWidth="1"/>
    <col min="8464" max="8464" width="10.42578125" style="232" customWidth="1"/>
    <col min="8465" max="8465" width="1.85546875" style="232" customWidth="1"/>
    <col min="8466" max="8466" width="17.28515625" style="232" customWidth="1"/>
    <col min="8467" max="8467" width="1.85546875" style="232" customWidth="1"/>
    <col min="8468" max="8468" width="19" style="232" customWidth="1"/>
    <col min="8469" max="8469" width="1.5703125" style="232" customWidth="1"/>
    <col min="8470" max="8470" width="17.42578125" style="232" customWidth="1"/>
    <col min="8471" max="8471" width="2" style="232" customWidth="1"/>
    <col min="8472" max="8472" width="18.140625" style="232" customWidth="1"/>
    <col min="8473" max="8473" width="1.42578125" style="232" customWidth="1"/>
    <col min="8474" max="8474" width="17.5703125" style="232" customWidth="1"/>
    <col min="8475" max="8475" width="1.28515625" style="232" customWidth="1"/>
    <col min="8476" max="8476" width="18.140625" style="232" customWidth="1"/>
    <col min="8477" max="8477" width="1.28515625" style="232" customWidth="1"/>
    <col min="8478" max="8478" width="18.140625" style="232" customWidth="1"/>
    <col min="8479" max="8479" width="1.28515625" style="232" customWidth="1"/>
    <col min="8480" max="8480" width="17.140625" style="232" customWidth="1"/>
    <col min="8481" max="8481" width="1.28515625" style="232" customWidth="1"/>
    <col min="8482" max="8482" width="17.42578125" style="232" customWidth="1"/>
    <col min="8483" max="8483" width="1.28515625" style="232" customWidth="1"/>
    <col min="8484" max="8484" width="17.28515625" style="232" customWidth="1"/>
    <col min="8485" max="8714" width="8.85546875" style="232"/>
    <col min="8715" max="8718" width="2.7109375" style="232" customWidth="1"/>
    <col min="8719" max="8719" width="49.28515625" style="232" customWidth="1"/>
    <col min="8720" max="8720" width="10.42578125" style="232" customWidth="1"/>
    <col min="8721" max="8721" width="1.85546875" style="232" customWidth="1"/>
    <col min="8722" max="8722" width="17.28515625" style="232" customWidth="1"/>
    <col min="8723" max="8723" width="1.85546875" style="232" customWidth="1"/>
    <col min="8724" max="8724" width="19" style="232" customWidth="1"/>
    <col min="8725" max="8725" width="1.5703125" style="232" customWidth="1"/>
    <col min="8726" max="8726" width="17.42578125" style="232" customWidth="1"/>
    <col min="8727" max="8727" width="2" style="232" customWidth="1"/>
    <col min="8728" max="8728" width="18.140625" style="232" customWidth="1"/>
    <col min="8729" max="8729" width="1.42578125" style="232" customWidth="1"/>
    <col min="8730" max="8730" width="17.5703125" style="232" customWidth="1"/>
    <col min="8731" max="8731" width="1.28515625" style="232" customWidth="1"/>
    <col min="8732" max="8732" width="18.140625" style="232" customWidth="1"/>
    <col min="8733" max="8733" width="1.28515625" style="232" customWidth="1"/>
    <col min="8734" max="8734" width="18.140625" style="232" customWidth="1"/>
    <col min="8735" max="8735" width="1.28515625" style="232" customWidth="1"/>
    <col min="8736" max="8736" width="17.140625" style="232" customWidth="1"/>
    <col min="8737" max="8737" width="1.28515625" style="232" customWidth="1"/>
    <col min="8738" max="8738" width="17.42578125" style="232" customWidth="1"/>
    <col min="8739" max="8739" width="1.28515625" style="232" customWidth="1"/>
    <col min="8740" max="8740" width="17.28515625" style="232" customWidth="1"/>
    <col min="8741" max="8970" width="8.85546875" style="232"/>
    <col min="8971" max="8974" width="2.7109375" style="232" customWidth="1"/>
    <col min="8975" max="8975" width="49.28515625" style="232" customWidth="1"/>
    <col min="8976" max="8976" width="10.42578125" style="232" customWidth="1"/>
    <col min="8977" max="8977" width="1.85546875" style="232" customWidth="1"/>
    <col min="8978" max="8978" width="17.28515625" style="232" customWidth="1"/>
    <col min="8979" max="8979" width="1.85546875" style="232" customWidth="1"/>
    <col min="8980" max="8980" width="19" style="232" customWidth="1"/>
    <col min="8981" max="8981" width="1.5703125" style="232" customWidth="1"/>
    <col min="8982" max="8982" width="17.42578125" style="232" customWidth="1"/>
    <col min="8983" max="8983" width="2" style="232" customWidth="1"/>
    <col min="8984" max="8984" width="18.140625" style="232" customWidth="1"/>
    <col min="8985" max="8985" width="1.42578125" style="232" customWidth="1"/>
    <col min="8986" max="8986" width="17.5703125" style="232" customWidth="1"/>
    <col min="8987" max="8987" width="1.28515625" style="232" customWidth="1"/>
    <col min="8988" max="8988" width="18.140625" style="232" customWidth="1"/>
    <col min="8989" max="8989" width="1.28515625" style="232" customWidth="1"/>
    <col min="8990" max="8990" width="18.140625" style="232" customWidth="1"/>
    <col min="8991" max="8991" width="1.28515625" style="232" customWidth="1"/>
    <col min="8992" max="8992" width="17.140625" style="232" customWidth="1"/>
    <col min="8993" max="8993" width="1.28515625" style="232" customWidth="1"/>
    <col min="8994" max="8994" width="17.42578125" style="232" customWidth="1"/>
    <col min="8995" max="8995" width="1.28515625" style="232" customWidth="1"/>
    <col min="8996" max="8996" width="17.28515625" style="232" customWidth="1"/>
    <col min="8997" max="9226" width="8.85546875" style="232"/>
    <col min="9227" max="9230" width="2.7109375" style="232" customWidth="1"/>
    <col min="9231" max="9231" width="49.28515625" style="232" customWidth="1"/>
    <col min="9232" max="9232" width="10.42578125" style="232" customWidth="1"/>
    <col min="9233" max="9233" width="1.85546875" style="232" customWidth="1"/>
    <col min="9234" max="9234" width="17.28515625" style="232" customWidth="1"/>
    <col min="9235" max="9235" width="1.85546875" style="232" customWidth="1"/>
    <col min="9236" max="9236" width="19" style="232" customWidth="1"/>
    <col min="9237" max="9237" width="1.5703125" style="232" customWidth="1"/>
    <col min="9238" max="9238" width="17.42578125" style="232" customWidth="1"/>
    <col min="9239" max="9239" width="2" style="232" customWidth="1"/>
    <col min="9240" max="9240" width="18.140625" style="232" customWidth="1"/>
    <col min="9241" max="9241" width="1.42578125" style="232" customWidth="1"/>
    <col min="9242" max="9242" width="17.5703125" style="232" customWidth="1"/>
    <col min="9243" max="9243" width="1.28515625" style="232" customWidth="1"/>
    <col min="9244" max="9244" width="18.140625" style="232" customWidth="1"/>
    <col min="9245" max="9245" width="1.28515625" style="232" customWidth="1"/>
    <col min="9246" max="9246" width="18.140625" style="232" customWidth="1"/>
    <col min="9247" max="9247" width="1.28515625" style="232" customWidth="1"/>
    <col min="9248" max="9248" width="17.140625" style="232" customWidth="1"/>
    <col min="9249" max="9249" width="1.28515625" style="232" customWidth="1"/>
    <col min="9250" max="9250" width="17.42578125" style="232" customWidth="1"/>
    <col min="9251" max="9251" width="1.28515625" style="232" customWidth="1"/>
    <col min="9252" max="9252" width="17.28515625" style="232" customWidth="1"/>
    <col min="9253" max="9482" width="8.85546875" style="232"/>
    <col min="9483" max="9486" width="2.7109375" style="232" customWidth="1"/>
    <col min="9487" max="9487" width="49.28515625" style="232" customWidth="1"/>
    <col min="9488" max="9488" width="10.42578125" style="232" customWidth="1"/>
    <col min="9489" max="9489" width="1.85546875" style="232" customWidth="1"/>
    <col min="9490" max="9490" width="17.28515625" style="232" customWidth="1"/>
    <col min="9491" max="9491" width="1.85546875" style="232" customWidth="1"/>
    <col min="9492" max="9492" width="19" style="232" customWidth="1"/>
    <col min="9493" max="9493" width="1.5703125" style="232" customWidth="1"/>
    <col min="9494" max="9494" width="17.42578125" style="232" customWidth="1"/>
    <col min="9495" max="9495" width="2" style="232" customWidth="1"/>
    <col min="9496" max="9496" width="18.140625" style="232" customWidth="1"/>
    <col min="9497" max="9497" width="1.42578125" style="232" customWidth="1"/>
    <col min="9498" max="9498" width="17.5703125" style="232" customWidth="1"/>
    <col min="9499" max="9499" width="1.28515625" style="232" customWidth="1"/>
    <col min="9500" max="9500" width="18.140625" style="232" customWidth="1"/>
    <col min="9501" max="9501" width="1.28515625" style="232" customWidth="1"/>
    <col min="9502" max="9502" width="18.140625" style="232" customWidth="1"/>
    <col min="9503" max="9503" width="1.28515625" style="232" customWidth="1"/>
    <col min="9504" max="9504" width="17.140625" style="232" customWidth="1"/>
    <col min="9505" max="9505" width="1.28515625" style="232" customWidth="1"/>
    <col min="9506" max="9506" width="17.42578125" style="232" customWidth="1"/>
    <col min="9507" max="9507" width="1.28515625" style="232" customWidth="1"/>
    <col min="9508" max="9508" width="17.28515625" style="232" customWidth="1"/>
    <col min="9509" max="9738" width="8.85546875" style="232"/>
    <col min="9739" max="9742" width="2.7109375" style="232" customWidth="1"/>
    <col min="9743" max="9743" width="49.28515625" style="232" customWidth="1"/>
    <col min="9744" max="9744" width="10.42578125" style="232" customWidth="1"/>
    <col min="9745" max="9745" width="1.85546875" style="232" customWidth="1"/>
    <col min="9746" max="9746" width="17.28515625" style="232" customWidth="1"/>
    <col min="9747" max="9747" width="1.85546875" style="232" customWidth="1"/>
    <col min="9748" max="9748" width="19" style="232" customWidth="1"/>
    <col min="9749" max="9749" width="1.5703125" style="232" customWidth="1"/>
    <col min="9750" max="9750" width="17.42578125" style="232" customWidth="1"/>
    <col min="9751" max="9751" width="2" style="232" customWidth="1"/>
    <col min="9752" max="9752" width="18.140625" style="232" customWidth="1"/>
    <col min="9753" max="9753" width="1.42578125" style="232" customWidth="1"/>
    <col min="9754" max="9754" width="17.5703125" style="232" customWidth="1"/>
    <col min="9755" max="9755" width="1.28515625" style="232" customWidth="1"/>
    <col min="9756" max="9756" width="18.140625" style="232" customWidth="1"/>
    <col min="9757" max="9757" width="1.28515625" style="232" customWidth="1"/>
    <col min="9758" max="9758" width="18.140625" style="232" customWidth="1"/>
    <col min="9759" max="9759" width="1.28515625" style="232" customWidth="1"/>
    <col min="9760" max="9760" width="17.140625" style="232" customWidth="1"/>
    <col min="9761" max="9761" width="1.28515625" style="232" customWidth="1"/>
    <col min="9762" max="9762" width="17.42578125" style="232" customWidth="1"/>
    <col min="9763" max="9763" width="1.28515625" style="232" customWidth="1"/>
    <col min="9764" max="9764" width="17.28515625" style="232" customWidth="1"/>
    <col min="9765" max="9994" width="8.85546875" style="232"/>
    <col min="9995" max="9998" width="2.7109375" style="232" customWidth="1"/>
    <col min="9999" max="9999" width="49.28515625" style="232" customWidth="1"/>
    <col min="10000" max="10000" width="10.42578125" style="232" customWidth="1"/>
    <col min="10001" max="10001" width="1.85546875" style="232" customWidth="1"/>
    <col min="10002" max="10002" width="17.28515625" style="232" customWidth="1"/>
    <col min="10003" max="10003" width="1.85546875" style="232" customWidth="1"/>
    <col min="10004" max="10004" width="19" style="232" customWidth="1"/>
    <col min="10005" max="10005" width="1.5703125" style="232" customWidth="1"/>
    <col min="10006" max="10006" width="17.42578125" style="232" customWidth="1"/>
    <col min="10007" max="10007" width="2" style="232" customWidth="1"/>
    <col min="10008" max="10008" width="18.140625" style="232" customWidth="1"/>
    <col min="10009" max="10009" width="1.42578125" style="232" customWidth="1"/>
    <col min="10010" max="10010" width="17.5703125" style="232" customWidth="1"/>
    <col min="10011" max="10011" width="1.28515625" style="232" customWidth="1"/>
    <col min="10012" max="10012" width="18.140625" style="232" customWidth="1"/>
    <col min="10013" max="10013" width="1.28515625" style="232" customWidth="1"/>
    <col min="10014" max="10014" width="18.140625" style="232" customWidth="1"/>
    <col min="10015" max="10015" width="1.28515625" style="232" customWidth="1"/>
    <col min="10016" max="10016" width="17.140625" style="232" customWidth="1"/>
    <col min="10017" max="10017" width="1.28515625" style="232" customWidth="1"/>
    <col min="10018" max="10018" width="17.42578125" style="232" customWidth="1"/>
    <col min="10019" max="10019" width="1.28515625" style="232" customWidth="1"/>
    <col min="10020" max="10020" width="17.28515625" style="232" customWidth="1"/>
    <col min="10021" max="10250" width="8.85546875" style="232"/>
    <col min="10251" max="10254" width="2.7109375" style="232" customWidth="1"/>
    <col min="10255" max="10255" width="49.28515625" style="232" customWidth="1"/>
    <col min="10256" max="10256" width="10.42578125" style="232" customWidth="1"/>
    <col min="10257" max="10257" width="1.85546875" style="232" customWidth="1"/>
    <col min="10258" max="10258" width="17.28515625" style="232" customWidth="1"/>
    <col min="10259" max="10259" width="1.85546875" style="232" customWidth="1"/>
    <col min="10260" max="10260" width="19" style="232" customWidth="1"/>
    <col min="10261" max="10261" width="1.5703125" style="232" customWidth="1"/>
    <col min="10262" max="10262" width="17.42578125" style="232" customWidth="1"/>
    <col min="10263" max="10263" width="2" style="232" customWidth="1"/>
    <col min="10264" max="10264" width="18.140625" style="232" customWidth="1"/>
    <col min="10265" max="10265" width="1.42578125" style="232" customWidth="1"/>
    <col min="10266" max="10266" width="17.5703125" style="232" customWidth="1"/>
    <col min="10267" max="10267" width="1.28515625" style="232" customWidth="1"/>
    <col min="10268" max="10268" width="18.140625" style="232" customWidth="1"/>
    <col min="10269" max="10269" width="1.28515625" style="232" customWidth="1"/>
    <col min="10270" max="10270" width="18.140625" style="232" customWidth="1"/>
    <col min="10271" max="10271" width="1.28515625" style="232" customWidth="1"/>
    <col min="10272" max="10272" width="17.140625" style="232" customWidth="1"/>
    <col min="10273" max="10273" width="1.28515625" style="232" customWidth="1"/>
    <col min="10274" max="10274" width="17.42578125" style="232" customWidth="1"/>
    <col min="10275" max="10275" width="1.28515625" style="232" customWidth="1"/>
    <col min="10276" max="10276" width="17.28515625" style="232" customWidth="1"/>
    <col min="10277" max="10506" width="8.85546875" style="232"/>
    <col min="10507" max="10510" width="2.7109375" style="232" customWidth="1"/>
    <col min="10511" max="10511" width="49.28515625" style="232" customWidth="1"/>
    <col min="10512" max="10512" width="10.42578125" style="232" customWidth="1"/>
    <col min="10513" max="10513" width="1.85546875" style="232" customWidth="1"/>
    <col min="10514" max="10514" width="17.28515625" style="232" customWidth="1"/>
    <col min="10515" max="10515" width="1.85546875" style="232" customWidth="1"/>
    <col min="10516" max="10516" width="19" style="232" customWidth="1"/>
    <col min="10517" max="10517" width="1.5703125" style="232" customWidth="1"/>
    <col min="10518" max="10518" width="17.42578125" style="232" customWidth="1"/>
    <col min="10519" max="10519" width="2" style="232" customWidth="1"/>
    <col min="10520" max="10520" width="18.140625" style="232" customWidth="1"/>
    <col min="10521" max="10521" width="1.42578125" style="232" customWidth="1"/>
    <col min="10522" max="10522" width="17.5703125" style="232" customWidth="1"/>
    <col min="10523" max="10523" width="1.28515625" style="232" customWidth="1"/>
    <col min="10524" max="10524" width="18.140625" style="232" customWidth="1"/>
    <col min="10525" max="10525" width="1.28515625" style="232" customWidth="1"/>
    <col min="10526" max="10526" width="18.140625" style="232" customWidth="1"/>
    <col min="10527" max="10527" width="1.28515625" style="232" customWidth="1"/>
    <col min="10528" max="10528" width="17.140625" style="232" customWidth="1"/>
    <col min="10529" max="10529" width="1.28515625" style="232" customWidth="1"/>
    <col min="10530" max="10530" width="17.42578125" style="232" customWidth="1"/>
    <col min="10531" max="10531" width="1.28515625" style="232" customWidth="1"/>
    <col min="10532" max="10532" width="17.28515625" style="232" customWidth="1"/>
    <col min="10533" max="10762" width="8.85546875" style="232"/>
    <col min="10763" max="10766" width="2.7109375" style="232" customWidth="1"/>
    <col min="10767" max="10767" width="49.28515625" style="232" customWidth="1"/>
    <col min="10768" max="10768" width="10.42578125" style="232" customWidth="1"/>
    <col min="10769" max="10769" width="1.85546875" style="232" customWidth="1"/>
    <col min="10770" max="10770" width="17.28515625" style="232" customWidth="1"/>
    <col min="10771" max="10771" width="1.85546875" style="232" customWidth="1"/>
    <col min="10772" max="10772" width="19" style="232" customWidth="1"/>
    <col min="10773" max="10773" width="1.5703125" style="232" customWidth="1"/>
    <col min="10774" max="10774" width="17.42578125" style="232" customWidth="1"/>
    <col min="10775" max="10775" width="2" style="232" customWidth="1"/>
    <col min="10776" max="10776" width="18.140625" style="232" customWidth="1"/>
    <col min="10777" max="10777" width="1.42578125" style="232" customWidth="1"/>
    <col min="10778" max="10778" width="17.5703125" style="232" customWidth="1"/>
    <col min="10779" max="10779" width="1.28515625" style="232" customWidth="1"/>
    <col min="10780" max="10780" width="18.140625" style="232" customWidth="1"/>
    <col min="10781" max="10781" width="1.28515625" style="232" customWidth="1"/>
    <col min="10782" max="10782" width="18.140625" style="232" customWidth="1"/>
    <col min="10783" max="10783" width="1.28515625" style="232" customWidth="1"/>
    <col min="10784" max="10784" width="17.140625" style="232" customWidth="1"/>
    <col min="10785" max="10785" width="1.28515625" style="232" customWidth="1"/>
    <col min="10786" max="10786" width="17.42578125" style="232" customWidth="1"/>
    <col min="10787" max="10787" width="1.28515625" style="232" customWidth="1"/>
    <col min="10788" max="10788" width="17.28515625" style="232" customWidth="1"/>
    <col min="10789" max="11018" width="8.85546875" style="232"/>
    <col min="11019" max="11022" width="2.7109375" style="232" customWidth="1"/>
    <col min="11023" max="11023" width="49.28515625" style="232" customWidth="1"/>
    <col min="11024" max="11024" width="10.42578125" style="232" customWidth="1"/>
    <col min="11025" max="11025" width="1.85546875" style="232" customWidth="1"/>
    <col min="11026" max="11026" width="17.28515625" style="232" customWidth="1"/>
    <col min="11027" max="11027" width="1.85546875" style="232" customWidth="1"/>
    <col min="11028" max="11028" width="19" style="232" customWidth="1"/>
    <col min="11029" max="11029" width="1.5703125" style="232" customWidth="1"/>
    <col min="11030" max="11030" width="17.42578125" style="232" customWidth="1"/>
    <col min="11031" max="11031" width="2" style="232" customWidth="1"/>
    <col min="11032" max="11032" width="18.140625" style="232" customWidth="1"/>
    <col min="11033" max="11033" width="1.42578125" style="232" customWidth="1"/>
    <col min="11034" max="11034" width="17.5703125" style="232" customWidth="1"/>
    <col min="11035" max="11035" width="1.28515625" style="232" customWidth="1"/>
    <col min="11036" max="11036" width="18.140625" style="232" customWidth="1"/>
    <col min="11037" max="11037" width="1.28515625" style="232" customWidth="1"/>
    <col min="11038" max="11038" width="18.140625" style="232" customWidth="1"/>
    <col min="11039" max="11039" width="1.28515625" style="232" customWidth="1"/>
    <col min="11040" max="11040" width="17.140625" style="232" customWidth="1"/>
    <col min="11041" max="11041" width="1.28515625" style="232" customWidth="1"/>
    <col min="11042" max="11042" width="17.42578125" style="232" customWidth="1"/>
    <col min="11043" max="11043" width="1.28515625" style="232" customWidth="1"/>
    <col min="11044" max="11044" width="17.28515625" style="232" customWidth="1"/>
    <col min="11045" max="11274" width="8.85546875" style="232"/>
    <col min="11275" max="11278" width="2.7109375" style="232" customWidth="1"/>
    <col min="11279" max="11279" width="49.28515625" style="232" customWidth="1"/>
    <col min="11280" max="11280" width="10.42578125" style="232" customWidth="1"/>
    <col min="11281" max="11281" width="1.85546875" style="232" customWidth="1"/>
    <col min="11282" max="11282" width="17.28515625" style="232" customWidth="1"/>
    <col min="11283" max="11283" width="1.85546875" style="232" customWidth="1"/>
    <col min="11284" max="11284" width="19" style="232" customWidth="1"/>
    <col min="11285" max="11285" width="1.5703125" style="232" customWidth="1"/>
    <col min="11286" max="11286" width="17.42578125" style="232" customWidth="1"/>
    <col min="11287" max="11287" width="2" style="232" customWidth="1"/>
    <col min="11288" max="11288" width="18.140625" style="232" customWidth="1"/>
    <col min="11289" max="11289" width="1.42578125" style="232" customWidth="1"/>
    <col min="11290" max="11290" width="17.5703125" style="232" customWidth="1"/>
    <col min="11291" max="11291" width="1.28515625" style="232" customWidth="1"/>
    <col min="11292" max="11292" width="18.140625" style="232" customWidth="1"/>
    <col min="11293" max="11293" width="1.28515625" style="232" customWidth="1"/>
    <col min="11294" max="11294" width="18.140625" style="232" customWidth="1"/>
    <col min="11295" max="11295" width="1.28515625" style="232" customWidth="1"/>
    <col min="11296" max="11296" width="17.140625" style="232" customWidth="1"/>
    <col min="11297" max="11297" width="1.28515625" style="232" customWidth="1"/>
    <col min="11298" max="11298" width="17.42578125" style="232" customWidth="1"/>
    <col min="11299" max="11299" width="1.28515625" style="232" customWidth="1"/>
    <col min="11300" max="11300" width="17.28515625" style="232" customWidth="1"/>
    <col min="11301" max="11530" width="8.85546875" style="232"/>
    <col min="11531" max="11534" width="2.7109375" style="232" customWidth="1"/>
    <col min="11535" max="11535" width="49.28515625" style="232" customWidth="1"/>
    <col min="11536" max="11536" width="10.42578125" style="232" customWidth="1"/>
    <col min="11537" max="11537" width="1.85546875" style="232" customWidth="1"/>
    <col min="11538" max="11538" width="17.28515625" style="232" customWidth="1"/>
    <col min="11539" max="11539" width="1.85546875" style="232" customWidth="1"/>
    <col min="11540" max="11540" width="19" style="232" customWidth="1"/>
    <col min="11541" max="11541" width="1.5703125" style="232" customWidth="1"/>
    <col min="11542" max="11542" width="17.42578125" style="232" customWidth="1"/>
    <col min="11543" max="11543" width="2" style="232" customWidth="1"/>
    <col min="11544" max="11544" width="18.140625" style="232" customWidth="1"/>
    <col min="11545" max="11545" width="1.42578125" style="232" customWidth="1"/>
    <col min="11546" max="11546" width="17.5703125" style="232" customWidth="1"/>
    <col min="11547" max="11547" width="1.28515625" style="232" customWidth="1"/>
    <col min="11548" max="11548" width="18.140625" style="232" customWidth="1"/>
    <col min="11549" max="11549" width="1.28515625" style="232" customWidth="1"/>
    <col min="11550" max="11550" width="18.140625" style="232" customWidth="1"/>
    <col min="11551" max="11551" width="1.28515625" style="232" customWidth="1"/>
    <col min="11552" max="11552" width="17.140625" style="232" customWidth="1"/>
    <col min="11553" max="11553" width="1.28515625" style="232" customWidth="1"/>
    <col min="11554" max="11554" width="17.42578125" style="232" customWidth="1"/>
    <col min="11555" max="11555" width="1.28515625" style="232" customWidth="1"/>
    <col min="11556" max="11556" width="17.28515625" style="232" customWidth="1"/>
    <col min="11557" max="11786" width="8.85546875" style="232"/>
    <col min="11787" max="11790" width="2.7109375" style="232" customWidth="1"/>
    <col min="11791" max="11791" width="49.28515625" style="232" customWidth="1"/>
    <col min="11792" max="11792" width="10.42578125" style="232" customWidth="1"/>
    <col min="11793" max="11793" width="1.85546875" style="232" customWidth="1"/>
    <col min="11794" max="11794" width="17.28515625" style="232" customWidth="1"/>
    <col min="11795" max="11795" width="1.85546875" style="232" customWidth="1"/>
    <col min="11796" max="11796" width="19" style="232" customWidth="1"/>
    <col min="11797" max="11797" width="1.5703125" style="232" customWidth="1"/>
    <col min="11798" max="11798" width="17.42578125" style="232" customWidth="1"/>
    <col min="11799" max="11799" width="2" style="232" customWidth="1"/>
    <col min="11800" max="11800" width="18.140625" style="232" customWidth="1"/>
    <col min="11801" max="11801" width="1.42578125" style="232" customWidth="1"/>
    <col min="11802" max="11802" width="17.5703125" style="232" customWidth="1"/>
    <col min="11803" max="11803" width="1.28515625" style="232" customWidth="1"/>
    <col min="11804" max="11804" width="18.140625" style="232" customWidth="1"/>
    <col min="11805" max="11805" width="1.28515625" style="232" customWidth="1"/>
    <col min="11806" max="11806" width="18.140625" style="232" customWidth="1"/>
    <col min="11807" max="11807" width="1.28515625" style="232" customWidth="1"/>
    <col min="11808" max="11808" width="17.140625" style="232" customWidth="1"/>
    <col min="11809" max="11809" width="1.28515625" style="232" customWidth="1"/>
    <col min="11810" max="11810" width="17.42578125" style="232" customWidth="1"/>
    <col min="11811" max="11811" width="1.28515625" style="232" customWidth="1"/>
    <col min="11812" max="11812" width="17.28515625" style="232" customWidth="1"/>
    <col min="11813" max="12042" width="8.85546875" style="232"/>
    <col min="12043" max="12046" width="2.7109375" style="232" customWidth="1"/>
    <col min="12047" max="12047" width="49.28515625" style="232" customWidth="1"/>
    <col min="12048" max="12048" width="10.42578125" style="232" customWidth="1"/>
    <col min="12049" max="12049" width="1.85546875" style="232" customWidth="1"/>
    <col min="12050" max="12050" width="17.28515625" style="232" customWidth="1"/>
    <col min="12051" max="12051" width="1.85546875" style="232" customWidth="1"/>
    <col min="12052" max="12052" width="19" style="232" customWidth="1"/>
    <col min="12053" max="12053" width="1.5703125" style="232" customWidth="1"/>
    <col min="12054" max="12054" width="17.42578125" style="232" customWidth="1"/>
    <col min="12055" max="12055" width="2" style="232" customWidth="1"/>
    <col min="12056" max="12056" width="18.140625" style="232" customWidth="1"/>
    <col min="12057" max="12057" width="1.42578125" style="232" customWidth="1"/>
    <col min="12058" max="12058" width="17.5703125" style="232" customWidth="1"/>
    <col min="12059" max="12059" width="1.28515625" style="232" customWidth="1"/>
    <col min="12060" max="12060" width="18.140625" style="232" customWidth="1"/>
    <col min="12061" max="12061" width="1.28515625" style="232" customWidth="1"/>
    <col min="12062" max="12062" width="18.140625" style="232" customWidth="1"/>
    <col min="12063" max="12063" width="1.28515625" style="232" customWidth="1"/>
    <col min="12064" max="12064" width="17.140625" style="232" customWidth="1"/>
    <col min="12065" max="12065" width="1.28515625" style="232" customWidth="1"/>
    <col min="12066" max="12066" width="17.42578125" style="232" customWidth="1"/>
    <col min="12067" max="12067" width="1.28515625" style="232" customWidth="1"/>
    <col min="12068" max="12068" width="17.28515625" style="232" customWidth="1"/>
    <col min="12069" max="12298" width="8.85546875" style="232"/>
    <col min="12299" max="12302" width="2.7109375" style="232" customWidth="1"/>
    <col min="12303" max="12303" width="49.28515625" style="232" customWidth="1"/>
    <col min="12304" max="12304" width="10.42578125" style="232" customWidth="1"/>
    <col min="12305" max="12305" width="1.85546875" style="232" customWidth="1"/>
    <col min="12306" max="12306" width="17.28515625" style="232" customWidth="1"/>
    <col min="12307" max="12307" width="1.85546875" style="232" customWidth="1"/>
    <col min="12308" max="12308" width="19" style="232" customWidth="1"/>
    <col min="12309" max="12309" width="1.5703125" style="232" customWidth="1"/>
    <col min="12310" max="12310" width="17.42578125" style="232" customWidth="1"/>
    <col min="12311" max="12311" width="2" style="232" customWidth="1"/>
    <col min="12312" max="12312" width="18.140625" style="232" customWidth="1"/>
    <col min="12313" max="12313" width="1.42578125" style="232" customWidth="1"/>
    <col min="12314" max="12314" width="17.5703125" style="232" customWidth="1"/>
    <col min="12315" max="12315" width="1.28515625" style="232" customWidth="1"/>
    <col min="12316" max="12316" width="18.140625" style="232" customWidth="1"/>
    <col min="12317" max="12317" width="1.28515625" style="232" customWidth="1"/>
    <col min="12318" max="12318" width="18.140625" style="232" customWidth="1"/>
    <col min="12319" max="12319" width="1.28515625" style="232" customWidth="1"/>
    <col min="12320" max="12320" width="17.140625" style="232" customWidth="1"/>
    <col min="12321" max="12321" width="1.28515625" style="232" customWidth="1"/>
    <col min="12322" max="12322" width="17.42578125" style="232" customWidth="1"/>
    <col min="12323" max="12323" width="1.28515625" style="232" customWidth="1"/>
    <col min="12324" max="12324" width="17.28515625" style="232" customWidth="1"/>
    <col min="12325" max="12554" width="8.85546875" style="232"/>
    <col min="12555" max="12558" width="2.7109375" style="232" customWidth="1"/>
    <col min="12559" max="12559" width="49.28515625" style="232" customWidth="1"/>
    <col min="12560" max="12560" width="10.42578125" style="232" customWidth="1"/>
    <col min="12561" max="12561" width="1.85546875" style="232" customWidth="1"/>
    <col min="12562" max="12562" width="17.28515625" style="232" customWidth="1"/>
    <col min="12563" max="12563" width="1.85546875" style="232" customWidth="1"/>
    <col min="12564" max="12564" width="19" style="232" customWidth="1"/>
    <col min="12565" max="12565" width="1.5703125" style="232" customWidth="1"/>
    <col min="12566" max="12566" width="17.42578125" style="232" customWidth="1"/>
    <col min="12567" max="12567" width="2" style="232" customWidth="1"/>
    <col min="12568" max="12568" width="18.140625" style="232" customWidth="1"/>
    <col min="12569" max="12569" width="1.42578125" style="232" customWidth="1"/>
    <col min="12570" max="12570" width="17.5703125" style="232" customWidth="1"/>
    <col min="12571" max="12571" width="1.28515625" style="232" customWidth="1"/>
    <col min="12572" max="12572" width="18.140625" style="232" customWidth="1"/>
    <col min="12573" max="12573" width="1.28515625" style="232" customWidth="1"/>
    <col min="12574" max="12574" width="18.140625" style="232" customWidth="1"/>
    <col min="12575" max="12575" width="1.28515625" style="232" customWidth="1"/>
    <col min="12576" max="12576" width="17.140625" style="232" customWidth="1"/>
    <col min="12577" max="12577" width="1.28515625" style="232" customWidth="1"/>
    <col min="12578" max="12578" width="17.42578125" style="232" customWidth="1"/>
    <col min="12579" max="12579" width="1.28515625" style="232" customWidth="1"/>
    <col min="12580" max="12580" width="17.28515625" style="232" customWidth="1"/>
    <col min="12581" max="12810" width="8.85546875" style="232"/>
    <col min="12811" max="12814" width="2.7109375" style="232" customWidth="1"/>
    <col min="12815" max="12815" width="49.28515625" style="232" customWidth="1"/>
    <col min="12816" max="12816" width="10.42578125" style="232" customWidth="1"/>
    <col min="12817" max="12817" width="1.85546875" style="232" customWidth="1"/>
    <col min="12818" max="12818" width="17.28515625" style="232" customWidth="1"/>
    <col min="12819" max="12819" width="1.85546875" style="232" customWidth="1"/>
    <col min="12820" max="12820" width="19" style="232" customWidth="1"/>
    <col min="12821" max="12821" width="1.5703125" style="232" customWidth="1"/>
    <col min="12822" max="12822" width="17.42578125" style="232" customWidth="1"/>
    <col min="12823" max="12823" width="2" style="232" customWidth="1"/>
    <col min="12824" max="12824" width="18.140625" style="232" customWidth="1"/>
    <col min="12825" max="12825" width="1.42578125" style="232" customWidth="1"/>
    <col min="12826" max="12826" width="17.5703125" style="232" customWidth="1"/>
    <col min="12827" max="12827" width="1.28515625" style="232" customWidth="1"/>
    <col min="12828" max="12828" width="18.140625" style="232" customWidth="1"/>
    <col min="12829" max="12829" width="1.28515625" style="232" customWidth="1"/>
    <col min="12830" max="12830" width="18.140625" style="232" customWidth="1"/>
    <col min="12831" max="12831" width="1.28515625" style="232" customWidth="1"/>
    <col min="12832" max="12832" width="17.140625" style="232" customWidth="1"/>
    <col min="12833" max="12833" width="1.28515625" style="232" customWidth="1"/>
    <col min="12834" max="12834" width="17.42578125" style="232" customWidth="1"/>
    <col min="12835" max="12835" width="1.28515625" style="232" customWidth="1"/>
    <col min="12836" max="12836" width="17.28515625" style="232" customWidth="1"/>
    <col min="12837" max="13066" width="8.85546875" style="232"/>
    <col min="13067" max="13070" width="2.7109375" style="232" customWidth="1"/>
    <col min="13071" max="13071" width="49.28515625" style="232" customWidth="1"/>
    <col min="13072" max="13072" width="10.42578125" style="232" customWidth="1"/>
    <col min="13073" max="13073" width="1.85546875" style="232" customWidth="1"/>
    <col min="13074" max="13074" width="17.28515625" style="232" customWidth="1"/>
    <col min="13075" max="13075" width="1.85546875" style="232" customWidth="1"/>
    <col min="13076" max="13076" width="19" style="232" customWidth="1"/>
    <col min="13077" max="13077" width="1.5703125" style="232" customWidth="1"/>
    <col min="13078" max="13078" width="17.42578125" style="232" customWidth="1"/>
    <col min="13079" max="13079" width="2" style="232" customWidth="1"/>
    <col min="13080" max="13080" width="18.140625" style="232" customWidth="1"/>
    <col min="13081" max="13081" width="1.42578125" style="232" customWidth="1"/>
    <col min="13082" max="13082" width="17.5703125" style="232" customWidth="1"/>
    <col min="13083" max="13083" width="1.28515625" style="232" customWidth="1"/>
    <col min="13084" max="13084" width="18.140625" style="232" customWidth="1"/>
    <col min="13085" max="13085" width="1.28515625" style="232" customWidth="1"/>
    <col min="13086" max="13086" width="18.140625" style="232" customWidth="1"/>
    <col min="13087" max="13087" width="1.28515625" style="232" customWidth="1"/>
    <col min="13088" max="13088" width="17.140625" style="232" customWidth="1"/>
    <col min="13089" max="13089" width="1.28515625" style="232" customWidth="1"/>
    <col min="13090" max="13090" width="17.42578125" style="232" customWidth="1"/>
    <col min="13091" max="13091" width="1.28515625" style="232" customWidth="1"/>
    <col min="13092" max="13092" width="17.28515625" style="232" customWidth="1"/>
    <col min="13093" max="13322" width="8.85546875" style="232"/>
    <col min="13323" max="13326" width="2.7109375" style="232" customWidth="1"/>
    <col min="13327" max="13327" width="49.28515625" style="232" customWidth="1"/>
    <col min="13328" max="13328" width="10.42578125" style="232" customWidth="1"/>
    <col min="13329" max="13329" width="1.85546875" style="232" customWidth="1"/>
    <col min="13330" max="13330" width="17.28515625" style="232" customWidth="1"/>
    <col min="13331" max="13331" width="1.85546875" style="232" customWidth="1"/>
    <col min="13332" max="13332" width="19" style="232" customWidth="1"/>
    <col min="13333" max="13333" width="1.5703125" style="232" customWidth="1"/>
    <col min="13334" max="13334" width="17.42578125" style="232" customWidth="1"/>
    <col min="13335" max="13335" width="2" style="232" customWidth="1"/>
    <col min="13336" max="13336" width="18.140625" style="232" customWidth="1"/>
    <col min="13337" max="13337" width="1.42578125" style="232" customWidth="1"/>
    <col min="13338" max="13338" width="17.5703125" style="232" customWidth="1"/>
    <col min="13339" max="13339" width="1.28515625" style="232" customWidth="1"/>
    <col min="13340" max="13340" width="18.140625" style="232" customWidth="1"/>
    <col min="13341" max="13341" width="1.28515625" style="232" customWidth="1"/>
    <col min="13342" max="13342" width="18.140625" style="232" customWidth="1"/>
    <col min="13343" max="13343" width="1.28515625" style="232" customWidth="1"/>
    <col min="13344" max="13344" width="17.140625" style="232" customWidth="1"/>
    <col min="13345" max="13345" width="1.28515625" style="232" customWidth="1"/>
    <col min="13346" max="13346" width="17.42578125" style="232" customWidth="1"/>
    <col min="13347" max="13347" width="1.28515625" style="232" customWidth="1"/>
    <col min="13348" max="13348" width="17.28515625" style="232" customWidth="1"/>
    <col min="13349" max="13578" width="8.85546875" style="232"/>
    <col min="13579" max="13582" width="2.7109375" style="232" customWidth="1"/>
    <col min="13583" max="13583" width="49.28515625" style="232" customWidth="1"/>
    <col min="13584" max="13584" width="10.42578125" style="232" customWidth="1"/>
    <col min="13585" max="13585" width="1.85546875" style="232" customWidth="1"/>
    <col min="13586" max="13586" width="17.28515625" style="232" customWidth="1"/>
    <col min="13587" max="13587" width="1.85546875" style="232" customWidth="1"/>
    <col min="13588" max="13588" width="19" style="232" customWidth="1"/>
    <col min="13589" max="13589" width="1.5703125" style="232" customWidth="1"/>
    <col min="13590" max="13590" width="17.42578125" style="232" customWidth="1"/>
    <col min="13591" max="13591" width="2" style="232" customWidth="1"/>
    <col min="13592" max="13592" width="18.140625" style="232" customWidth="1"/>
    <col min="13593" max="13593" width="1.42578125" style="232" customWidth="1"/>
    <col min="13594" max="13594" width="17.5703125" style="232" customWidth="1"/>
    <col min="13595" max="13595" width="1.28515625" style="232" customWidth="1"/>
    <col min="13596" max="13596" width="18.140625" style="232" customWidth="1"/>
    <col min="13597" max="13597" width="1.28515625" style="232" customWidth="1"/>
    <col min="13598" max="13598" width="18.140625" style="232" customWidth="1"/>
    <col min="13599" max="13599" width="1.28515625" style="232" customWidth="1"/>
    <col min="13600" max="13600" width="17.140625" style="232" customWidth="1"/>
    <col min="13601" max="13601" width="1.28515625" style="232" customWidth="1"/>
    <col min="13602" max="13602" width="17.42578125" style="232" customWidth="1"/>
    <col min="13603" max="13603" width="1.28515625" style="232" customWidth="1"/>
    <col min="13604" max="13604" width="17.28515625" style="232" customWidth="1"/>
    <col min="13605" max="13834" width="8.85546875" style="232"/>
    <col min="13835" max="13838" width="2.7109375" style="232" customWidth="1"/>
    <col min="13839" max="13839" width="49.28515625" style="232" customWidth="1"/>
    <col min="13840" max="13840" width="10.42578125" style="232" customWidth="1"/>
    <col min="13841" max="13841" width="1.85546875" style="232" customWidth="1"/>
    <col min="13842" max="13842" width="17.28515625" style="232" customWidth="1"/>
    <col min="13843" max="13843" width="1.85546875" style="232" customWidth="1"/>
    <col min="13844" max="13844" width="19" style="232" customWidth="1"/>
    <col min="13845" max="13845" width="1.5703125" style="232" customWidth="1"/>
    <col min="13846" max="13846" width="17.42578125" style="232" customWidth="1"/>
    <col min="13847" max="13847" width="2" style="232" customWidth="1"/>
    <col min="13848" max="13848" width="18.140625" style="232" customWidth="1"/>
    <col min="13849" max="13849" width="1.42578125" style="232" customWidth="1"/>
    <col min="13850" max="13850" width="17.5703125" style="232" customWidth="1"/>
    <col min="13851" max="13851" width="1.28515625" style="232" customWidth="1"/>
    <col min="13852" max="13852" width="18.140625" style="232" customWidth="1"/>
    <col min="13853" max="13853" width="1.28515625" style="232" customWidth="1"/>
    <col min="13854" max="13854" width="18.140625" style="232" customWidth="1"/>
    <col min="13855" max="13855" width="1.28515625" style="232" customWidth="1"/>
    <col min="13856" max="13856" width="17.140625" style="232" customWidth="1"/>
    <col min="13857" max="13857" width="1.28515625" style="232" customWidth="1"/>
    <col min="13858" max="13858" width="17.42578125" style="232" customWidth="1"/>
    <col min="13859" max="13859" width="1.28515625" style="232" customWidth="1"/>
    <col min="13860" max="13860" width="17.28515625" style="232" customWidth="1"/>
    <col min="13861" max="14090" width="8.85546875" style="232"/>
    <col min="14091" max="14094" width="2.7109375" style="232" customWidth="1"/>
    <col min="14095" max="14095" width="49.28515625" style="232" customWidth="1"/>
    <col min="14096" max="14096" width="10.42578125" style="232" customWidth="1"/>
    <col min="14097" max="14097" width="1.85546875" style="232" customWidth="1"/>
    <col min="14098" max="14098" width="17.28515625" style="232" customWidth="1"/>
    <col min="14099" max="14099" width="1.85546875" style="232" customWidth="1"/>
    <col min="14100" max="14100" width="19" style="232" customWidth="1"/>
    <col min="14101" max="14101" width="1.5703125" style="232" customWidth="1"/>
    <col min="14102" max="14102" width="17.42578125" style="232" customWidth="1"/>
    <col min="14103" max="14103" width="2" style="232" customWidth="1"/>
    <col min="14104" max="14104" width="18.140625" style="232" customWidth="1"/>
    <col min="14105" max="14105" width="1.42578125" style="232" customWidth="1"/>
    <col min="14106" max="14106" width="17.5703125" style="232" customWidth="1"/>
    <col min="14107" max="14107" width="1.28515625" style="232" customWidth="1"/>
    <col min="14108" max="14108" width="18.140625" style="232" customWidth="1"/>
    <col min="14109" max="14109" width="1.28515625" style="232" customWidth="1"/>
    <col min="14110" max="14110" width="18.140625" style="232" customWidth="1"/>
    <col min="14111" max="14111" width="1.28515625" style="232" customWidth="1"/>
    <col min="14112" max="14112" width="17.140625" style="232" customWidth="1"/>
    <col min="14113" max="14113" width="1.28515625" style="232" customWidth="1"/>
    <col min="14114" max="14114" width="17.42578125" style="232" customWidth="1"/>
    <col min="14115" max="14115" width="1.28515625" style="232" customWidth="1"/>
    <col min="14116" max="14116" width="17.28515625" style="232" customWidth="1"/>
    <col min="14117" max="14346" width="8.85546875" style="232"/>
    <col min="14347" max="14350" width="2.7109375" style="232" customWidth="1"/>
    <col min="14351" max="14351" width="49.28515625" style="232" customWidth="1"/>
    <col min="14352" max="14352" width="10.42578125" style="232" customWidth="1"/>
    <col min="14353" max="14353" width="1.85546875" style="232" customWidth="1"/>
    <col min="14354" max="14354" width="17.28515625" style="232" customWidth="1"/>
    <col min="14355" max="14355" width="1.85546875" style="232" customWidth="1"/>
    <col min="14356" max="14356" width="19" style="232" customWidth="1"/>
    <col min="14357" max="14357" width="1.5703125" style="232" customWidth="1"/>
    <col min="14358" max="14358" width="17.42578125" style="232" customWidth="1"/>
    <col min="14359" max="14359" width="2" style="232" customWidth="1"/>
    <col min="14360" max="14360" width="18.140625" style="232" customWidth="1"/>
    <col min="14361" max="14361" width="1.42578125" style="232" customWidth="1"/>
    <col min="14362" max="14362" width="17.5703125" style="232" customWidth="1"/>
    <col min="14363" max="14363" width="1.28515625" style="232" customWidth="1"/>
    <col min="14364" max="14364" width="18.140625" style="232" customWidth="1"/>
    <col min="14365" max="14365" width="1.28515625" style="232" customWidth="1"/>
    <col min="14366" max="14366" width="18.140625" style="232" customWidth="1"/>
    <col min="14367" max="14367" width="1.28515625" style="232" customWidth="1"/>
    <col min="14368" max="14368" width="17.140625" style="232" customWidth="1"/>
    <col min="14369" max="14369" width="1.28515625" style="232" customWidth="1"/>
    <col min="14370" max="14370" width="17.42578125" style="232" customWidth="1"/>
    <col min="14371" max="14371" width="1.28515625" style="232" customWidth="1"/>
    <col min="14372" max="14372" width="17.28515625" style="232" customWidth="1"/>
    <col min="14373" max="14602" width="8.85546875" style="232"/>
    <col min="14603" max="14606" width="2.7109375" style="232" customWidth="1"/>
    <col min="14607" max="14607" width="49.28515625" style="232" customWidth="1"/>
    <col min="14608" max="14608" width="10.42578125" style="232" customWidth="1"/>
    <col min="14609" max="14609" width="1.85546875" style="232" customWidth="1"/>
    <col min="14610" max="14610" width="17.28515625" style="232" customWidth="1"/>
    <col min="14611" max="14611" width="1.85546875" style="232" customWidth="1"/>
    <col min="14612" max="14612" width="19" style="232" customWidth="1"/>
    <col min="14613" max="14613" width="1.5703125" style="232" customWidth="1"/>
    <col min="14614" max="14614" width="17.42578125" style="232" customWidth="1"/>
    <col min="14615" max="14615" width="2" style="232" customWidth="1"/>
    <col min="14616" max="14616" width="18.140625" style="232" customWidth="1"/>
    <col min="14617" max="14617" width="1.42578125" style="232" customWidth="1"/>
    <col min="14618" max="14618" width="17.5703125" style="232" customWidth="1"/>
    <col min="14619" max="14619" width="1.28515625" style="232" customWidth="1"/>
    <col min="14620" max="14620" width="18.140625" style="232" customWidth="1"/>
    <col min="14621" max="14621" width="1.28515625" style="232" customWidth="1"/>
    <col min="14622" max="14622" width="18.140625" style="232" customWidth="1"/>
    <col min="14623" max="14623" width="1.28515625" style="232" customWidth="1"/>
    <col min="14624" max="14624" width="17.140625" style="232" customWidth="1"/>
    <col min="14625" max="14625" width="1.28515625" style="232" customWidth="1"/>
    <col min="14626" max="14626" width="17.42578125" style="232" customWidth="1"/>
    <col min="14627" max="14627" width="1.28515625" style="232" customWidth="1"/>
    <col min="14628" max="14628" width="17.28515625" style="232" customWidth="1"/>
    <col min="14629" max="14858" width="8.85546875" style="232"/>
    <col min="14859" max="14862" width="2.7109375" style="232" customWidth="1"/>
    <col min="14863" max="14863" width="49.28515625" style="232" customWidth="1"/>
    <col min="14864" max="14864" width="10.42578125" style="232" customWidth="1"/>
    <col min="14865" max="14865" width="1.85546875" style="232" customWidth="1"/>
    <col min="14866" max="14866" width="17.28515625" style="232" customWidth="1"/>
    <col min="14867" max="14867" width="1.85546875" style="232" customWidth="1"/>
    <col min="14868" max="14868" width="19" style="232" customWidth="1"/>
    <col min="14869" max="14869" width="1.5703125" style="232" customWidth="1"/>
    <col min="14870" max="14870" width="17.42578125" style="232" customWidth="1"/>
    <col min="14871" max="14871" width="2" style="232" customWidth="1"/>
    <col min="14872" max="14872" width="18.140625" style="232" customWidth="1"/>
    <col min="14873" max="14873" width="1.42578125" style="232" customWidth="1"/>
    <col min="14874" max="14874" width="17.5703125" style="232" customWidth="1"/>
    <col min="14875" max="14875" width="1.28515625" style="232" customWidth="1"/>
    <col min="14876" max="14876" width="18.140625" style="232" customWidth="1"/>
    <col min="14877" max="14877" width="1.28515625" style="232" customWidth="1"/>
    <col min="14878" max="14878" width="18.140625" style="232" customWidth="1"/>
    <col min="14879" max="14879" width="1.28515625" style="232" customWidth="1"/>
    <col min="14880" max="14880" width="17.140625" style="232" customWidth="1"/>
    <col min="14881" max="14881" width="1.28515625" style="232" customWidth="1"/>
    <col min="14882" max="14882" width="17.42578125" style="232" customWidth="1"/>
    <col min="14883" max="14883" width="1.28515625" style="232" customWidth="1"/>
    <col min="14884" max="14884" width="17.28515625" style="232" customWidth="1"/>
    <col min="14885" max="15114" width="8.85546875" style="232"/>
    <col min="15115" max="15118" width="2.7109375" style="232" customWidth="1"/>
    <col min="15119" max="15119" width="49.28515625" style="232" customWidth="1"/>
    <col min="15120" max="15120" width="10.42578125" style="232" customWidth="1"/>
    <col min="15121" max="15121" width="1.85546875" style="232" customWidth="1"/>
    <col min="15122" max="15122" width="17.28515625" style="232" customWidth="1"/>
    <col min="15123" max="15123" width="1.85546875" style="232" customWidth="1"/>
    <col min="15124" max="15124" width="19" style="232" customWidth="1"/>
    <col min="15125" max="15125" width="1.5703125" style="232" customWidth="1"/>
    <col min="15126" max="15126" width="17.42578125" style="232" customWidth="1"/>
    <col min="15127" max="15127" width="2" style="232" customWidth="1"/>
    <col min="15128" max="15128" width="18.140625" style="232" customWidth="1"/>
    <col min="15129" max="15129" width="1.42578125" style="232" customWidth="1"/>
    <col min="15130" max="15130" width="17.5703125" style="232" customWidth="1"/>
    <col min="15131" max="15131" width="1.28515625" style="232" customWidth="1"/>
    <col min="15132" max="15132" width="18.140625" style="232" customWidth="1"/>
    <col min="15133" max="15133" width="1.28515625" style="232" customWidth="1"/>
    <col min="15134" max="15134" width="18.140625" style="232" customWidth="1"/>
    <col min="15135" max="15135" width="1.28515625" style="232" customWidth="1"/>
    <col min="15136" max="15136" width="17.140625" style="232" customWidth="1"/>
    <col min="15137" max="15137" width="1.28515625" style="232" customWidth="1"/>
    <col min="15138" max="15138" width="17.42578125" style="232" customWidth="1"/>
    <col min="15139" max="15139" width="1.28515625" style="232" customWidth="1"/>
    <col min="15140" max="15140" width="17.28515625" style="232" customWidth="1"/>
    <col min="15141" max="15370" width="8.85546875" style="232"/>
    <col min="15371" max="15374" width="2.7109375" style="232" customWidth="1"/>
    <col min="15375" max="15375" width="49.28515625" style="232" customWidth="1"/>
    <col min="15376" max="15376" width="10.42578125" style="232" customWidth="1"/>
    <col min="15377" max="15377" width="1.85546875" style="232" customWidth="1"/>
    <col min="15378" max="15378" width="17.28515625" style="232" customWidth="1"/>
    <col min="15379" max="15379" width="1.85546875" style="232" customWidth="1"/>
    <col min="15380" max="15380" width="19" style="232" customWidth="1"/>
    <col min="15381" max="15381" width="1.5703125" style="232" customWidth="1"/>
    <col min="15382" max="15382" width="17.42578125" style="232" customWidth="1"/>
    <col min="15383" max="15383" width="2" style="232" customWidth="1"/>
    <col min="15384" max="15384" width="18.140625" style="232" customWidth="1"/>
    <col min="15385" max="15385" width="1.42578125" style="232" customWidth="1"/>
    <col min="15386" max="15386" width="17.5703125" style="232" customWidth="1"/>
    <col min="15387" max="15387" width="1.28515625" style="232" customWidth="1"/>
    <col min="15388" max="15388" width="18.140625" style="232" customWidth="1"/>
    <col min="15389" max="15389" width="1.28515625" style="232" customWidth="1"/>
    <col min="15390" max="15390" width="18.140625" style="232" customWidth="1"/>
    <col min="15391" max="15391" width="1.28515625" style="232" customWidth="1"/>
    <col min="15392" max="15392" width="17.140625" style="232" customWidth="1"/>
    <col min="15393" max="15393" width="1.28515625" style="232" customWidth="1"/>
    <col min="15394" max="15394" width="17.42578125" style="232" customWidth="1"/>
    <col min="15395" max="15395" width="1.28515625" style="232" customWidth="1"/>
    <col min="15396" max="15396" width="17.28515625" style="232" customWidth="1"/>
    <col min="15397" max="15626" width="8.85546875" style="232"/>
    <col min="15627" max="15630" width="2.7109375" style="232" customWidth="1"/>
    <col min="15631" max="15631" width="49.28515625" style="232" customWidth="1"/>
    <col min="15632" max="15632" width="10.42578125" style="232" customWidth="1"/>
    <col min="15633" max="15633" width="1.85546875" style="232" customWidth="1"/>
    <col min="15634" max="15634" width="17.28515625" style="232" customWidth="1"/>
    <col min="15635" max="15635" width="1.85546875" style="232" customWidth="1"/>
    <col min="15636" max="15636" width="19" style="232" customWidth="1"/>
    <col min="15637" max="15637" width="1.5703125" style="232" customWidth="1"/>
    <col min="15638" max="15638" width="17.42578125" style="232" customWidth="1"/>
    <col min="15639" max="15639" width="2" style="232" customWidth="1"/>
    <col min="15640" max="15640" width="18.140625" style="232" customWidth="1"/>
    <col min="15641" max="15641" width="1.42578125" style="232" customWidth="1"/>
    <col min="15642" max="15642" width="17.5703125" style="232" customWidth="1"/>
    <col min="15643" max="15643" width="1.28515625" style="232" customWidth="1"/>
    <col min="15644" max="15644" width="18.140625" style="232" customWidth="1"/>
    <col min="15645" max="15645" width="1.28515625" style="232" customWidth="1"/>
    <col min="15646" max="15646" width="18.140625" style="232" customWidth="1"/>
    <col min="15647" max="15647" width="1.28515625" style="232" customWidth="1"/>
    <col min="15648" max="15648" width="17.140625" style="232" customWidth="1"/>
    <col min="15649" max="15649" width="1.28515625" style="232" customWidth="1"/>
    <col min="15650" max="15650" width="17.42578125" style="232" customWidth="1"/>
    <col min="15651" max="15651" width="1.28515625" style="232" customWidth="1"/>
    <col min="15652" max="15652" width="17.28515625" style="232" customWidth="1"/>
    <col min="15653" max="15882" width="8.85546875" style="232"/>
    <col min="15883" max="15886" width="2.7109375" style="232" customWidth="1"/>
    <col min="15887" max="15887" width="49.28515625" style="232" customWidth="1"/>
    <col min="15888" max="15888" width="10.42578125" style="232" customWidth="1"/>
    <col min="15889" max="15889" width="1.85546875" style="232" customWidth="1"/>
    <col min="15890" max="15890" width="17.28515625" style="232" customWidth="1"/>
    <col min="15891" max="15891" width="1.85546875" style="232" customWidth="1"/>
    <col min="15892" max="15892" width="19" style="232" customWidth="1"/>
    <col min="15893" max="15893" width="1.5703125" style="232" customWidth="1"/>
    <col min="15894" max="15894" width="17.42578125" style="232" customWidth="1"/>
    <col min="15895" max="15895" width="2" style="232" customWidth="1"/>
    <col min="15896" max="15896" width="18.140625" style="232" customWidth="1"/>
    <col min="15897" max="15897" width="1.42578125" style="232" customWidth="1"/>
    <col min="15898" max="15898" width="17.5703125" style="232" customWidth="1"/>
    <col min="15899" max="15899" width="1.28515625" style="232" customWidth="1"/>
    <col min="15900" max="15900" width="18.140625" style="232" customWidth="1"/>
    <col min="15901" max="15901" width="1.28515625" style="232" customWidth="1"/>
    <col min="15902" max="15902" width="18.140625" style="232" customWidth="1"/>
    <col min="15903" max="15903" width="1.28515625" style="232" customWidth="1"/>
    <col min="15904" max="15904" width="17.140625" style="232" customWidth="1"/>
    <col min="15905" max="15905" width="1.28515625" style="232" customWidth="1"/>
    <col min="15906" max="15906" width="17.42578125" style="232" customWidth="1"/>
    <col min="15907" max="15907" width="1.28515625" style="232" customWidth="1"/>
    <col min="15908" max="15908" width="17.28515625" style="232" customWidth="1"/>
    <col min="15909" max="16138" width="8.85546875" style="232"/>
    <col min="16139" max="16142" width="2.7109375" style="232" customWidth="1"/>
    <col min="16143" max="16143" width="49.28515625" style="232" customWidth="1"/>
    <col min="16144" max="16144" width="10.42578125" style="232" customWidth="1"/>
    <col min="16145" max="16145" width="1.85546875" style="232" customWidth="1"/>
    <col min="16146" max="16146" width="17.28515625" style="232" customWidth="1"/>
    <col min="16147" max="16147" width="1.85546875" style="232" customWidth="1"/>
    <col min="16148" max="16148" width="19" style="232" customWidth="1"/>
    <col min="16149" max="16149" width="1.5703125" style="232" customWidth="1"/>
    <col min="16150" max="16150" width="17.42578125" style="232" customWidth="1"/>
    <col min="16151" max="16151" width="2" style="232" customWidth="1"/>
    <col min="16152" max="16152" width="18.140625" style="232" customWidth="1"/>
    <col min="16153" max="16153" width="1.42578125" style="232" customWidth="1"/>
    <col min="16154" max="16154" width="17.5703125" style="232" customWidth="1"/>
    <col min="16155" max="16155" width="1.28515625" style="232" customWidth="1"/>
    <col min="16156" max="16156" width="18.140625" style="232" customWidth="1"/>
    <col min="16157" max="16157" width="1.28515625" style="232" customWidth="1"/>
    <col min="16158" max="16158" width="18.140625" style="232" customWidth="1"/>
    <col min="16159" max="16159" width="1.28515625" style="232" customWidth="1"/>
    <col min="16160" max="16160" width="17.140625" style="232" customWidth="1"/>
    <col min="16161" max="16161" width="1.28515625" style="232" customWidth="1"/>
    <col min="16162" max="16162" width="17.42578125" style="232" customWidth="1"/>
    <col min="16163" max="16163" width="1.28515625" style="232" customWidth="1"/>
    <col min="16164" max="16164" width="17.28515625" style="232" customWidth="1"/>
    <col min="16165" max="16384" width="8.85546875" style="232"/>
  </cols>
  <sheetData>
    <row r="1" spans="1:38" ht="14.25" x14ac:dyDescent="0.2">
      <c r="A1" s="645" t="s">
        <v>5</v>
      </c>
      <c r="B1" s="645"/>
      <c r="C1" s="645"/>
      <c r="D1" s="645"/>
      <c r="E1" s="645"/>
      <c r="F1" s="645"/>
      <c r="G1" s="645"/>
      <c r="H1" s="645"/>
      <c r="I1" s="645"/>
      <c r="J1" s="645"/>
      <c r="K1" s="645"/>
      <c r="L1" s="645"/>
      <c r="M1" s="645"/>
      <c r="N1" s="645"/>
      <c r="O1" s="645"/>
      <c r="P1" s="645"/>
      <c r="Q1" s="645"/>
      <c r="R1" s="645"/>
      <c r="S1" s="645"/>
      <c r="T1" s="645"/>
      <c r="U1" s="645"/>
      <c r="V1" s="645"/>
      <c r="W1" s="645"/>
      <c r="X1" s="645"/>
      <c r="Y1" s="645"/>
      <c r="Z1" s="645"/>
      <c r="AA1" s="645"/>
      <c r="AB1" s="645"/>
      <c r="AC1" s="645"/>
      <c r="AD1" s="645"/>
      <c r="AE1" s="645"/>
      <c r="AF1" s="645"/>
      <c r="AG1" s="645"/>
      <c r="AH1" s="645"/>
      <c r="AI1" s="645"/>
      <c r="AJ1" s="645"/>
      <c r="AL1" s="233"/>
    </row>
    <row r="2" spans="1:38" ht="15" x14ac:dyDescent="0.25">
      <c r="A2" s="651" t="s">
        <v>910</v>
      </c>
      <c r="B2" s="651"/>
      <c r="C2" s="651"/>
      <c r="D2" s="651"/>
      <c r="E2" s="651"/>
      <c r="F2" s="651"/>
      <c r="G2" s="651"/>
      <c r="H2" s="651"/>
      <c r="I2" s="651"/>
      <c r="J2" s="651"/>
      <c r="K2" s="651"/>
      <c r="L2" s="651"/>
      <c r="M2" s="651"/>
      <c r="N2" s="651"/>
      <c r="O2" s="651"/>
      <c r="P2" s="651"/>
      <c r="Q2" s="651"/>
      <c r="R2" s="651"/>
      <c r="S2" s="651"/>
      <c r="T2" s="651"/>
      <c r="U2" s="651"/>
      <c r="V2" s="651"/>
      <c r="W2" s="651"/>
      <c r="X2" s="651"/>
      <c r="Y2" s="651"/>
      <c r="Z2" s="651"/>
      <c r="AA2" s="651"/>
      <c r="AB2" s="651"/>
      <c r="AC2" s="651"/>
      <c r="AD2" s="651"/>
      <c r="AE2" s="651"/>
      <c r="AF2" s="651"/>
      <c r="AG2" s="651"/>
      <c r="AH2" s="651"/>
      <c r="AI2" s="651"/>
      <c r="AJ2" s="651"/>
    </row>
    <row r="3" spans="1:38" ht="15" x14ac:dyDescent="0.25">
      <c r="A3" s="651" t="s">
        <v>1369</v>
      </c>
      <c r="B3" s="651"/>
      <c r="C3" s="651"/>
      <c r="D3" s="651"/>
      <c r="E3" s="651"/>
      <c r="F3" s="651"/>
      <c r="G3" s="651"/>
      <c r="H3" s="651"/>
      <c r="I3" s="651"/>
      <c r="J3" s="651"/>
      <c r="K3" s="651"/>
      <c r="L3" s="651"/>
      <c r="M3" s="651"/>
      <c r="N3" s="651"/>
      <c r="O3" s="651"/>
      <c r="P3" s="651"/>
      <c r="Q3" s="651"/>
      <c r="R3" s="651"/>
      <c r="S3" s="651"/>
      <c r="T3" s="651"/>
      <c r="U3" s="651"/>
      <c r="V3" s="651"/>
      <c r="W3" s="651"/>
      <c r="X3" s="651"/>
      <c r="Y3" s="651"/>
      <c r="Z3" s="651"/>
      <c r="AA3" s="651"/>
      <c r="AB3" s="651"/>
      <c r="AC3" s="651"/>
      <c r="AD3" s="651"/>
      <c r="AE3" s="651"/>
      <c r="AF3" s="651"/>
      <c r="AG3" s="651"/>
      <c r="AH3" s="651"/>
      <c r="AI3" s="651"/>
      <c r="AJ3" s="651"/>
    </row>
    <row r="4" spans="1:38" s="32" customFormat="1" ht="15.75" customHeight="1" x14ac:dyDescent="0.2">
      <c r="A4" s="665" t="s">
        <v>1370</v>
      </c>
      <c r="B4" s="665"/>
      <c r="C4" s="665"/>
      <c r="D4" s="665"/>
      <c r="E4" s="665"/>
      <c r="F4" s="665"/>
      <c r="G4" s="665"/>
      <c r="H4" s="665"/>
      <c r="I4" s="665"/>
      <c r="J4" s="665"/>
      <c r="K4" s="665"/>
      <c r="L4" s="665"/>
      <c r="M4" s="665"/>
      <c r="N4" s="665"/>
      <c r="O4" s="665"/>
      <c r="P4" s="665"/>
      <c r="Q4" s="665"/>
      <c r="R4" s="665"/>
      <c r="S4" s="665"/>
      <c r="T4" s="665"/>
      <c r="U4" s="665"/>
      <c r="V4" s="665"/>
      <c r="W4" s="665"/>
      <c r="X4" s="665"/>
      <c r="Y4" s="665"/>
      <c r="Z4" s="665"/>
      <c r="AA4" s="665"/>
      <c r="AB4" s="665"/>
      <c r="AC4" s="665"/>
      <c r="AD4" s="665"/>
      <c r="AE4" s="665"/>
      <c r="AF4" s="665"/>
      <c r="AG4" s="665"/>
      <c r="AH4" s="665"/>
      <c r="AI4" s="665"/>
      <c r="AJ4" s="665"/>
    </row>
    <row r="5" spans="1:38" s="32" customFormat="1" ht="15.75" customHeight="1" x14ac:dyDescent="0.2">
      <c r="A5" s="666" t="s">
        <v>890</v>
      </c>
      <c r="B5" s="666"/>
      <c r="C5" s="666"/>
      <c r="D5" s="666"/>
      <c r="E5" s="666"/>
      <c r="F5" s="666"/>
      <c r="G5" s="666"/>
      <c r="H5" s="666"/>
      <c r="I5" s="666"/>
      <c r="J5" s="666"/>
      <c r="K5" s="666"/>
      <c r="L5" s="666"/>
      <c r="M5" s="666"/>
      <c r="N5" s="666"/>
      <c r="O5" s="666"/>
      <c r="P5" s="666"/>
      <c r="Q5" s="666"/>
      <c r="R5" s="666"/>
      <c r="S5" s="666"/>
      <c r="T5" s="666"/>
      <c r="U5" s="666"/>
      <c r="V5" s="666"/>
      <c r="W5" s="666"/>
      <c r="X5" s="666"/>
      <c r="Y5" s="666"/>
      <c r="Z5" s="666"/>
      <c r="AA5" s="666"/>
      <c r="AB5" s="666"/>
      <c r="AC5" s="666"/>
      <c r="AD5" s="666"/>
      <c r="AE5" s="666"/>
      <c r="AF5" s="666"/>
      <c r="AG5" s="666"/>
      <c r="AH5" s="666"/>
      <c r="AI5" s="666"/>
      <c r="AJ5" s="666"/>
    </row>
    <row r="6" spans="1:38" ht="13.5" thickBot="1" x14ac:dyDescent="0.25"/>
    <row r="7" spans="1:38" s="243" customFormat="1" ht="15" customHeight="1" thickBot="1" x14ac:dyDescent="0.3">
      <c r="A7" s="652" t="s">
        <v>819</v>
      </c>
      <c r="B7" s="653"/>
      <c r="C7" s="653"/>
      <c r="D7" s="653"/>
      <c r="E7" s="654"/>
      <c r="F7" s="652" t="s">
        <v>902</v>
      </c>
      <c r="G7" s="648">
        <v>2021</v>
      </c>
      <c r="H7" s="643"/>
      <c r="I7" s="643"/>
      <c r="J7" s="643"/>
      <c r="K7" s="643"/>
      <c r="L7" s="643"/>
      <c r="M7" s="643"/>
      <c r="N7" s="643"/>
      <c r="O7" s="643"/>
      <c r="P7" s="643"/>
      <c r="Q7" s="644"/>
      <c r="R7" s="643">
        <v>2020</v>
      </c>
      <c r="S7" s="643"/>
      <c r="T7" s="643"/>
      <c r="U7" s="643"/>
      <c r="V7" s="643"/>
      <c r="W7" s="643"/>
      <c r="X7" s="643"/>
      <c r="Y7" s="643"/>
      <c r="Z7" s="644"/>
      <c r="AA7" s="648">
        <v>2019</v>
      </c>
      <c r="AB7" s="643"/>
      <c r="AC7" s="643"/>
      <c r="AD7" s="643"/>
      <c r="AE7" s="643"/>
      <c r="AF7" s="643"/>
      <c r="AG7" s="643"/>
      <c r="AH7" s="643"/>
      <c r="AI7" s="643"/>
      <c r="AJ7" s="644"/>
    </row>
    <row r="8" spans="1:38" s="243" customFormat="1" ht="14.45" customHeight="1" x14ac:dyDescent="0.25">
      <c r="A8" s="655"/>
      <c r="B8" s="656"/>
      <c r="C8" s="656"/>
      <c r="D8" s="656"/>
      <c r="E8" s="657"/>
      <c r="F8" s="655"/>
      <c r="G8" s="520"/>
      <c r="H8" s="645" t="s">
        <v>823</v>
      </c>
      <c r="I8" s="645"/>
      <c r="J8" s="645"/>
      <c r="K8" s="646" t="s">
        <v>824</v>
      </c>
      <c r="L8" s="645"/>
      <c r="M8" s="533"/>
      <c r="N8" s="534"/>
      <c r="O8" s="485"/>
      <c r="P8" s="485" t="s">
        <v>824</v>
      </c>
      <c r="Q8" s="521"/>
      <c r="R8" s="645" t="s">
        <v>823</v>
      </c>
      <c r="S8" s="645"/>
      <c r="T8" s="645"/>
      <c r="U8" s="646" t="s">
        <v>824</v>
      </c>
      <c r="V8" s="661"/>
      <c r="W8" s="533"/>
      <c r="X8" s="534"/>
      <c r="Y8" s="485"/>
      <c r="Z8" s="484" t="s">
        <v>824</v>
      </c>
      <c r="AA8" s="662" t="s">
        <v>823</v>
      </c>
      <c r="AB8" s="663"/>
      <c r="AC8" s="663"/>
      <c r="AD8" s="664"/>
      <c r="AE8" s="662" t="s">
        <v>824</v>
      </c>
      <c r="AF8" s="664"/>
      <c r="AG8" s="244"/>
      <c r="AH8" s="245"/>
      <c r="AI8" s="246"/>
      <c r="AJ8" s="245" t="s">
        <v>824</v>
      </c>
    </row>
    <row r="9" spans="1:38" s="243" customFormat="1" ht="14.45" customHeight="1" x14ac:dyDescent="0.25">
      <c r="A9" s="655"/>
      <c r="B9" s="656"/>
      <c r="C9" s="656"/>
      <c r="D9" s="656"/>
      <c r="E9" s="657"/>
      <c r="F9" s="655"/>
      <c r="G9" s="520"/>
      <c r="H9" s="645" t="s">
        <v>825</v>
      </c>
      <c r="I9" s="645"/>
      <c r="J9" s="645"/>
      <c r="K9" s="646" t="s">
        <v>826</v>
      </c>
      <c r="L9" s="645"/>
      <c r="M9" s="533"/>
      <c r="N9" s="534" t="s">
        <v>827</v>
      </c>
      <c r="O9" s="485"/>
      <c r="P9" s="485" t="s">
        <v>828</v>
      </c>
      <c r="Q9" s="521"/>
      <c r="R9" s="645" t="s">
        <v>825</v>
      </c>
      <c r="S9" s="645"/>
      <c r="T9" s="645"/>
      <c r="U9" s="646" t="s">
        <v>826</v>
      </c>
      <c r="V9" s="661"/>
      <c r="W9" s="533"/>
      <c r="X9" s="534" t="s">
        <v>827</v>
      </c>
      <c r="Y9" s="485"/>
      <c r="Z9" s="484" t="s">
        <v>828</v>
      </c>
      <c r="AA9" s="649" t="s">
        <v>825</v>
      </c>
      <c r="AB9" s="645"/>
      <c r="AC9" s="645"/>
      <c r="AD9" s="650"/>
      <c r="AE9" s="649" t="s">
        <v>826</v>
      </c>
      <c r="AF9" s="650"/>
      <c r="AG9" s="247"/>
      <c r="AH9" s="248" t="s">
        <v>827</v>
      </c>
      <c r="AI9" s="249"/>
      <c r="AJ9" s="248" t="s">
        <v>828</v>
      </c>
    </row>
    <row r="10" spans="1:38" s="243" customFormat="1" ht="15.6" customHeight="1" thickBot="1" x14ac:dyDescent="0.3">
      <c r="A10" s="658"/>
      <c r="B10" s="659"/>
      <c r="C10" s="659"/>
      <c r="D10" s="659"/>
      <c r="E10" s="660"/>
      <c r="F10" s="658"/>
      <c r="G10" s="250"/>
      <c r="H10" s="523" t="s">
        <v>829</v>
      </c>
      <c r="I10" s="523"/>
      <c r="J10" s="523" t="s">
        <v>830</v>
      </c>
      <c r="K10" s="639" t="s">
        <v>828</v>
      </c>
      <c r="L10" s="647"/>
      <c r="M10" s="535"/>
      <c r="N10" s="536" t="s">
        <v>825</v>
      </c>
      <c r="O10" s="523"/>
      <c r="P10" s="523" t="s">
        <v>831</v>
      </c>
      <c r="Q10" s="522"/>
      <c r="R10" s="523" t="s">
        <v>829</v>
      </c>
      <c r="S10" s="523"/>
      <c r="T10" s="523" t="s">
        <v>830</v>
      </c>
      <c r="U10" s="639" t="s">
        <v>828</v>
      </c>
      <c r="V10" s="640"/>
      <c r="W10" s="535"/>
      <c r="X10" s="536" t="s">
        <v>825</v>
      </c>
      <c r="Y10" s="523"/>
      <c r="Z10" s="486" t="s">
        <v>831</v>
      </c>
      <c r="AA10" s="250"/>
      <c r="AB10" s="251" t="s">
        <v>829</v>
      </c>
      <c r="AC10" s="251"/>
      <c r="AD10" s="252" t="s">
        <v>830</v>
      </c>
      <c r="AE10" s="641" t="s">
        <v>828</v>
      </c>
      <c r="AF10" s="642"/>
      <c r="AG10" s="250"/>
      <c r="AH10" s="253" t="s">
        <v>825</v>
      </c>
      <c r="AI10" s="254"/>
      <c r="AJ10" s="253" t="s">
        <v>831</v>
      </c>
    </row>
    <row r="11" spans="1:38" s="243" customFormat="1" ht="15" x14ac:dyDescent="0.25">
      <c r="A11" s="255"/>
      <c r="B11" s="256"/>
      <c r="C11" s="256"/>
      <c r="D11" s="256"/>
      <c r="E11" s="257"/>
      <c r="F11" s="255"/>
      <c r="G11" s="255"/>
      <c r="H11" s="269"/>
      <c r="I11" s="269"/>
      <c r="J11" s="269"/>
      <c r="K11" s="533"/>
      <c r="L11" s="269"/>
      <c r="M11" s="533"/>
      <c r="N11" s="537"/>
      <c r="O11" s="269"/>
      <c r="P11" s="269"/>
      <c r="Q11" s="538"/>
      <c r="R11" s="269"/>
      <c r="S11" s="269"/>
      <c r="T11" s="269"/>
      <c r="U11" s="259"/>
      <c r="V11" s="258"/>
      <c r="W11" s="259"/>
      <c r="X11" s="258"/>
      <c r="Y11" s="256"/>
      <c r="Z11" s="257"/>
      <c r="AA11" s="255"/>
      <c r="AB11" s="256"/>
      <c r="AC11" s="256"/>
      <c r="AD11" s="258"/>
      <c r="AE11" s="259"/>
      <c r="AF11" s="260"/>
      <c r="AG11" s="256"/>
      <c r="AH11" s="256"/>
      <c r="AI11" s="259"/>
      <c r="AJ11" s="257"/>
    </row>
    <row r="12" spans="1:38" s="243" customFormat="1" ht="15" x14ac:dyDescent="0.25">
      <c r="A12" s="247" t="s">
        <v>832</v>
      </c>
      <c r="B12" s="256"/>
      <c r="C12" s="256"/>
      <c r="D12" s="256"/>
      <c r="E12" s="257"/>
      <c r="F12" s="255"/>
      <c r="G12" s="261"/>
      <c r="H12" s="262"/>
      <c r="I12" s="262"/>
      <c r="J12" s="262"/>
      <c r="K12" s="264"/>
      <c r="L12" s="262"/>
      <c r="M12" s="264"/>
      <c r="N12" s="263"/>
      <c r="O12" s="262"/>
      <c r="P12" s="262"/>
      <c r="Q12" s="265"/>
      <c r="R12" s="262"/>
      <c r="S12" s="262"/>
      <c r="T12" s="262"/>
      <c r="U12" s="264"/>
      <c r="V12" s="263"/>
      <c r="W12" s="264"/>
      <c r="X12" s="263"/>
      <c r="Y12" s="262"/>
      <c r="Z12" s="265"/>
      <c r="AA12" s="261"/>
      <c r="AB12" s="262"/>
      <c r="AC12" s="262"/>
      <c r="AD12" s="263"/>
      <c r="AE12" s="264"/>
      <c r="AF12" s="263"/>
      <c r="AG12" s="262"/>
      <c r="AH12" s="262"/>
      <c r="AI12" s="264"/>
      <c r="AJ12" s="265"/>
    </row>
    <row r="13" spans="1:38" s="243" customFormat="1" ht="15" x14ac:dyDescent="0.25">
      <c r="A13" s="247" t="s">
        <v>833</v>
      </c>
      <c r="B13" s="256"/>
      <c r="C13" s="256"/>
      <c r="D13" s="266"/>
      <c r="E13" s="267"/>
      <c r="F13" s="524"/>
      <c r="G13" s="261"/>
      <c r="H13" s="262"/>
      <c r="I13" s="262"/>
      <c r="J13" s="262"/>
      <c r="K13" s="264"/>
      <c r="L13" s="262"/>
      <c r="M13" s="264"/>
      <c r="N13" s="263"/>
      <c r="O13" s="262"/>
      <c r="P13" s="262"/>
      <c r="Q13" s="265"/>
      <c r="R13" s="262"/>
      <c r="S13" s="262"/>
      <c r="T13" s="262"/>
      <c r="U13" s="264"/>
      <c r="V13" s="263"/>
      <c r="W13" s="264"/>
      <c r="X13" s="263"/>
      <c r="Y13" s="262"/>
      <c r="Z13" s="268"/>
      <c r="AA13" s="261"/>
      <c r="AB13" s="262"/>
      <c r="AC13" s="262"/>
      <c r="AD13" s="263"/>
      <c r="AE13" s="264"/>
      <c r="AF13" s="263"/>
      <c r="AG13" s="262"/>
      <c r="AH13" s="262"/>
      <c r="AI13" s="264"/>
      <c r="AJ13" s="268"/>
    </row>
    <row r="14" spans="1:38" s="243" customFormat="1" ht="15" x14ac:dyDescent="0.25">
      <c r="A14" s="255"/>
      <c r="B14" s="256" t="s">
        <v>834</v>
      </c>
      <c r="C14" s="256"/>
      <c r="D14" s="256"/>
      <c r="E14" s="257"/>
      <c r="F14" s="255"/>
      <c r="G14" s="261"/>
      <c r="H14" s="262"/>
      <c r="I14" s="262"/>
      <c r="J14" s="262"/>
      <c r="K14" s="264"/>
      <c r="L14" s="262"/>
      <c r="M14" s="264"/>
      <c r="N14" s="263"/>
      <c r="O14" s="262"/>
      <c r="P14" s="262"/>
      <c r="Q14" s="265"/>
      <c r="R14" s="262"/>
      <c r="S14" s="262"/>
      <c r="T14" s="262"/>
      <c r="U14" s="264"/>
      <c r="V14" s="263"/>
      <c r="W14" s="264"/>
      <c r="X14" s="263"/>
      <c r="Y14" s="262"/>
      <c r="Z14" s="268"/>
      <c r="AA14" s="261"/>
      <c r="AB14" s="262"/>
      <c r="AC14" s="262"/>
      <c r="AD14" s="263"/>
      <c r="AE14" s="264"/>
      <c r="AF14" s="263"/>
      <c r="AG14" s="262"/>
      <c r="AH14" s="262"/>
      <c r="AI14" s="264"/>
      <c r="AJ14" s="268"/>
    </row>
    <row r="15" spans="1:38" s="243" customFormat="1" ht="15" x14ac:dyDescent="0.25">
      <c r="A15" s="255"/>
      <c r="B15" s="256"/>
      <c r="C15" s="256" t="s">
        <v>835</v>
      </c>
      <c r="D15" s="256"/>
      <c r="E15" s="257"/>
      <c r="F15" s="255"/>
      <c r="G15" s="261"/>
      <c r="H15" s="262"/>
      <c r="I15" s="262"/>
      <c r="J15" s="262"/>
      <c r="K15" s="264"/>
      <c r="L15" s="262"/>
      <c r="M15" s="264"/>
      <c r="N15" s="263"/>
      <c r="O15" s="262"/>
      <c r="P15" s="262"/>
      <c r="Q15" s="265"/>
      <c r="R15" s="262"/>
      <c r="S15" s="262"/>
      <c r="T15" s="262"/>
      <c r="U15" s="264"/>
      <c r="V15" s="263"/>
      <c r="W15" s="264"/>
      <c r="X15" s="263"/>
      <c r="Y15" s="262"/>
      <c r="Z15" s="268"/>
      <c r="AA15" s="261"/>
      <c r="AB15" s="262"/>
      <c r="AC15" s="262"/>
      <c r="AD15" s="263"/>
      <c r="AE15" s="264"/>
      <c r="AF15" s="263"/>
      <c r="AG15" s="262"/>
      <c r="AH15" s="262"/>
      <c r="AI15" s="264"/>
      <c r="AJ15" s="268"/>
    </row>
    <row r="16" spans="1:38" s="243" customFormat="1" ht="15" x14ac:dyDescent="0.25">
      <c r="A16" s="247"/>
      <c r="B16" s="269"/>
      <c r="C16" s="269"/>
      <c r="D16" s="256" t="s">
        <v>836</v>
      </c>
      <c r="E16" s="257"/>
      <c r="F16" s="255"/>
      <c r="G16" s="261"/>
      <c r="H16" s="541">
        <v>48300000</v>
      </c>
      <c r="I16" s="542"/>
      <c r="J16" s="541">
        <v>48300000</v>
      </c>
      <c r="K16" s="543"/>
      <c r="L16" s="541">
        <f>H16-J16</f>
        <v>0</v>
      </c>
      <c r="M16" s="543"/>
      <c r="N16" s="544">
        <v>40423520.719999991</v>
      </c>
      <c r="O16" s="545"/>
      <c r="P16" s="541">
        <f>J16-N16</f>
        <v>7876479.2800000086</v>
      </c>
      <c r="Q16" s="546"/>
      <c r="R16" s="541">
        <v>40500000</v>
      </c>
      <c r="S16" s="542"/>
      <c r="T16" s="541">
        <v>40500000</v>
      </c>
      <c r="U16" s="543"/>
      <c r="V16" s="544">
        <f>R16-T16</f>
        <v>0</v>
      </c>
      <c r="W16" s="543"/>
      <c r="X16" s="544">
        <v>31653941.230000004</v>
      </c>
      <c r="Y16" s="545"/>
      <c r="Z16" s="547">
        <f>T16-X16</f>
        <v>8846058.7699999958</v>
      </c>
      <c r="AA16" s="275"/>
      <c r="AB16" s="270">
        <v>36000000</v>
      </c>
      <c r="AC16" s="273"/>
      <c r="AD16" s="272">
        <v>36000000</v>
      </c>
      <c r="AE16" s="271"/>
      <c r="AF16" s="272">
        <f>AB16-AD16</f>
        <v>0</v>
      </c>
      <c r="AG16" s="273"/>
      <c r="AH16" s="270">
        <v>37314896.700000003</v>
      </c>
      <c r="AI16" s="271"/>
      <c r="AJ16" s="274">
        <f>AD16-AH16</f>
        <v>-1314896.700000003</v>
      </c>
    </row>
    <row r="17" spans="1:36" s="243" customFormat="1" ht="15" x14ac:dyDescent="0.25">
      <c r="A17" s="247"/>
      <c r="B17" s="269"/>
      <c r="C17" s="269"/>
      <c r="D17" s="256" t="s">
        <v>837</v>
      </c>
      <c r="E17" s="257"/>
      <c r="F17" s="255"/>
      <c r="G17" s="261"/>
      <c r="H17" s="541">
        <v>154170000</v>
      </c>
      <c r="I17" s="545"/>
      <c r="J17" s="541">
        <v>154170000</v>
      </c>
      <c r="K17" s="543"/>
      <c r="L17" s="541">
        <f>H17-J17</f>
        <v>0</v>
      </c>
      <c r="M17" s="543"/>
      <c r="N17" s="544">
        <v>172292948.03999999</v>
      </c>
      <c r="O17" s="545"/>
      <c r="P17" s="541">
        <f>J17-N17</f>
        <v>-18122948.039999992</v>
      </c>
      <c r="Q17" s="546"/>
      <c r="R17" s="541">
        <v>146850000</v>
      </c>
      <c r="S17" s="545"/>
      <c r="T17" s="541">
        <v>146850000</v>
      </c>
      <c r="U17" s="543"/>
      <c r="V17" s="544">
        <f>R17-T17</f>
        <v>0</v>
      </c>
      <c r="W17" s="543"/>
      <c r="X17" s="544">
        <v>174254524.09999996</v>
      </c>
      <c r="Y17" s="545"/>
      <c r="Z17" s="547">
        <f>T17-X17</f>
        <v>-27404524.099999964</v>
      </c>
      <c r="AA17" s="275"/>
      <c r="AB17" s="270">
        <v>138668000</v>
      </c>
      <c r="AC17" s="273"/>
      <c r="AD17" s="272">
        <v>138668000</v>
      </c>
      <c r="AE17" s="271"/>
      <c r="AF17" s="272">
        <f>AB17-AD17</f>
        <v>0</v>
      </c>
      <c r="AG17" s="273"/>
      <c r="AH17" s="270">
        <v>165153427.53999996</v>
      </c>
      <c r="AI17" s="271"/>
      <c r="AJ17" s="274">
        <f>AD17-AH17</f>
        <v>-26485427.539999962</v>
      </c>
    </row>
    <row r="18" spans="1:36" s="243" customFormat="1" ht="15" x14ac:dyDescent="0.25">
      <c r="A18" s="247"/>
      <c r="B18" s="269"/>
      <c r="C18" s="269"/>
      <c r="D18" s="256" t="s">
        <v>838</v>
      </c>
      <c r="E18" s="257"/>
      <c r="F18" s="255"/>
      <c r="G18" s="261"/>
      <c r="H18" s="541">
        <v>9770000</v>
      </c>
      <c r="I18" s="545"/>
      <c r="J18" s="548">
        <v>9770000</v>
      </c>
      <c r="K18" s="543"/>
      <c r="L18" s="541">
        <f>H18-J18</f>
        <v>0</v>
      </c>
      <c r="M18" s="543"/>
      <c r="N18" s="544">
        <v>13436739.5</v>
      </c>
      <c r="O18" s="545"/>
      <c r="P18" s="541">
        <f>J18-N18</f>
        <v>-3666739.5</v>
      </c>
      <c r="Q18" s="546"/>
      <c r="R18" s="541">
        <v>2200000</v>
      </c>
      <c r="S18" s="545"/>
      <c r="T18" s="548">
        <v>2200000</v>
      </c>
      <c r="U18" s="543"/>
      <c r="V18" s="544">
        <f>R18-T18</f>
        <v>0</v>
      </c>
      <c r="W18" s="543"/>
      <c r="X18" s="544">
        <v>12455042.660000002</v>
      </c>
      <c r="Y18" s="545"/>
      <c r="Z18" s="547">
        <f>T18-X18</f>
        <v>-10255042.660000002</v>
      </c>
      <c r="AA18" s="275"/>
      <c r="AB18" s="270">
        <v>5200000</v>
      </c>
      <c r="AC18" s="273"/>
      <c r="AD18" s="276">
        <v>5200000</v>
      </c>
      <c r="AE18" s="271"/>
      <c r="AF18" s="272">
        <f>AB18-AD18</f>
        <v>0</v>
      </c>
      <c r="AG18" s="273"/>
      <c r="AH18" s="270">
        <v>13204978.5</v>
      </c>
      <c r="AI18" s="271"/>
      <c r="AJ18" s="274">
        <f>AD18-AH18</f>
        <v>-8004978.5</v>
      </c>
    </row>
    <row r="19" spans="1:36" s="243" customFormat="1" ht="15" x14ac:dyDescent="0.25">
      <c r="A19" s="247"/>
      <c r="B19" s="269"/>
      <c r="C19" s="256" t="s">
        <v>449</v>
      </c>
      <c r="D19" s="256"/>
      <c r="E19" s="257"/>
      <c r="F19" s="255"/>
      <c r="G19" s="261"/>
      <c r="H19" s="549">
        <f>SUM(H16:H18)</f>
        <v>212240000</v>
      </c>
      <c r="I19" s="545"/>
      <c r="J19" s="549">
        <f>SUM(J16:J18)</f>
        <v>212240000</v>
      </c>
      <c r="K19" s="543"/>
      <c r="L19" s="549">
        <f>SUM(L16:L18)</f>
        <v>0</v>
      </c>
      <c r="M19" s="543"/>
      <c r="N19" s="550">
        <f>SUM(N16:N18)</f>
        <v>226153208.25999999</v>
      </c>
      <c r="O19" s="545"/>
      <c r="P19" s="549">
        <f>SUM(P16:P18)</f>
        <v>-13913208.259999983</v>
      </c>
      <c r="Q19" s="546"/>
      <c r="R19" s="549">
        <f>SUM(R16:R18)</f>
        <v>189550000</v>
      </c>
      <c r="S19" s="545"/>
      <c r="T19" s="549">
        <f>SUM(T16:T18)</f>
        <v>189550000</v>
      </c>
      <c r="U19" s="543"/>
      <c r="V19" s="550">
        <f>SUM(V16:V18)</f>
        <v>0</v>
      </c>
      <c r="W19" s="543"/>
      <c r="X19" s="550">
        <f>SUM(X16:X18)</f>
        <v>218363507.98999998</v>
      </c>
      <c r="Y19" s="545"/>
      <c r="Z19" s="551">
        <f>SUM(Z16:Z18)</f>
        <v>-28813507.989999972</v>
      </c>
      <c r="AA19" s="275"/>
      <c r="AB19" s="277">
        <f>SUM(AB16:AB18)</f>
        <v>179868000</v>
      </c>
      <c r="AC19" s="273"/>
      <c r="AD19" s="278">
        <f>SUM(AD16:AD18)</f>
        <v>179868000</v>
      </c>
      <c r="AE19" s="271"/>
      <c r="AF19" s="278">
        <f>SUM(AF16:AF18)</f>
        <v>0</v>
      </c>
      <c r="AG19" s="273"/>
      <c r="AH19" s="277">
        <f>SUM(AH16:AH18)</f>
        <v>215673302.73999995</v>
      </c>
      <c r="AI19" s="271"/>
      <c r="AJ19" s="279">
        <f>SUM(AJ16:AJ18)</f>
        <v>-35805302.739999965</v>
      </c>
    </row>
    <row r="20" spans="1:36" s="243" customFormat="1" ht="15" x14ac:dyDescent="0.25">
      <c r="A20" s="247"/>
      <c r="B20" s="269"/>
      <c r="C20" s="256" t="s">
        <v>839</v>
      </c>
      <c r="D20" s="256"/>
      <c r="E20" s="257"/>
      <c r="F20" s="255"/>
      <c r="G20" s="261"/>
      <c r="H20" s="545"/>
      <c r="I20" s="545"/>
      <c r="J20" s="545"/>
      <c r="K20" s="543"/>
      <c r="L20" s="545"/>
      <c r="M20" s="543"/>
      <c r="N20" s="552"/>
      <c r="O20" s="545"/>
      <c r="P20" s="545"/>
      <c r="Q20" s="546"/>
      <c r="R20" s="545"/>
      <c r="S20" s="545"/>
      <c r="T20" s="545"/>
      <c r="U20" s="543"/>
      <c r="V20" s="552"/>
      <c r="W20" s="543"/>
      <c r="X20" s="552"/>
      <c r="Y20" s="545"/>
      <c r="Z20" s="546"/>
      <c r="AA20" s="275"/>
      <c r="AB20" s="273"/>
      <c r="AC20" s="273"/>
      <c r="AD20" s="280"/>
      <c r="AE20" s="271"/>
      <c r="AF20" s="280"/>
      <c r="AG20" s="273"/>
      <c r="AH20" s="273"/>
      <c r="AI20" s="271"/>
      <c r="AJ20" s="281"/>
    </row>
    <row r="21" spans="1:36" s="243" customFormat="1" ht="15" x14ac:dyDescent="0.25">
      <c r="A21" s="247"/>
      <c r="B21" s="269"/>
      <c r="C21" s="269"/>
      <c r="D21" s="256" t="s">
        <v>840</v>
      </c>
      <c r="E21" s="257"/>
      <c r="F21" s="255"/>
      <c r="G21" s="261"/>
      <c r="H21" s="541">
        <v>54570000</v>
      </c>
      <c r="I21" s="545"/>
      <c r="J21" s="541">
        <v>54570000</v>
      </c>
      <c r="K21" s="543"/>
      <c r="L21" s="541">
        <f>H21-J21</f>
        <v>0</v>
      </c>
      <c r="M21" s="543"/>
      <c r="N21" s="544">
        <v>51945012.659999996</v>
      </c>
      <c r="O21" s="545"/>
      <c r="P21" s="541">
        <f>J21-N21</f>
        <v>2624987.3400000036</v>
      </c>
      <c r="Q21" s="546"/>
      <c r="R21" s="541">
        <v>53991350</v>
      </c>
      <c r="S21" s="545"/>
      <c r="T21" s="541">
        <v>53991350</v>
      </c>
      <c r="U21" s="543"/>
      <c r="V21" s="544">
        <f>R21-T21</f>
        <v>0</v>
      </c>
      <c r="W21" s="543"/>
      <c r="X21" s="544">
        <v>47059884.190000005</v>
      </c>
      <c r="Y21" s="545"/>
      <c r="Z21" s="547">
        <f>T21-X21</f>
        <v>6931465.8099999949</v>
      </c>
      <c r="AA21" s="275"/>
      <c r="AB21" s="270">
        <v>42342950</v>
      </c>
      <c r="AC21" s="273"/>
      <c r="AD21" s="272">
        <v>43089070.149999999</v>
      </c>
      <c r="AE21" s="271"/>
      <c r="AF21" s="272">
        <f>AB21-AD21</f>
        <v>-746120.14999999851</v>
      </c>
      <c r="AG21" s="273"/>
      <c r="AH21" s="270">
        <v>53617271.100000001</v>
      </c>
      <c r="AI21" s="271"/>
      <c r="AJ21" s="274">
        <f>AD21-AH21</f>
        <v>-10528200.950000003</v>
      </c>
    </row>
    <row r="22" spans="1:36" s="243" customFormat="1" ht="15" x14ac:dyDescent="0.25">
      <c r="A22" s="247"/>
      <c r="B22" s="269"/>
      <c r="C22" s="269"/>
      <c r="D22" s="256" t="s">
        <v>841</v>
      </c>
      <c r="E22" s="257"/>
      <c r="F22" s="255"/>
      <c r="G22" s="261"/>
      <c r="H22" s="541">
        <v>97051835</v>
      </c>
      <c r="I22" s="545"/>
      <c r="J22" s="541">
        <v>97051835</v>
      </c>
      <c r="K22" s="543"/>
      <c r="L22" s="541">
        <f>H22-J22</f>
        <v>0</v>
      </c>
      <c r="M22" s="543"/>
      <c r="N22" s="544">
        <v>90091675.730000004</v>
      </c>
      <c r="O22" s="545"/>
      <c r="P22" s="541">
        <f>J22-N22</f>
        <v>6960159.2699999958</v>
      </c>
      <c r="Q22" s="546"/>
      <c r="R22" s="541">
        <v>81149297.940000013</v>
      </c>
      <c r="S22" s="545"/>
      <c r="T22" s="541">
        <v>86897709.670000017</v>
      </c>
      <c r="U22" s="543"/>
      <c r="V22" s="544">
        <f>R22-T22</f>
        <v>-5748411.7300000042</v>
      </c>
      <c r="W22" s="543"/>
      <c r="X22" s="544">
        <v>70689542.270000011</v>
      </c>
      <c r="Y22" s="545"/>
      <c r="Z22" s="547">
        <f>T22-X22</f>
        <v>16208167.400000006</v>
      </c>
      <c r="AA22" s="275"/>
      <c r="AB22" s="270">
        <v>80379755.579999998</v>
      </c>
      <c r="AC22" s="273"/>
      <c r="AD22" s="272">
        <v>83715755.579999998</v>
      </c>
      <c r="AE22" s="271"/>
      <c r="AF22" s="272">
        <f>AB22-AD22</f>
        <v>-3336000</v>
      </c>
      <c r="AG22" s="273"/>
      <c r="AH22" s="270">
        <v>94104603.640000001</v>
      </c>
      <c r="AI22" s="271"/>
      <c r="AJ22" s="274">
        <f>AD22-AH22</f>
        <v>-10388848.060000002</v>
      </c>
    </row>
    <row r="23" spans="1:36" s="243" customFormat="1" ht="15" x14ac:dyDescent="0.25">
      <c r="A23" s="247"/>
      <c r="B23" s="269"/>
      <c r="C23" s="269"/>
      <c r="D23" s="256" t="s">
        <v>842</v>
      </c>
      <c r="E23" s="257"/>
      <c r="F23" s="255"/>
      <c r="G23" s="261"/>
      <c r="H23" s="541">
        <v>461988231.20999998</v>
      </c>
      <c r="I23" s="545"/>
      <c r="J23" s="548">
        <v>589966908.37</v>
      </c>
      <c r="K23" s="543"/>
      <c r="L23" s="541">
        <f>H23-J23</f>
        <v>-127978677.16000003</v>
      </c>
      <c r="M23" s="543"/>
      <c r="N23" s="544">
        <v>388836407.27999997</v>
      </c>
      <c r="O23" s="545"/>
      <c r="P23" s="541">
        <f>J23-N23</f>
        <v>201130501.09000003</v>
      </c>
      <c r="Q23" s="546"/>
      <c r="R23" s="541">
        <v>7300000</v>
      </c>
      <c r="S23" s="545"/>
      <c r="T23" s="548">
        <v>415483093.87</v>
      </c>
      <c r="U23" s="543"/>
      <c r="V23" s="544">
        <f>R23-T23</f>
        <v>-408183093.87</v>
      </c>
      <c r="W23" s="543"/>
      <c r="X23" s="544">
        <v>625391.8600000001</v>
      </c>
      <c r="Y23" s="545"/>
      <c r="Z23" s="547">
        <f>T23-X23</f>
        <v>414857702.00999999</v>
      </c>
      <c r="AA23" s="275"/>
      <c r="AB23" s="270">
        <v>1110000</v>
      </c>
      <c r="AC23" s="273"/>
      <c r="AD23" s="276">
        <v>244681539.72999999</v>
      </c>
      <c r="AE23" s="271"/>
      <c r="AF23" s="272">
        <f>AB23-AD23</f>
        <v>-243571539.72999999</v>
      </c>
      <c r="AG23" s="273"/>
      <c r="AH23" s="270">
        <v>3751280.26</v>
      </c>
      <c r="AI23" s="271"/>
      <c r="AJ23" s="274">
        <f>AD23-AH23</f>
        <v>240930259.47</v>
      </c>
    </row>
    <row r="24" spans="1:36" s="282" customFormat="1" ht="15" x14ac:dyDescent="0.25">
      <c r="A24" s="247"/>
      <c r="B24" s="269"/>
      <c r="C24" s="256" t="s">
        <v>843</v>
      </c>
      <c r="D24" s="256"/>
      <c r="E24" s="257"/>
      <c r="F24" s="255"/>
      <c r="G24" s="261"/>
      <c r="H24" s="549">
        <f>SUM(H21:H23)</f>
        <v>613610066.21000004</v>
      </c>
      <c r="I24" s="545"/>
      <c r="J24" s="549">
        <f>SUM(J21:J23)</f>
        <v>741588743.37</v>
      </c>
      <c r="K24" s="543"/>
      <c r="L24" s="549">
        <f>SUM(L21:L23)</f>
        <v>-127978677.16000003</v>
      </c>
      <c r="M24" s="543"/>
      <c r="N24" s="550">
        <f>SUM(N21:N23)</f>
        <v>530873095.66999996</v>
      </c>
      <c r="O24" s="545"/>
      <c r="P24" s="549">
        <f>SUM(P21:P23)</f>
        <v>210715647.70000005</v>
      </c>
      <c r="Q24" s="546"/>
      <c r="R24" s="549">
        <f>SUM(R21:R23)</f>
        <v>142440647.94</v>
      </c>
      <c r="S24" s="545"/>
      <c r="T24" s="549">
        <f>SUM(T21:T23)</f>
        <v>556372153.53999996</v>
      </c>
      <c r="U24" s="543"/>
      <c r="V24" s="550">
        <f>SUM(V21:V23)</f>
        <v>-413931505.60000002</v>
      </c>
      <c r="W24" s="543"/>
      <c r="X24" s="550">
        <f>SUM(X21:X23)</f>
        <v>118374818.32000001</v>
      </c>
      <c r="Y24" s="545"/>
      <c r="Z24" s="551">
        <f>SUM(Z21:Z23)</f>
        <v>437997335.21999997</v>
      </c>
      <c r="AA24" s="275"/>
      <c r="AB24" s="277">
        <f>SUM(AB21:AB23)</f>
        <v>123832705.58</v>
      </c>
      <c r="AC24" s="273"/>
      <c r="AD24" s="277">
        <f>SUM(AD21:AD23)</f>
        <v>371486365.45999998</v>
      </c>
      <c r="AE24" s="271"/>
      <c r="AF24" s="277">
        <f>SUM(AF21:AF23)</f>
        <v>-247653659.88</v>
      </c>
      <c r="AG24" s="273"/>
      <c r="AH24" s="277">
        <f>SUM(AH21:AH23)</f>
        <v>151473155</v>
      </c>
      <c r="AI24" s="271"/>
      <c r="AJ24" s="279">
        <f>SUM(AJ21:AJ23)</f>
        <v>220013210.45999998</v>
      </c>
    </row>
    <row r="25" spans="1:36" s="243" customFormat="1" ht="15" x14ac:dyDescent="0.25">
      <c r="A25" s="247"/>
      <c r="B25" s="256" t="s">
        <v>844</v>
      </c>
      <c r="C25" s="269"/>
      <c r="D25" s="256"/>
      <c r="E25" s="257"/>
      <c r="F25" s="255"/>
      <c r="G25" s="261"/>
      <c r="H25" s="545"/>
      <c r="I25" s="545"/>
      <c r="J25" s="545"/>
      <c r="K25" s="543"/>
      <c r="L25" s="545"/>
      <c r="M25" s="543"/>
      <c r="N25" s="552"/>
      <c r="O25" s="545"/>
      <c r="P25" s="545"/>
      <c r="Q25" s="546"/>
      <c r="R25" s="545"/>
      <c r="S25" s="545"/>
      <c r="T25" s="545"/>
      <c r="U25" s="543"/>
      <c r="V25" s="552"/>
      <c r="W25" s="543"/>
      <c r="X25" s="552"/>
      <c r="Y25" s="545"/>
      <c r="Z25" s="546"/>
      <c r="AA25" s="275"/>
      <c r="AB25" s="273"/>
      <c r="AC25" s="273"/>
      <c r="AD25" s="280"/>
      <c r="AE25" s="271"/>
      <c r="AF25" s="280"/>
      <c r="AG25" s="273"/>
      <c r="AH25" s="273"/>
      <c r="AI25" s="271"/>
      <c r="AJ25" s="281"/>
    </row>
    <row r="26" spans="1:36" s="243" customFormat="1" ht="15" x14ac:dyDescent="0.25">
      <c r="A26" s="247"/>
      <c r="B26" s="269"/>
      <c r="C26" s="256" t="s">
        <v>845</v>
      </c>
      <c r="D26" s="256"/>
      <c r="E26" s="257"/>
      <c r="F26" s="255"/>
      <c r="G26" s="261"/>
      <c r="H26" s="541">
        <v>829672451</v>
      </c>
      <c r="I26" s="545"/>
      <c r="J26" s="541">
        <v>889216030</v>
      </c>
      <c r="K26" s="543"/>
      <c r="L26" s="541">
        <f>H26-J26</f>
        <v>-59543579</v>
      </c>
      <c r="M26" s="543"/>
      <c r="N26" s="544">
        <v>889216030</v>
      </c>
      <c r="O26" s="545"/>
      <c r="P26" s="541">
        <f>J26-N26</f>
        <v>0</v>
      </c>
      <c r="Q26" s="546"/>
      <c r="R26" s="541">
        <v>734827207</v>
      </c>
      <c r="S26" s="545"/>
      <c r="T26" s="541">
        <v>829672451</v>
      </c>
      <c r="U26" s="543"/>
      <c r="V26" s="544">
        <f>R26-T26</f>
        <v>-94845244</v>
      </c>
      <c r="W26" s="543"/>
      <c r="X26" s="544">
        <v>829672451</v>
      </c>
      <c r="Y26" s="545"/>
      <c r="Z26" s="547">
        <f>T26-X26</f>
        <v>0</v>
      </c>
      <c r="AA26" s="275"/>
      <c r="AB26" s="270">
        <v>734827207</v>
      </c>
      <c r="AC26" s="273"/>
      <c r="AD26" s="270">
        <v>739212765</v>
      </c>
      <c r="AE26" s="271"/>
      <c r="AF26" s="272">
        <f t="shared" ref="AF26:AF42" si="0">AB26-AD26</f>
        <v>-4385558</v>
      </c>
      <c r="AG26" s="273"/>
      <c r="AH26" s="270">
        <v>739212764.99999988</v>
      </c>
      <c r="AI26" s="271"/>
      <c r="AJ26" s="274">
        <f t="shared" ref="AJ26:AJ42" si="1">AD26-AH26</f>
        <v>0</v>
      </c>
    </row>
    <row r="27" spans="1:36" s="243" customFormat="1" ht="15" x14ac:dyDescent="0.25">
      <c r="A27" s="247"/>
      <c r="B27" s="269"/>
      <c r="C27" s="256" t="s">
        <v>846</v>
      </c>
      <c r="D27" s="256"/>
      <c r="E27" s="257"/>
      <c r="F27" s="255"/>
      <c r="G27" s="261"/>
      <c r="H27" s="541"/>
      <c r="I27" s="545"/>
      <c r="J27" s="541"/>
      <c r="K27" s="543"/>
      <c r="L27" s="541"/>
      <c r="M27" s="543"/>
      <c r="N27" s="544"/>
      <c r="O27" s="545"/>
      <c r="P27" s="541"/>
      <c r="Q27" s="546"/>
      <c r="R27" s="541"/>
      <c r="S27" s="545"/>
      <c r="T27" s="541"/>
      <c r="U27" s="543"/>
      <c r="V27" s="544"/>
      <c r="W27" s="543"/>
      <c r="X27" s="544"/>
      <c r="Y27" s="545"/>
      <c r="Z27" s="547"/>
      <c r="AA27" s="275"/>
      <c r="AB27" s="270"/>
      <c r="AC27" s="273"/>
      <c r="AD27" s="270"/>
      <c r="AE27" s="271"/>
      <c r="AF27" s="270">
        <f t="shared" si="0"/>
        <v>0</v>
      </c>
      <c r="AG27" s="271"/>
      <c r="AH27" s="270"/>
      <c r="AI27" s="271"/>
      <c r="AJ27" s="274">
        <f t="shared" si="1"/>
        <v>0</v>
      </c>
    </row>
    <row r="28" spans="1:36" s="243" customFormat="1" ht="15" x14ac:dyDescent="0.25">
      <c r="A28" s="247"/>
      <c r="B28" s="269"/>
      <c r="C28" s="256"/>
      <c r="D28" s="256" t="s">
        <v>848</v>
      </c>
      <c r="E28" s="257" t="s">
        <v>512</v>
      </c>
      <c r="F28" s="255"/>
      <c r="G28" s="261"/>
      <c r="H28" s="545">
        <v>700000</v>
      </c>
      <c r="I28" s="545"/>
      <c r="J28" s="545">
        <v>700000</v>
      </c>
      <c r="K28" s="543"/>
      <c r="L28" s="541">
        <f>H28-J28</f>
        <v>0</v>
      </c>
      <c r="M28" s="543"/>
      <c r="N28" s="544">
        <v>1192785.32</v>
      </c>
      <c r="O28" s="545"/>
      <c r="P28" s="541">
        <f>J28-N28</f>
        <v>-492785.32000000007</v>
      </c>
      <c r="Q28" s="546"/>
      <c r="R28" s="545">
        <v>650000</v>
      </c>
      <c r="S28" s="545"/>
      <c r="T28" s="545"/>
      <c r="U28" s="543"/>
      <c r="V28" s="544">
        <f>R28-T28</f>
        <v>650000</v>
      </c>
      <c r="W28" s="543"/>
      <c r="X28" s="544">
        <v>218580.68</v>
      </c>
      <c r="Y28" s="545"/>
      <c r="Z28" s="547">
        <f>T28-X28</f>
        <v>-218580.68</v>
      </c>
      <c r="AA28" s="275"/>
      <c r="AB28" s="273">
        <v>450000</v>
      </c>
      <c r="AC28" s="273"/>
      <c r="AD28" s="273">
        <v>450000</v>
      </c>
      <c r="AE28" s="271"/>
      <c r="AF28" s="270">
        <f t="shared" si="0"/>
        <v>0</v>
      </c>
      <c r="AG28" s="271"/>
      <c r="AH28" s="270">
        <v>637969.80000000005</v>
      </c>
      <c r="AI28" s="271"/>
      <c r="AJ28" s="274">
        <f t="shared" si="1"/>
        <v>-187969.80000000005</v>
      </c>
    </row>
    <row r="29" spans="1:36" s="243" customFormat="1" ht="15" x14ac:dyDescent="0.25">
      <c r="A29" s="247"/>
      <c r="B29" s="269"/>
      <c r="C29" s="256" t="s">
        <v>847</v>
      </c>
      <c r="D29" s="256"/>
      <c r="E29" s="257"/>
      <c r="F29" s="255"/>
      <c r="G29" s="283"/>
      <c r="H29" s="545"/>
      <c r="I29" s="545"/>
      <c r="J29" s="545"/>
      <c r="K29" s="543"/>
      <c r="L29" s="545"/>
      <c r="M29" s="543"/>
      <c r="N29" s="552"/>
      <c r="O29" s="545"/>
      <c r="P29" s="541"/>
      <c r="Q29" s="546"/>
      <c r="R29" s="545"/>
      <c r="S29" s="545"/>
      <c r="T29" s="545"/>
      <c r="U29" s="543"/>
      <c r="V29" s="552"/>
      <c r="W29" s="543"/>
      <c r="X29" s="552"/>
      <c r="Y29" s="545"/>
      <c r="Z29" s="547"/>
      <c r="AA29" s="275"/>
      <c r="AB29" s="273"/>
      <c r="AC29" s="273"/>
      <c r="AD29" s="273"/>
      <c r="AE29" s="271"/>
      <c r="AF29" s="273">
        <f t="shared" si="0"/>
        <v>0</v>
      </c>
      <c r="AG29" s="271"/>
      <c r="AH29" s="273">
        <f>AH30</f>
        <v>131334.6</v>
      </c>
      <c r="AI29" s="271"/>
      <c r="AJ29" s="274">
        <f t="shared" si="1"/>
        <v>-131334.6</v>
      </c>
    </row>
    <row r="30" spans="1:36" s="243" customFormat="1" ht="15" x14ac:dyDescent="0.25">
      <c r="A30" s="255"/>
      <c r="B30" s="256"/>
      <c r="C30" s="256"/>
      <c r="D30" s="256" t="s">
        <v>848</v>
      </c>
      <c r="E30" s="257"/>
      <c r="F30" s="255"/>
      <c r="G30" s="261"/>
      <c r="H30" s="541"/>
      <c r="I30" s="545"/>
      <c r="J30" s="541"/>
      <c r="K30" s="543"/>
      <c r="L30" s="541">
        <v>0</v>
      </c>
      <c r="M30" s="543"/>
      <c r="N30" s="544">
        <v>72609</v>
      </c>
      <c r="O30" s="545"/>
      <c r="P30" s="541">
        <f>J30-N30</f>
        <v>-72609</v>
      </c>
      <c r="Q30" s="546"/>
      <c r="R30" s="541"/>
      <c r="S30" s="545"/>
      <c r="T30" s="541"/>
      <c r="U30" s="543"/>
      <c r="V30" s="544">
        <v>0</v>
      </c>
      <c r="W30" s="543"/>
      <c r="X30" s="544">
        <v>588344.53</v>
      </c>
      <c r="Y30" s="545"/>
      <c r="Z30" s="547">
        <f>T30-X30</f>
        <v>-588344.53</v>
      </c>
      <c r="AA30" s="275"/>
      <c r="AB30" s="270"/>
      <c r="AC30" s="273"/>
      <c r="AD30" s="270"/>
      <c r="AE30" s="271"/>
      <c r="AF30" s="270">
        <f t="shared" si="0"/>
        <v>0</v>
      </c>
      <c r="AG30" s="271"/>
      <c r="AH30" s="270">
        <v>131334.6</v>
      </c>
      <c r="AI30" s="271"/>
      <c r="AJ30" s="274">
        <f t="shared" si="1"/>
        <v>-131334.6</v>
      </c>
    </row>
    <row r="31" spans="1:36" s="243" customFormat="1" ht="15" hidden="1" x14ac:dyDescent="0.25">
      <c r="A31" s="255"/>
      <c r="B31" s="256"/>
      <c r="C31" s="256"/>
      <c r="D31" s="256" t="s">
        <v>849</v>
      </c>
      <c r="E31" s="257"/>
      <c r="F31" s="255"/>
      <c r="G31" s="261"/>
      <c r="H31" s="541"/>
      <c r="I31" s="545"/>
      <c r="J31" s="541"/>
      <c r="K31" s="543"/>
      <c r="L31" s="541">
        <v>0</v>
      </c>
      <c r="M31" s="543"/>
      <c r="N31" s="544"/>
      <c r="O31" s="545"/>
      <c r="P31" s="541">
        <v>0</v>
      </c>
      <c r="Q31" s="546"/>
      <c r="R31" s="541"/>
      <c r="S31" s="545"/>
      <c r="T31" s="541"/>
      <c r="U31" s="543"/>
      <c r="V31" s="544">
        <v>0</v>
      </c>
      <c r="W31" s="543"/>
      <c r="X31" s="544">
        <v>0</v>
      </c>
      <c r="Y31" s="545"/>
      <c r="Z31" s="547">
        <v>0</v>
      </c>
      <c r="AA31" s="275"/>
      <c r="AB31" s="270"/>
      <c r="AC31" s="273"/>
      <c r="AD31" s="270"/>
      <c r="AE31" s="271"/>
      <c r="AF31" s="270">
        <f t="shared" si="0"/>
        <v>0</v>
      </c>
      <c r="AG31" s="271"/>
      <c r="AH31" s="270"/>
      <c r="AI31" s="271"/>
      <c r="AJ31" s="274">
        <f t="shared" si="1"/>
        <v>0</v>
      </c>
    </row>
    <row r="32" spans="1:36" s="243" customFormat="1" ht="15" hidden="1" x14ac:dyDescent="0.25">
      <c r="A32" s="255"/>
      <c r="B32" s="256"/>
      <c r="C32" s="256"/>
      <c r="D32" s="256" t="s">
        <v>850</v>
      </c>
      <c r="E32" s="257"/>
      <c r="F32" s="255"/>
      <c r="G32" s="261"/>
      <c r="H32" s="541"/>
      <c r="I32" s="545"/>
      <c r="J32" s="541"/>
      <c r="K32" s="543"/>
      <c r="L32" s="541">
        <v>0</v>
      </c>
      <c r="M32" s="543"/>
      <c r="N32" s="544"/>
      <c r="O32" s="545"/>
      <c r="P32" s="541">
        <f>J32-N32</f>
        <v>0</v>
      </c>
      <c r="Q32" s="546"/>
      <c r="R32" s="541"/>
      <c r="S32" s="545"/>
      <c r="T32" s="541"/>
      <c r="U32" s="543"/>
      <c r="V32" s="544">
        <v>0</v>
      </c>
      <c r="W32" s="543"/>
      <c r="X32" s="544">
        <v>131344.5</v>
      </c>
      <c r="Y32" s="545"/>
      <c r="Z32" s="547">
        <f>T32-X32</f>
        <v>-131344.5</v>
      </c>
      <c r="AA32" s="275"/>
      <c r="AB32" s="270"/>
      <c r="AC32" s="273"/>
      <c r="AD32" s="270"/>
      <c r="AE32" s="271"/>
      <c r="AF32" s="270">
        <f t="shared" si="0"/>
        <v>0</v>
      </c>
      <c r="AG32" s="271"/>
      <c r="AH32" s="270"/>
      <c r="AI32" s="271"/>
      <c r="AJ32" s="274">
        <f t="shared" si="1"/>
        <v>0</v>
      </c>
    </row>
    <row r="33" spans="1:36" s="243" customFormat="1" ht="15" hidden="1" x14ac:dyDescent="0.25">
      <c r="A33" s="255"/>
      <c r="B33" s="256"/>
      <c r="C33" s="256"/>
      <c r="D33" s="256" t="s">
        <v>851</v>
      </c>
      <c r="E33" s="257"/>
      <c r="F33" s="255"/>
      <c r="G33" s="261"/>
      <c r="H33" s="541"/>
      <c r="I33" s="545"/>
      <c r="J33" s="541"/>
      <c r="K33" s="543"/>
      <c r="L33" s="541">
        <v>0</v>
      </c>
      <c r="M33" s="543"/>
      <c r="N33" s="544"/>
      <c r="O33" s="545"/>
      <c r="P33" s="541">
        <v>0</v>
      </c>
      <c r="Q33" s="546"/>
      <c r="R33" s="541"/>
      <c r="S33" s="545"/>
      <c r="T33" s="541"/>
      <c r="U33" s="543"/>
      <c r="V33" s="544">
        <v>0</v>
      </c>
      <c r="W33" s="543"/>
      <c r="X33" s="544">
        <v>0</v>
      </c>
      <c r="Y33" s="545"/>
      <c r="Z33" s="547">
        <v>0</v>
      </c>
      <c r="AA33" s="275"/>
      <c r="AB33" s="270"/>
      <c r="AC33" s="273"/>
      <c r="AD33" s="270"/>
      <c r="AE33" s="271"/>
      <c r="AF33" s="270">
        <f t="shared" si="0"/>
        <v>0</v>
      </c>
      <c r="AG33" s="271"/>
      <c r="AH33" s="270"/>
      <c r="AI33" s="271"/>
      <c r="AJ33" s="274">
        <f t="shared" si="1"/>
        <v>0</v>
      </c>
    </row>
    <row r="34" spans="1:36" s="243" customFormat="1" ht="15" x14ac:dyDescent="0.25">
      <c r="A34" s="255"/>
      <c r="B34" s="256"/>
      <c r="C34" s="256" t="s">
        <v>852</v>
      </c>
      <c r="D34" s="256"/>
      <c r="E34" s="257"/>
      <c r="F34" s="255"/>
      <c r="G34" s="283"/>
      <c r="H34" s="545"/>
      <c r="I34" s="545"/>
      <c r="J34" s="545"/>
      <c r="K34" s="543"/>
      <c r="L34" s="545"/>
      <c r="M34" s="543"/>
      <c r="N34" s="552"/>
      <c r="O34" s="545"/>
      <c r="P34" s="541"/>
      <c r="Q34" s="546"/>
      <c r="R34" s="545"/>
      <c r="S34" s="545"/>
      <c r="T34" s="545"/>
      <c r="U34" s="543"/>
      <c r="V34" s="552"/>
      <c r="W34" s="543"/>
      <c r="X34" s="552"/>
      <c r="Y34" s="545"/>
      <c r="Z34" s="547"/>
      <c r="AA34" s="275"/>
      <c r="AB34" s="273"/>
      <c r="AC34" s="273"/>
      <c r="AD34" s="273"/>
      <c r="AE34" s="271"/>
      <c r="AF34" s="273">
        <f t="shared" si="0"/>
        <v>0</v>
      </c>
      <c r="AG34" s="271"/>
      <c r="AH34" s="273"/>
      <c r="AI34" s="271"/>
      <c r="AJ34" s="274">
        <f t="shared" si="1"/>
        <v>0</v>
      </c>
    </row>
    <row r="35" spans="1:36" s="243" customFormat="1" ht="15" x14ac:dyDescent="0.25">
      <c r="A35" s="255"/>
      <c r="B35" s="256"/>
      <c r="C35" s="256"/>
      <c r="D35" s="256" t="s">
        <v>853</v>
      </c>
      <c r="E35" s="257"/>
      <c r="F35" s="255"/>
      <c r="G35" s="261"/>
      <c r="H35" s="541">
        <v>0</v>
      </c>
      <c r="I35" s="545"/>
      <c r="J35" s="541">
        <v>0</v>
      </c>
      <c r="K35" s="543"/>
      <c r="L35" s="541">
        <f>H35-J35</f>
        <v>0</v>
      </c>
      <c r="M35" s="543"/>
      <c r="N35" s="544"/>
      <c r="O35" s="545"/>
      <c r="P35" s="541">
        <f>J35-N35</f>
        <v>0</v>
      </c>
      <c r="Q35" s="546"/>
      <c r="R35" s="541"/>
      <c r="S35" s="545"/>
      <c r="T35" s="541">
        <v>69139371</v>
      </c>
      <c r="U35" s="543"/>
      <c r="V35" s="544">
        <f>R35-T35</f>
        <v>-69139371</v>
      </c>
      <c r="W35" s="543"/>
      <c r="X35" s="544">
        <v>69139371</v>
      </c>
      <c r="Y35" s="545"/>
      <c r="Z35" s="547">
        <f>T35-X35</f>
        <v>0</v>
      </c>
      <c r="AA35" s="275"/>
      <c r="AB35" s="270"/>
      <c r="AC35" s="273"/>
      <c r="AD35" s="270"/>
      <c r="AE35" s="271"/>
      <c r="AF35" s="270">
        <f t="shared" si="0"/>
        <v>0</v>
      </c>
      <c r="AG35" s="271"/>
      <c r="AH35" s="284"/>
      <c r="AI35" s="271"/>
      <c r="AJ35" s="285">
        <f t="shared" si="1"/>
        <v>0</v>
      </c>
    </row>
    <row r="36" spans="1:36" s="243" customFormat="1" ht="15" x14ac:dyDescent="0.25">
      <c r="A36" s="255"/>
      <c r="B36" s="256"/>
      <c r="C36" s="256"/>
      <c r="D36" s="256" t="s">
        <v>854</v>
      </c>
      <c r="E36" s="257"/>
      <c r="F36" s="255"/>
      <c r="G36" s="261"/>
      <c r="H36" s="541">
        <v>0</v>
      </c>
      <c r="I36" s="542"/>
      <c r="J36" s="541">
        <v>15122372.490000002</v>
      </c>
      <c r="K36" s="543"/>
      <c r="L36" s="541">
        <f>H36-J36</f>
        <v>-15122372.490000002</v>
      </c>
      <c r="M36" s="543"/>
      <c r="N36" s="552">
        <v>15122372.489999998</v>
      </c>
      <c r="O36" s="545"/>
      <c r="P36" s="541">
        <f>J36-N36</f>
        <v>0</v>
      </c>
      <c r="Q36" s="546"/>
      <c r="R36" s="541">
        <v>3936955.6</v>
      </c>
      <c r="S36" s="542"/>
      <c r="T36" s="541">
        <v>5111182.07</v>
      </c>
      <c r="U36" s="543"/>
      <c r="V36" s="544">
        <f>R36-T36</f>
        <v>-1174226.4700000002</v>
      </c>
      <c r="W36" s="543"/>
      <c r="X36" s="552">
        <v>9681863.790000001</v>
      </c>
      <c r="Y36" s="545"/>
      <c r="Z36" s="547">
        <f>T36-X36</f>
        <v>-4570681.7200000007</v>
      </c>
      <c r="AA36" s="275"/>
      <c r="AB36" s="270"/>
      <c r="AC36" s="273"/>
      <c r="AD36" s="270"/>
      <c r="AE36" s="271"/>
      <c r="AF36" s="270">
        <f t="shared" si="0"/>
        <v>0</v>
      </c>
      <c r="AG36" s="271"/>
      <c r="AH36" s="284"/>
      <c r="AI36" s="271"/>
      <c r="AJ36" s="285">
        <f t="shared" si="1"/>
        <v>0</v>
      </c>
    </row>
    <row r="37" spans="1:36" s="243" customFormat="1" ht="15" x14ac:dyDescent="0.25">
      <c r="A37" s="255"/>
      <c r="B37" s="256"/>
      <c r="C37" s="256" t="s">
        <v>855</v>
      </c>
      <c r="D37" s="256"/>
      <c r="E37" s="257"/>
      <c r="F37" s="255"/>
      <c r="G37" s="261"/>
      <c r="H37" s="541"/>
      <c r="I37" s="545"/>
      <c r="J37" s="541"/>
      <c r="K37" s="543"/>
      <c r="L37" s="541">
        <v>0</v>
      </c>
      <c r="M37" s="543"/>
      <c r="N37" s="544"/>
      <c r="O37" s="545"/>
      <c r="P37" s="541">
        <f>J37-N37</f>
        <v>0</v>
      </c>
      <c r="Q37" s="546"/>
      <c r="R37" s="541"/>
      <c r="S37" s="545"/>
      <c r="T37" s="541"/>
      <c r="U37" s="543"/>
      <c r="V37" s="544">
        <v>0</v>
      </c>
      <c r="W37" s="543"/>
      <c r="X37" s="544">
        <v>0</v>
      </c>
      <c r="Y37" s="545"/>
      <c r="Z37" s="547">
        <f>T37-X37</f>
        <v>0</v>
      </c>
      <c r="AA37" s="275"/>
      <c r="AB37" s="270"/>
      <c r="AC37" s="273"/>
      <c r="AD37" s="270">
        <v>11696870.129999999</v>
      </c>
      <c r="AE37" s="271"/>
      <c r="AF37" s="270">
        <f t="shared" si="0"/>
        <v>-11696870.129999999</v>
      </c>
      <c r="AG37" s="271"/>
      <c r="AH37" s="270">
        <v>12932883.960000001</v>
      </c>
      <c r="AI37" s="271"/>
      <c r="AJ37" s="274">
        <f t="shared" si="1"/>
        <v>-1236013.8300000019</v>
      </c>
    </row>
    <row r="38" spans="1:36" s="243" customFormat="1" ht="15" x14ac:dyDescent="0.25">
      <c r="A38" s="255"/>
      <c r="B38" s="256"/>
      <c r="C38" s="256" t="s">
        <v>856</v>
      </c>
      <c r="D38" s="256"/>
      <c r="E38" s="257"/>
      <c r="F38" s="255"/>
      <c r="G38" s="283"/>
      <c r="H38" s="545"/>
      <c r="I38" s="545"/>
      <c r="J38" s="545"/>
      <c r="K38" s="543"/>
      <c r="L38" s="545"/>
      <c r="M38" s="543"/>
      <c r="N38" s="552"/>
      <c r="O38" s="545"/>
      <c r="P38" s="541">
        <v>0</v>
      </c>
      <c r="Q38" s="546"/>
      <c r="R38" s="545"/>
      <c r="S38" s="545"/>
      <c r="T38" s="545"/>
      <c r="U38" s="543"/>
      <c r="V38" s="552"/>
      <c r="W38" s="543"/>
      <c r="X38" s="552"/>
      <c r="Y38" s="545"/>
      <c r="Z38" s="547">
        <v>0</v>
      </c>
      <c r="AA38" s="275"/>
      <c r="AB38" s="273"/>
      <c r="AC38" s="273"/>
      <c r="AD38" s="273"/>
      <c r="AE38" s="271"/>
      <c r="AF38" s="273">
        <f t="shared" si="0"/>
        <v>0</v>
      </c>
      <c r="AG38" s="271"/>
      <c r="AH38" s="273"/>
      <c r="AI38" s="271"/>
      <c r="AJ38" s="274">
        <f t="shared" si="1"/>
        <v>0</v>
      </c>
    </row>
    <row r="39" spans="1:36" s="243" customFormat="1" ht="15" x14ac:dyDescent="0.25">
      <c r="A39" s="255"/>
      <c r="B39" s="256"/>
      <c r="C39" s="256"/>
      <c r="D39" s="256" t="s">
        <v>857</v>
      </c>
      <c r="E39" s="257"/>
      <c r="F39" s="255"/>
      <c r="G39" s="261"/>
      <c r="H39" s="541">
        <v>0</v>
      </c>
      <c r="I39" s="545"/>
      <c r="J39" s="541">
        <v>0</v>
      </c>
      <c r="K39" s="543"/>
      <c r="L39" s="541">
        <v>0</v>
      </c>
      <c r="M39" s="543"/>
      <c r="N39" s="544"/>
      <c r="O39" s="545"/>
      <c r="P39" s="541">
        <v>0</v>
      </c>
      <c r="Q39" s="546"/>
      <c r="R39" s="541">
        <v>0</v>
      </c>
      <c r="S39" s="545"/>
      <c r="T39" s="541">
        <v>0</v>
      </c>
      <c r="U39" s="543"/>
      <c r="V39" s="544">
        <v>0</v>
      </c>
      <c r="W39" s="543"/>
      <c r="X39" s="544">
        <v>0</v>
      </c>
      <c r="Y39" s="545"/>
      <c r="Z39" s="547">
        <v>0</v>
      </c>
      <c r="AA39" s="275"/>
      <c r="AB39" s="270"/>
      <c r="AC39" s="273"/>
      <c r="AD39" s="270"/>
      <c r="AE39" s="271"/>
      <c r="AF39" s="270">
        <f t="shared" si="0"/>
        <v>0</v>
      </c>
      <c r="AG39" s="271"/>
      <c r="AH39" s="270"/>
      <c r="AI39" s="271"/>
      <c r="AJ39" s="274">
        <f t="shared" si="1"/>
        <v>0</v>
      </c>
    </row>
    <row r="40" spans="1:36" s="243" customFormat="1" ht="15" x14ac:dyDescent="0.25">
      <c r="A40" s="255"/>
      <c r="B40" s="256"/>
      <c r="C40" s="256"/>
      <c r="D40" s="256" t="s">
        <v>858</v>
      </c>
      <c r="E40" s="257"/>
      <c r="F40" s="255"/>
      <c r="G40" s="261"/>
      <c r="H40" s="541">
        <v>0</v>
      </c>
      <c r="I40" s="545"/>
      <c r="J40" s="541">
        <v>0</v>
      </c>
      <c r="K40" s="543"/>
      <c r="L40" s="541">
        <v>0</v>
      </c>
      <c r="M40" s="543"/>
      <c r="N40" s="544"/>
      <c r="O40" s="545"/>
      <c r="P40" s="541">
        <v>0</v>
      </c>
      <c r="Q40" s="546"/>
      <c r="R40" s="541">
        <v>0</v>
      </c>
      <c r="S40" s="545"/>
      <c r="T40" s="541">
        <v>0</v>
      </c>
      <c r="U40" s="543"/>
      <c r="V40" s="544">
        <v>0</v>
      </c>
      <c r="W40" s="543"/>
      <c r="X40" s="544">
        <v>0</v>
      </c>
      <c r="Y40" s="545"/>
      <c r="Z40" s="547">
        <v>0</v>
      </c>
      <c r="AA40" s="275"/>
      <c r="AB40" s="270"/>
      <c r="AC40" s="273"/>
      <c r="AD40" s="270"/>
      <c r="AE40" s="271"/>
      <c r="AF40" s="270">
        <f t="shared" si="0"/>
        <v>0</v>
      </c>
      <c r="AG40" s="271"/>
      <c r="AH40" s="270"/>
      <c r="AI40" s="271"/>
      <c r="AJ40" s="274">
        <f t="shared" si="1"/>
        <v>0</v>
      </c>
    </row>
    <row r="41" spans="1:36" s="243" customFormat="1" ht="15" x14ac:dyDescent="0.25">
      <c r="A41" s="255"/>
      <c r="B41" s="256"/>
      <c r="C41" s="256"/>
      <c r="D41" s="256" t="s">
        <v>859</v>
      </c>
      <c r="E41" s="257"/>
      <c r="F41" s="255"/>
      <c r="G41" s="261"/>
      <c r="H41" s="541">
        <v>0</v>
      </c>
      <c r="I41" s="545"/>
      <c r="J41" s="541"/>
      <c r="K41" s="543"/>
      <c r="L41" s="541">
        <v>0</v>
      </c>
      <c r="M41" s="543"/>
      <c r="N41" s="544">
        <v>549735</v>
      </c>
      <c r="O41" s="545"/>
      <c r="P41" s="541">
        <v>0</v>
      </c>
      <c r="Q41" s="546"/>
      <c r="R41" s="541">
        <v>0</v>
      </c>
      <c r="S41" s="545"/>
      <c r="T41" s="541"/>
      <c r="U41" s="543"/>
      <c r="V41" s="544">
        <v>0</v>
      </c>
      <c r="W41" s="543"/>
      <c r="X41" s="544">
        <v>0</v>
      </c>
      <c r="Y41" s="545"/>
      <c r="Z41" s="547">
        <v>0</v>
      </c>
      <c r="AA41" s="275"/>
      <c r="AB41" s="270"/>
      <c r="AC41" s="273"/>
      <c r="AD41" s="270"/>
      <c r="AE41" s="271"/>
      <c r="AF41" s="270">
        <f t="shared" si="0"/>
        <v>0</v>
      </c>
      <c r="AG41" s="271"/>
      <c r="AH41" s="270"/>
      <c r="AI41" s="271"/>
      <c r="AJ41" s="274">
        <f t="shared" si="1"/>
        <v>0</v>
      </c>
    </row>
    <row r="42" spans="1:36" s="243" customFormat="1" ht="15" x14ac:dyDescent="0.25">
      <c r="A42" s="255"/>
      <c r="B42" s="256" t="s">
        <v>860</v>
      </c>
      <c r="C42" s="256"/>
      <c r="D42" s="256"/>
      <c r="E42" s="257"/>
      <c r="F42" s="255"/>
      <c r="G42" s="261"/>
      <c r="H42" s="541"/>
      <c r="I42" s="545"/>
      <c r="J42" s="541">
        <v>600000000</v>
      </c>
      <c r="K42" s="543"/>
      <c r="L42" s="541">
        <v>0</v>
      </c>
      <c r="M42" s="543"/>
      <c r="N42" s="544">
        <v>9564783</v>
      </c>
      <c r="O42" s="545"/>
      <c r="P42" s="541">
        <f>J42-N42</f>
        <v>590435217</v>
      </c>
      <c r="Q42" s="546"/>
      <c r="R42" s="541"/>
      <c r="S42" s="545"/>
      <c r="T42" s="541"/>
      <c r="U42" s="543"/>
      <c r="V42" s="544">
        <v>0</v>
      </c>
      <c r="W42" s="543"/>
      <c r="X42" s="544">
        <v>109938877.03</v>
      </c>
      <c r="Y42" s="545"/>
      <c r="Z42" s="547">
        <f>T42-X42</f>
        <v>-109938877.03</v>
      </c>
      <c r="AA42" s="275"/>
      <c r="AB42" s="270"/>
      <c r="AC42" s="273"/>
      <c r="AD42" s="272"/>
      <c r="AE42" s="271"/>
      <c r="AF42" s="270">
        <f t="shared" si="0"/>
        <v>0</v>
      </c>
      <c r="AG42" s="271"/>
      <c r="AH42" s="270">
        <v>94028150</v>
      </c>
      <c r="AI42" s="271"/>
      <c r="AJ42" s="274">
        <f t="shared" si="1"/>
        <v>-94028150</v>
      </c>
    </row>
    <row r="43" spans="1:36" s="243" customFormat="1" ht="15" x14ac:dyDescent="0.25">
      <c r="A43" s="247" t="s">
        <v>861</v>
      </c>
      <c r="B43" s="256"/>
      <c r="C43" s="256"/>
      <c r="D43" s="256"/>
      <c r="E43" s="257"/>
      <c r="F43" s="255"/>
      <c r="G43" s="261"/>
      <c r="H43" s="553">
        <f>H28+H26+H24+H19+H36</f>
        <v>1656222517.21</v>
      </c>
      <c r="I43" s="545"/>
      <c r="J43" s="553">
        <f>J36+J35+J26+J24+J19</f>
        <v>1858167145.8600001</v>
      </c>
      <c r="K43" s="543"/>
      <c r="L43" s="553">
        <f>L36+L26+L24+L28+L35</f>
        <v>-202644628.65000004</v>
      </c>
      <c r="M43" s="543"/>
      <c r="N43" s="554">
        <f>N42+N37+N29+N28+N26+N24+N191+N19+N35+N36+N32+N30</f>
        <v>1672194883.74</v>
      </c>
      <c r="O43" s="541">
        <f>O42+O37+O30+O28+O26+O24+O191+O19</f>
        <v>0</v>
      </c>
      <c r="P43" s="553">
        <f>P19+P24+P28+P29+P37+P42+P36+P32+P30</f>
        <v>786672262.12000012</v>
      </c>
      <c r="Q43" s="546"/>
      <c r="R43" s="553">
        <f>R28+R26+R24+R19+R36</f>
        <v>1071404810.5400001</v>
      </c>
      <c r="S43" s="545"/>
      <c r="T43" s="553">
        <f>T36+T35+T26+T24+T19</f>
        <v>1649845157.6099999</v>
      </c>
      <c r="U43" s="543"/>
      <c r="V43" s="554">
        <f>V36+V26+V24+V28+V35</f>
        <v>-578440347.07000005</v>
      </c>
      <c r="W43" s="543"/>
      <c r="X43" s="554">
        <f>X42+X37+X29+X28+X26+X24+X191+X19+X35+X36+X32+X30</f>
        <v>1356109158.8399999</v>
      </c>
      <c r="Y43" s="553">
        <f>Y42+Y37+Y30+Y28+Y26+Y24+Y191+Y19</f>
        <v>0</v>
      </c>
      <c r="Z43" s="555">
        <f>Z19+Z24+Z28+Z29+Z37+Z42+Z36+Z32+Z30</f>
        <v>293735998.76999998</v>
      </c>
      <c r="AA43" s="275"/>
      <c r="AB43" s="286">
        <f>AB19+AB24+AB26+AB28+AB27+AB34+AB37+AB38+AB42</f>
        <v>1038977912.5799999</v>
      </c>
      <c r="AC43" s="273"/>
      <c r="AD43" s="287">
        <f>AD19+AD24+AD26+AD27+AD28+AD34+AD37+AD38+AD42</f>
        <v>1302714000.5900002</v>
      </c>
      <c r="AE43" s="271"/>
      <c r="AF43" s="287">
        <f>AF19+AF24+AF26+AF27+AF29+AF34+AF37+AF38+AF42</f>
        <v>-263736088.00999999</v>
      </c>
      <c r="AG43" s="273"/>
      <c r="AH43" s="286">
        <f>AH19+AH24+AH26+AH27+AH29+AH28+AH37+AH42</f>
        <v>1214089561.0999997</v>
      </c>
      <c r="AI43" s="271"/>
      <c r="AJ43" s="288">
        <f>AJ19+AJ24+AJ26+AJ27+AJ29+AJ34+AJ37+AJ38+AJ42+AJ28</f>
        <v>88624439.490000024</v>
      </c>
    </row>
    <row r="44" spans="1:36" s="243" customFormat="1" ht="15" x14ac:dyDescent="0.25">
      <c r="A44" s="247" t="s">
        <v>862</v>
      </c>
      <c r="B44" s="256"/>
      <c r="C44" s="256"/>
      <c r="D44" s="256"/>
      <c r="E44" s="257"/>
      <c r="F44" s="255"/>
      <c r="G44" s="261"/>
      <c r="H44" s="541"/>
      <c r="I44" s="545"/>
      <c r="J44" s="541"/>
      <c r="K44" s="543"/>
      <c r="L44" s="541">
        <f>H44-J44</f>
        <v>0</v>
      </c>
      <c r="M44" s="543"/>
      <c r="N44" s="544"/>
      <c r="O44" s="545"/>
      <c r="P44" s="541">
        <f>J44-N44</f>
        <v>0</v>
      </c>
      <c r="Q44" s="546"/>
      <c r="R44" s="541">
        <v>568154517.16999996</v>
      </c>
      <c r="S44" s="545"/>
      <c r="T44" s="541">
        <v>432092066.07999998</v>
      </c>
      <c r="U44" s="543"/>
      <c r="V44" s="544">
        <f>R44-T44</f>
        <v>136062451.08999997</v>
      </c>
      <c r="W44" s="543"/>
      <c r="X44" s="544">
        <v>432092066.07999998</v>
      </c>
      <c r="Y44" s="545"/>
      <c r="Z44" s="547">
        <f>T44-X44</f>
        <v>0</v>
      </c>
      <c r="AA44" s="275"/>
      <c r="AB44" s="270">
        <v>479118278.67000002</v>
      </c>
      <c r="AC44" s="273"/>
      <c r="AD44" s="270">
        <v>479118278.67000002</v>
      </c>
      <c r="AE44" s="273"/>
      <c r="AF44" s="270">
        <v>0</v>
      </c>
      <c r="AG44" s="273"/>
      <c r="AH44" s="270">
        <v>479118278.67000002</v>
      </c>
      <c r="AI44" s="273"/>
      <c r="AJ44" s="274">
        <v>0</v>
      </c>
    </row>
    <row r="45" spans="1:36" s="243" customFormat="1" ht="15" x14ac:dyDescent="0.25">
      <c r="A45" s="247" t="s">
        <v>863</v>
      </c>
      <c r="B45" s="256"/>
      <c r="C45" s="256"/>
      <c r="D45" s="256"/>
      <c r="E45" s="257"/>
      <c r="F45" s="255"/>
      <c r="G45" s="261"/>
      <c r="H45" s="553">
        <f>H43+H44</f>
        <v>1656222517.21</v>
      </c>
      <c r="I45" s="545"/>
      <c r="J45" s="553">
        <f>J43+J44</f>
        <v>1858167145.8600001</v>
      </c>
      <c r="K45" s="543"/>
      <c r="L45" s="553">
        <f>L43+L44</f>
        <v>-202644628.65000004</v>
      </c>
      <c r="M45" s="543"/>
      <c r="N45" s="554">
        <f>N43+N44</f>
        <v>1672194883.74</v>
      </c>
      <c r="O45" s="545"/>
      <c r="P45" s="553">
        <f>P43+P44</f>
        <v>786672262.12000012</v>
      </c>
      <c r="Q45" s="546"/>
      <c r="R45" s="553">
        <f>R43+R44</f>
        <v>1639559327.71</v>
      </c>
      <c r="S45" s="545"/>
      <c r="T45" s="553">
        <f>T43+T44</f>
        <v>2081937223.6899998</v>
      </c>
      <c r="U45" s="543"/>
      <c r="V45" s="554">
        <f>V43+V44</f>
        <v>-442377895.98000008</v>
      </c>
      <c r="W45" s="543"/>
      <c r="X45" s="554">
        <f>X43+X44</f>
        <v>1788201224.9199998</v>
      </c>
      <c r="Y45" s="545"/>
      <c r="Z45" s="555">
        <f>Z43+Z44</f>
        <v>293735998.76999998</v>
      </c>
      <c r="AA45" s="275"/>
      <c r="AB45" s="286">
        <f>AB43+AB44</f>
        <v>1518096191.25</v>
      </c>
      <c r="AC45" s="273"/>
      <c r="AD45" s="286">
        <f>AD43+AD44</f>
        <v>1781832279.2600002</v>
      </c>
      <c r="AE45" s="273"/>
      <c r="AF45" s="286">
        <f>AF43+AF44</f>
        <v>-263736088.00999999</v>
      </c>
      <c r="AG45" s="273"/>
      <c r="AH45" s="286">
        <f>AH43+AH44</f>
        <v>1693207839.7699997</v>
      </c>
      <c r="AI45" s="273"/>
      <c r="AJ45" s="288">
        <f>AJ43+AJ44</f>
        <v>88624439.490000024</v>
      </c>
    </row>
    <row r="46" spans="1:36" s="243" customFormat="1" ht="15" x14ac:dyDescent="0.25">
      <c r="A46" s="247" t="s">
        <v>864</v>
      </c>
      <c r="B46" s="256"/>
      <c r="C46" s="256"/>
      <c r="D46" s="256"/>
      <c r="E46" s="257"/>
      <c r="F46" s="255"/>
      <c r="G46" s="261"/>
      <c r="H46" s="545"/>
      <c r="I46" s="545"/>
      <c r="J46" s="545"/>
      <c r="K46" s="543"/>
      <c r="L46" s="545"/>
      <c r="M46" s="543"/>
      <c r="N46" s="552"/>
      <c r="O46" s="545"/>
      <c r="P46" s="545"/>
      <c r="Q46" s="546"/>
      <c r="R46" s="545"/>
      <c r="S46" s="545"/>
      <c r="T46" s="545"/>
      <c r="U46" s="543"/>
      <c r="V46" s="552"/>
      <c r="W46" s="543"/>
      <c r="X46" s="552"/>
      <c r="Y46" s="545"/>
      <c r="Z46" s="546"/>
      <c r="AA46" s="275"/>
      <c r="AB46" s="273"/>
      <c r="AC46" s="273"/>
      <c r="AD46" s="280"/>
      <c r="AE46" s="271"/>
      <c r="AF46" s="280"/>
      <c r="AG46" s="273"/>
      <c r="AH46" s="273"/>
      <c r="AI46" s="271"/>
      <c r="AJ46" s="281"/>
    </row>
    <row r="47" spans="1:36" s="243" customFormat="1" ht="15" x14ac:dyDescent="0.25">
      <c r="A47" s="247" t="s">
        <v>865</v>
      </c>
      <c r="B47" s="256"/>
      <c r="C47" s="256"/>
      <c r="D47" s="256"/>
      <c r="E47" s="257"/>
      <c r="F47" s="255"/>
      <c r="G47" s="261"/>
      <c r="H47" s="545"/>
      <c r="I47" s="545"/>
      <c r="J47" s="545"/>
      <c r="K47" s="543"/>
      <c r="L47" s="545"/>
      <c r="M47" s="543"/>
      <c r="N47" s="552"/>
      <c r="O47" s="545"/>
      <c r="P47" s="545"/>
      <c r="Q47" s="546"/>
      <c r="R47" s="545"/>
      <c r="S47" s="545"/>
      <c r="T47" s="545"/>
      <c r="U47" s="543"/>
      <c r="V47" s="552"/>
      <c r="W47" s="543"/>
      <c r="X47" s="552"/>
      <c r="Y47" s="545"/>
      <c r="Z47" s="546"/>
      <c r="AA47" s="275"/>
      <c r="AB47" s="273"/>
      <c r="AC47" s="273"/>
      <c r="AD47" s="280"/>
      <c r="AE47" s="271"/>
      <c r="AF47" s="280"/>
      <c r="AG47" s="273"/>
      <c r="AH47" s="273"/>
      <c r="AI47" s="271"/>
      <c r="AJ47" s="281"/>
    </row>
    <row r="48" spans="1:36" s="243" customFormat="1" ht="15" x14ac:dyDescent="0.25">
      <c r="A48" s="255"/>
      <c r="B48" s="269" t="s">
        <v>866</v>
      </c>
      <c r="C48" s="256"/>
      <c r="D48" s="256"/>
      <c r="E48" s="257"/>
      <c r="F48" s="255"/>
      <c r="G48" s="261"/>
      <c r="H48" s="545"/>
      <c r="I48" s="545"/>
      <c r="J48" s="545"/>
      <c r="K48" s="543"/>
      <c r="L48" s="545"/>
      <c r="M48" s="543"/>
      <c r="N48" s="552"/>
      <c r="O48" s="545"/>
      <c r="P48" s="545"/>
      <c r="Q48" s="546"/>
      <c r="R48" s="545"/>
      <c r="S48" s="545"/>
      <c r="T48" s="545"/>
      <c r="U48" s="543"/>
      <c r="V48" s="552"/>
      <c r="W48" s="543"/>
      <c r="X48" s="552"/>
      <c r="Y48" s="545"/>
      <c r="Z48" s="546"/>
      <c r="AA48" s="275"/>
      <c r="AB48" s="273"/>
      <c r="AC48" s="273"/>
      <c r="AD48" s="280"/>
      <c r="AE48" s="271"/>
      <c r="AF48" s="280"/>
      <c r="AG48" s="273"/>
      <c r="AH48" s="273"/>
      <c r="AI48" s="271"/>
      <c r="AJ48" s="281"/>
    </row>
    <row r="49" spans="1:36" s="243" customFormat="1" ht="15" x14ac:dyDescent="0.25">
      <c r="A49" s="255"/>
      <c r="B49" s="269"/>
      <c r="C49" s="256" t="s">
        <v>867</v>
      </c>
      <c r="D49" s="256"/>
      <c r="E49" s="257"/>
      <c r="F49" s="255"/>
      <c r="G49" s="261"/>
      <c r="H49" s="542">
        <v>274852405.19999999</v>
      </c>
      <c r="I49" s="542"/>
      <c r="J49" s="542">
        <v>271983899</v>
      </c>
      <c r="K49" s="543"/>
      <c r="L49" s="541">
        <f t="shared" ref="L49:L51" si="2">H49-J49</f>
        <v>2868506.1999999881</v>
      </c>
      <c r="M49" s="543"/>
      <c r="N49" s="544">
        <v>239243955.87000003</v>
      </c>
      <c r="O49" s="545"/>
      <c r="P49" s="541">
        <f>J49-N49</f>
        <v>32739943.129999965</v>
      </c>
      <c r="Q49" s="546"/>
      <c r="R49" s="542">
        <v>245157495.28000003</v>
      </c>
      <c r="S49" s="542"/>
      <c r="T49" s="542">
        <v>242239259.60000002</v>
      </c>
      <c r="U49" s="543"/>
      <c r="V49" s="544">
        <f t="shared" ref="V49:V59" si="3">R49-T49</f>
        <v>2918235.6800000072</v>
      </c>
      <c r="W49" s="543"/>
      <c r="X49" s="544">
        <v>204640001.96000001</v>
      </c>
      <c r="Y49" s="545"/>
      <c r="Z49" s="547">
        <f>T49-X49</f>
        <v>37599257.640000015</v>
      </c>
      <c r="AA49" s="275"/>
      <c r="AB49" s="270">
        <v>207738727.63999999</v>
      </c>
      <c r="AC49" s="270"/>
      <c r="AD49" s="272">
        <v>223160414.66999999</v>
      </c>
      <c r="AE49" s="271"/>
      <c r="AF49" s="272">
        <f>AB49-AD49</f>
        <v>-15421687.030000001</v>
      </c>
      <c r="AG49" s="273"/>
      <c r="AH49" s="270">
        <v>197039098.71000001</v>
      </c>
      <c r="AI49" s="271"/>
      <c r="AJ49" s="274">
        <f>AD49-AH49</f>
        <v>26121315.959999979</v>
      </c>
    </row>
    <row r="50" spans="1:36" s="243" customFormat="1" ht="15" x14ac:dyDescent="0.25">
      <c r="A50" s="255"/>
      <c r="B50" s="269"/>
      <c r="C50" s="256" t="s">
        <v>868</v>
      </c>
      <c r="D50" s="256"/>
      <c r="E50" s="257"/>
      <c r="F50" s="255"/>
      <c r="G50" s="261"/>
      <c r="H50" s="542">
        <v>244717106.79999998</v>
      </c>
      <c r="I50" s="542"/>
      <c r="J50" s="542">
        <v>254311940.01000002</v>
      </c>
      <c r="K50" s="543"/>
      <c r="L50" s="541">
        <f t="shared" si="2"/>
        <v>-9594833.2100000381</v>
      </c>
      <c r="M50" s="543"/>
      <c r="N50" s="544">
        <v>234211268.22999999</v>
      </c>
      <c r="O50" s="545"/>
      <c r="P50" s="541">
        <f t="shared" ref="P50:P51" si="4">J50-N50</f>
        <v>20100671.780000031</v>
      </c>
      <c r="Q50" s="546"/>
      <c r="R50" s="542">
        <v>215077654.75999996</v>
      </c>
      <c r="S50" s="542"/>
      <c r="T50" s="542">
        <v>277087647.99999994</v>
      </c>
      <c r="U50" s="543"/>
      <c r="V50" s="544">
        <f t="shared" si="3"/>
        <v>-62009993.23999998</v>
      </c>
      <c r="W50" s="543"/>
      <c r="X50" s="544">
        <v>265611902.5</v>
      </c>
      <c r="Y50" s="545"/>
      <c r="Z50" s="547">
        <f t="shared" ref="Z50:Z59" si="5">T50-X50</f>
        <v>11475745.49999994</v>
      </c>
      <c r="AA50" s="275"/>
      <c r="AB50" s="270">
        <v>175318490.03</v>
      </c>
      <c r="AC50" s="270"/>
      <c r="AD50" s="272">
        <v>208836494.93000001</v>
      </c>
      <c r="AE50" s="271"/>
      <c r="AF50" s="272">
        <f t="shared" ref="AF50:AF99" si="6">AB50-AD50</f>
        <v>-33518004.900000006</v>
      </c>
      <c r="AG50" s="273"/>
      <c r="AH50" s="270">
        <v>193741274.16</v>
      </c>
      <c r="AI50" s="271"/>
      <c r="AJ50" s="274">
        <f t="shared" ref="AJ50:AJ99" si="7">AD50-AH50</f>
        <v>15095220.770000011</v>
      </c>
    </row>
    <row r="51" spans="1:36" s="243" customFormat="1" ht="15" x14ac:dyDescent="0.25">
      <c r="A51" s="255"/>
      <c r="B51" s="269"/>
      <c r="C51" s="256" t="s">
        <v>869</v>
      </c>
      <c r="D51" s="256"/>
      <c r="E51" s="257"/>
      <c r="F51" s="255"/>
      <c r="G51" s="261"/>
      <c r="H51" s="542">
        <v>9446000</v>
      </c>
      <c r="I51" s="542"/>
      <c r="J51" s="542">
        <v>76131000</v>
      </c>
      <c r="K51" s="543"/>
      <c r="L51" s="541">
        <f t="shared" si="2"/>
        <v>-66685000</v>
      </c>
      <c r="M51" s="543"/>
      <c r="N51" s="544">
        <v>14473179.380000001</v>
      </c>
      <c r="O51" s="545"/>
      <c r="P51" s="541">
        <f t="shared" si="4"/>
        <v>61657820.619999997</v>
      </c>
      <c r="Q51" s="546"/>
      <c r="R51" s="542">
        <v>2273000</v>
      </c>
      <c r="S51" s="542"/>
      <c r="T51" s="542">
        <v>59216215</v>
      </c>
      <c r="U51" s="543"/>
      <c r="V51" s="544">
        <f t="shared" si="3"/>
        <v>-56943215</v>
      </c>
      <c r="W51" s="543"/>
      <c r="X51" s="544">
        <v>13340459.449999999</v>
      </c>
      <c r="Y51" s="545"/>
      <c r="Z51" s="547">
        <f t="shared" si="5"/>
        <v>45875755.549999997</v>
      </c>
      <c r="AA51" s="275"/>
      <c r="AB51" s="270">
        <v>11207420</v>
      </c>
      <c r="AC51" s="270"/>
      <c r="AD51" s="272">
        <v>18734582.600000001</v>
      </c>
      <c r="AE51" s="271"/>
      <c r="AF51" s="272">
        <f t="shared" si="6"/>
        <v>-7527162.6000000015</v>
      </c>
      <c r="AG51" s="273"/>
      <c r="AH51" s="270">
        <v>12427984.580000002</v>
      </c>
      <c r="AI51" s="271"/>
      <c r="AJ51" s="274">
        <f t="shared" si="7"/>
        <v>6306598.0199999996</v>
      </c>
    </row>
    <row r="52" spans="1:36" s="243" customFormat="1" ht="15" hidden="1" x14ac:dyDescent="0.25">
      <c r="A52" s="255"/>
      <c r="B52" s="269" t="s">
        <v>870</v>
      </c>
      <c r="C52" s="269"/>
      <c r="D52" s="256"/>
      <c r="E52" s="257"/>
      <c r="F52" s="255"/>
      <c r="G52" s="261"/>
      <c r="H52" s="541"/>
      <c r="I52" s="541"/>
      <c r="J52" s="541"/>
      <c r="K52" s="543"/>
      <c r="L52" s="541"/>
      <c r="M52" s="543"/>
      <c r="N52" s="544"/>
      <c r="O52" s="545"/>
      <c r="P52" s="545"/>
      <c r="Q52" s="546"/>
      <c r="R52" s="541"/>
      <c r="S52" s="541"/>
      <c r="T52" s="541"/>
      <c r="U52" s="543"/>
      <c r="V52" s="544"/>
      <c r="W52" s="543"/>
      <c r="X52" s="544"/>
      <c r="Y52" s="545"/>
      <c r="Z52" s="546"/>
      <c r="AA52" s="275"/>
      <c r="AB52" s="270"/>
      <c r="AC52" s="270"/>
      <c r="AD52" s="272"/>
      <c r="AE52" s="271"/>
      <c r="AF52" s="272">
        <f t="shared" si="6"/>
        <v>0</v>
      </c>
      <c r="AG52" s="273"/>
      <c r="AH52" s="270"/>
      <c r="AI52" s="271"/>
      <c r="AJ52" s="281"/>
    </row>
    <row r="53" spans="1:36" s="243" customFormat="1" ht="15" hidden="1" x14ac:dyDescent="0.25">
      <c r="A53" s="255"/>
      <c r="B53" s="256"/>
      <c r="C53" s="256" t="s">
        <v>867</v>
      </c>
      <c r="D53" s="256"/>
      <c r="E53" s="257"/>
      <c r="F53" s="255"/>
      <c r="G53" s="261"/>
      <c r="H53" s="541"/>
      <c r="I53" s="541"/>
      <c r="J53" s="541"/>
      <c r="K53" s="543"/>
      <c r="L53" s="541">
        <f t="shared" ref="L53:L55" si="8">H53-J53</f>
        <v>0</v>
      </c>
      <c r="M53" s="543"/>
      <c r="N53" s="544"/>
      <c r="O53" s="545"/>
      <c r="P53" s="541">
        <f t="shared" ref="P53:P55" si="9">J53-N53</f>
        <v>0</v>
      </c>
      <c r="Q53" s="546"/>
      <c r="R53" s="541"/>
      <c r="S53" s="541"/>
      <c r="T53" s="541"/>
      <c r="U53" s="543"/>
      <c r="V53" s="544">
        <f t="shared" si="3"/>
        <v>0</v>
      </c>
      <c r="W53" s="543"/>
      <c r="X53" s="544"/>
      <c r="Y53" s="545"/>
      <c r="Z53" s="547">
        <f t="shared" si="5"/>
        <v>0</v>
      </c>
      <c r="AA53" s="275"/>
      <c r="AB53" s="289"/>
      <c r="AC53" s="290"/>
      <c r="AD53" s="291"/>
      <c r="AE53" s="271"/>
      <c r="AF53" s="272">
        <f t="shared" si="6"/>
        <v>0</v>
      </c>
      <c r="AG53" s="273"/>
      <c r="AH53" s="270"/>
      <c r="AI53" s="271"/>
      <c r="AJ53" s="274">
        <f t="shared" si="7"/>
        <v>0</v>
      </c>
    </row>
    <row r="54" spans="1:36" s="243" customFormat="1" ht="15" hidden="1" x14ac:dyDescent="0.25">
      <c r="A54" s="255"/>
      <c r="B54" s="256"/>
      <c r="C54" s="256" t="s">
        <v>868</v>
      </c>
      <c r="D54" s="256"/>
      <c r="E54" s="257"/>
      <c r="F54" s="255"/>
      <c r="G54" s="261"/>
      <c r="H54" s="541"/>
      <c r="I54" s="541"/>
      <c r="J54" s="541"/>
      <c r="K54" s="543"/>
      <c r="L54" s="541">
        <f t="shared" si="8"/>
        <v>0</v>
      </c>
      <c r="M54" s="543"/>
      <c r="N54" s="544"/>
      <c r="O54" s="545"/>
      <c r="P54" s="541">
        <f t="shared" si="9"/>
        <v>0</v>
      </c>
      <c r="Q54" s="546"/>
      <c r="R54" s="541"/>
      <c r="S54" s="541"/>
      <c r="T54" s="541"/>
      <c r="U54" s="543"/>
      <c r="V54" s="544">
        <f t="shared" si="3"/>
        <v>0</v>
      </c>
      <c r="W54" s="543"/>
      <c r="X54" s="544"/>
      <c r="Y54" s="545"/>
      <c r="Z54" s="547">
        <f t="shared" si="5"/>
        <v>0</v>
      </c>
      <c r="AA54" s="275"/>
      <c r="AB54" s="289"/>
      <c r="AC54" s="290"/>
      <c r="AD54" s="289"/>
      <c r="AE54" s="271"/>
      <c r="AF54" s="272">
        <f t="shared" si="6"/>
        <v>0</v>
      </c>
      <c r="AG54" s="273"/>
      <c r="AH54" s="270"/>
      <c r="AI54" s="271"/>
      <c r="AJ54" s="274">
        <f t="shared" si="7"/>
        <v>0</v>
      </c>
    </row>
    <row r="55" spans="1:36" s="243" customFormat="1" ht="15" hidden="1" x14ac:dyDescent="0.25">
      <c r="A55" s="255"/>
      <c r="B55" s="256"/>
      <c r="C55" s="256" t="s">
        <v>869</v>
      </c>
      <c r="D55" s="256"/>
      <c r="E55" s="257"/>
      <c r="F55" s="255"/>
      <c r="G55" s="261"/>
      <c r="H55" s="541"/>
      <c r="I55" s="541"/>
      <c r="J55" s="541"/>
      <c r="K55" s="543"/>
      <c r="L55" s="541">
        <f t="shared" si="8"/>
        <v>0</v>
      </c>
      <c r="M55" s="543"/>
      <c r="N55" s="544"/>
      <c r="O55" s="545"/>
      <c r="P55" s="541">
        <f t="shared" si="9"/>
        <v>0</v>
      </c>
      <c r="Q55" s="546"/>
      <c r="R55" s="541"/>
      <c r="S55" s="541"/>
      <c r="T55" s="541"/>
      <c r="U55" s="543"/>
      <c r="V55" s="544">
        <f t="shared" si="3"/>
        <v>0</v>
      </c>
      <c r="W55" s="543"/>
      <c r="X55" s="544"/>
      <c r="Y55" s="545"/>
      <c r="Z55" s="547">
        <f t="shared" si="5"/>
        <v>0</v>
      </c>
      <c r="AA55" s="275"/>
      <c r="AB55" s="289"/>
      <c r="AC55" s="290"/>
      <c r="AD55" s="289"/>
      <c r="AE55" s="271"/>
      <c r="AF55" s="272">
        <f t="shared" si="6"/>
        <v>0</v>
      </c>
      <c r="AG55" s="273"/>
      <c r="AH55" s="270"/>
      <c r="AI55" s="271"/>
      <c r="AJ55" s="274">
        <f t="shared" si="7"/>
        <v>0</v>
      </c>
    </row>
    <row r="56" spans="1:36" s="243" customFormat="1" ht="15" x14ac:dyDescent="0.25">
      <c r="A56" s="255"/>
      <c r="B56" s="269" t="s">
        <v>871</v>
      </c>
      <c r="C56" s="256"/>
      <c r="D56" s="256"/>
      <c r="E56" s="257"/>
      <c r="F56" s="255"/>
      <c r="G56" s="261"/>
      <c r="H56" s="541"/>
      <c r="I56" s="541"/>
      <c r="J56" s="541"/>
      <c r="K56" s="543"/>
      <c r="L56" s="541"/>
      <c r="M56" s="543"/>
      <c r="N56" s="544"/>
      <c r="O56" s="545"/>
      <c r="P56" s="545"/>
      <c r="Q56" s="546"/>
      <c r="R56" s="541"/>
      <c r="S56" s="541"/>
      <c r="T56" s="541"/>
      <c r="U56" s="543"/>
      <c r="V56" s="544"/>
      <c r="W56" s="543"/>
      <c r="X56" s="544"/>
      <c r="Y56" s="545"/>
      <c r="Z56" s="546"/>
      <c r="AA56" s="275"/>
      <c r="AB56" s="270"/>
      <c r="AC56" s="270"/>
      <c r="AD56" s="272"/>
      <c r="AE56" s="271"/>
      <c r="AF56" s="272"/>
      <c r="AG56" s="273"/>
      <c r="AH56" s="270"/>
      <c r="AI56" s="271"/>
      <c r="AJ56" s="281"/>
    </row>
    <row r="57" spans="1:36" s="243" customFormat="1" ht="15" x14ac:dyDescent="0.25">
      <c r="A57" s="255"/>
      <c r="B57" s="256"/>
      <c r="C57" s="256" t="s">
        <v>867</v>
      </c>
      <c r="D57" s="256"/>
      <c r="E57" s="257"/>
      <c r="F57" s="255"/>
      <c r="G57" s="261"/>
      <c r="H57" s="541">
        <v>53662361.899999999</v>
      </c>
      <c r="I57" s="541"/>
      <c r="J57" s="541">
        <v>54027769.729999997</v>
      </c>
      <c r="K57" s="543"/>
      <c r="L57" s="541">
        <f t="shared" ref="L57:L59" si="10">H57-J57</f>
        <v>-365407.82999999821</v>
      </c>
      <c r="M57" s="543"/>
      <c r="N57" s="544">
        <v>47047731.900000006</v>
      </c>
      <c r="O57" s="545"/>
      <c r="P57" s="541">
        <f t="shared" ref="P57:P59" si="11">J57-N57</f>
        <v>6980037.8299999908</v>
      </c>
      <c r="Q57" s="546"/>
      <c r="R57" s="541">
        <v>43730134.119999997</v>
      </c>
      <c r="S57" s="541"/>
      <c r="T57" s="541">
        <v>46686094.039999999</v>
      </c>
      <c r="U57" s="543"/>
      <c r="V57" s="544">
        <f t="shared" si="3"/>
        <v>-2955959.9200000018</v>
      </c>
      <c r="W57" s="543"/>
      <c r="X57" s="544">
        <v>34965524.340000004</v>
      </c>
      <c r="Y57" s="545"/>
      <c r="Z57" s="547">
        <f t="shared" si="5"/>
        <v>11720569.699999996</v>
      </c>
      <c r="AA57" s="275"/>
      <c r="AB57" s="270">
        <v>37754766.640000001</v>
      </c>
      <c r="AC57" s="270"/>
      <c r="AD57" s="272">
        <v>33810311.929999992</v>
      </c>
      <c r="AE57" s="271"/>
      <c r="AF57" s="272">
        <f t="shared" si="6"/>
        <v>3944454.7100000083</v>
      </c>
      <c r="AG57" s="273"/>
      <c r="AH57" s="270">
        <v>28736008.290000003</v>
      </c>
      <c r="AI57" s="271"/>
      <c r="AJ57" s="274">
        <f t="shared" si="7"/>
        <v>5074303.6399999894</v>
      </c>
    </row>
    <row r="58" spans="1:36" s="243" customFormat="1" ht="15" x14ac:dyDescent="0.25">
      <c r="A58" s="255"/>
      <c r="B58" s="256"/>
      <c r="C58" s="256" t="s">
        <v>868</v>
      </c>
      <c r="D58" s="256"/>
      <c r="E58" s="257"/>
      <c r="F58" s="255"/>
      <c r="G58" s="261"/>
      <c r="H58" s="541">
        <v>29302211</v>
      </c>
      <c r="I58" s="541"/>
      <c r="J58" s="541">
        <v>37744801.579999998</v>
      </c>
      <c r="K58" s="543"/>
      <c r="L58" s="541">
        <f t="shared" si="10"/>
        <v>-8442590.5799999982</v>
      </c>
      <c r="M58" s="543"/>
      <c r="N58" s="544">
        <v>25637292.709999997</v>
      </c>
      <c r="O58" s="545"/>
      <c r="P58" s="541">
        <f t="shared" si="11"/>
        <v>12107508.870000001</v>
      </c>
      <c r="Q58" s="546"/>
      <c r="R58" s="541">
        <v>24615896.399999999</v>
      </c>
      <c r="S58" s="541"/>
      <c r="T58" s="541">
        <v>28753182.77</v>
      </c>
      <c r="U58" s="543"/>
      <c r="V58" s="544">
        <f t="shared" si="3"/>
        <v>-4137286.370000001</v>
      </c>
      <c r="W58" s="543"/>
      <c r="X58" s="544">
        <v>23186294.420000002</v>
      </c>
      <c r="Y58" s="545"/>
      <c r="Z58" s="547">
        <f t="shared" si="5"/>
        <v>5566888.3499999978</v>
      </c>
      <c r="AA58" s="275"/>
      <c r="AB58" s="270">
        <v>17808064.399999999</v>
      </c>
      <c r="AC58" s="270"/>
      <c r="AD58" s="272">
        <v>19132987.259999998</v>
      </c>
      <c r="AE58" s="271"/>
      <c r="AF58" s="272">
        <f t="shared" si="6"/>
        <v>-1324922.8599999994</v>
      </c>
      <c r="AG58" s="273"/>
      <c r="AH58" s="270">
        <v>16571803.879999999</v>
      </c>
      <c r="AI58" s="271"/>
      <c r="AJ58" s="274">
        <f t="shared" si="7"/>
        <v>2561183.379999999</v>
      </c>
    </row>
    <row r="59" spans="1:36" s="243" customFormat="1" ht="15" x14ac:dyDescent="0.25">
      <c r="A59" s="255"/>
      <c r="B59" s="256"/>
      <c r="C59" s="256" t="s">
        <v>869</v>
      </c>
      <c r="D59" s="256"/>
      <c r="E59" s="257"/>
      <c r="F59" s="255"/>
      <c r="G59" s="261"/>
      <c r="H59" s="541">
        <v>864000</v>
      </c>
      <c r="I59" s="541"/>
      <c r="J59" s="541">
        <v>864000</v>
      </c>
      <c r="K59" s="543"/>
      <c r="L59" s="541">
        <f t="shared" si="10"/>
        <v>0</v>
      </c>
      <c r="M59" s="543"/>
      <c r="N59" s="544">
        <v>776348</v>
      </c>
      <c r="O59" s="545"/>
      <c r="P59" s="541">
        <f t="shared" si="11"/>
        <v>87652</v>
      </c>
      <c r="Q59" s="546"/>
      <c r="R59" s="541"/>
      <c r="S59" s="541"/>
      <c r="T59" s="541">
        <v>1162740</v>
      </c>
      <c r="U59" s="543"/>
      <c r="V59" s="544">
        <f t="shared" si="3"/>
        <v>-1162740</v>
      </c>
      <c r="W59" s="543"/>
      <c r="X59" s="544">
        <v>348580</v>
      </c>
      <c r="Y59" s="545"/>
      <c r="Z59" s="547">
        <f t="shared" si="5"/>
        <v>814160</v>
      </c>
      <c r="AA59" s="275"/>
      <c r="AB59" s="270">
        <v>515000</v>
      </c>
      <c r="AC59" s="270"/>
      <c r="AD59" s="272">
        <v>998820.15</v>
      </c>
      <c r="AE59" s="271"/>
      <c r="AF59" s="272">
        <f t="shared" si="6"/>
        <v>-483820.15</v>
      </c>
      <c r="AG59" s="273"/>
      <c r="AH59" s="270">
        <v>218261</v>
      </c>
      <c r="AI59" s="271"/>
      <c r="AJ59" s="274">
        <f t="shared" si="7"/>
        <v>780559.15</v>
      </c>
    </row>
    <row r="60" spans="1:36" s="243" customFormat="1" ht="15" hidden="1" x14ac:dyDescent="0.25">
      <c r="A60" s="255"/>
      <c r="B60" s="269" t="s">
        <v>872</v>
      </c>
      <c r="C60" s="269"/>
      <c r="D60" s="256"/>
      <c r="E60" s="257"/>
      <c r="F60" s="255"/>
      <c r="G60" s="261"/>
      <c r="H60" s="541"/>
      <c r="I60" s="541"/>
      <c r="J60" s="541"/>
      <c r="K60" s="543"/>
      <c r="L60" s="541"/>
      <c r="M60" s="543"/>
      <c r="N60" s="544"/>
      <c r="O60" s="545"/>
      <c r="P60" s="545"/>
      <c r="Q60" s="546"/>
      <c r="R60" s="541"/>
      <c r="S60" s="541"/>
      <c r="T60" s="541"/>
      <c r="U60" s="543"/>
      <c r="V60" s="544"/>
      <c r="W60" s="543"/>
      <c r="X60" s="544"/>
      <c r="Y60" s="545"/>
      <c r="Z60" s="546"/>
      <c r="AA60" s="275"/>
      <c r="AB60" s="270"/>
      <c r="AC60" s="270"/>
      <c r="AD60" s="272"/>
      <c r="AE60" s="271"/>
      <c r="AF60" s="272">
        <f t="shared" si="6"/>
        <v>0</v>
      </c>
      <c r="AG60" s="273"/>
      <c r="AH60" s="270"/>
      <c r="AI60" s="271"/>
      <c r="AJ60" s="281"/>
    </row>
    <row r="61" spans="1:36" s="243" customFormat="1" ht="15" hidden="1" x14ac:dyDescent="0.25">
      <c r="A61" s="255"/>
      <c r="B61" s="256"/>
      <c r="C61" s="256" t="s">
        <v>867</v>
      </c>
      <c r="D61" s="256"/>
      <c r="E61" s="257"/>
      <c r="F61" s="255"/>
      <c r="G61" s="261"/>
      <c r="H61" s="541"/>
      <c r="I61" s="541"/>
      <c r="J61" s="541"/>
      <c r="K61" s="543"/>
      <c r="L61" s="541"/>
      <c r="M61" s="543"/>
      <c r="N61" s="544"/>
      <c r="O61" s="545"/>
      <c r="P61" s="541"/>
      <c r="Q61" s="546"/>
      <c r="R61" s="541"/>
      <c r="S61" s="541"/>
      <c r="T61" s="541"/>
      <c r="U61" s="543"/>
      <c r="V61" s="544"/>
      <c r="W61" s="543"/>
      <c r="X61" s="544"/>
      <c r="Y61" s="545"/>
      <c r="Z61" s="547"/>
      <c r="AA61" s="275"/>
      <c r="AB61" s="270"/>
      <c r="AC61" s="270"/>
      <c r="AD61" s="272"/>
      <c r="AE61" s="271"/>
      <c r="AF61" s="272">
        <f t="shared" si="6"/>
        <v>0</v>
      </c>
      <c r="AG61" s="273"/>
      <c r="AH61" s="270"/>
      <c r="AI61" s="271"/>
      <c r="AJ61" s="274">
        <f t="shared" si="7"/>
        <v>0</v>
      </c>
    </row>
    <row r="62" spans="1:36" s="243" customFormat="1" ht="15" hidden="1" x14ac:dyDescent="0.25">
      <c r="A62" s="255"/>
      <c r="B62" s="256"/>
      <c r="C62" s="256" t="s">
        <v>868</v>
      </c>
      <c r="D62" s="256"/>
      <c r="E62" s="257"/>
      <c r="F62" s="255"/>
      <c r="G62" s="261"/>
      <c r="H62" s="541"/>
      <c r="I62" s="541"/>
      <c r="J62" s="541"/>
      <c r="K62" s="543"/>
      <c r="L62" s="541"/>
      <c r="M62" s="543"/>
      <c r="N62" s="544"/>
      <c r="O62" s="545"/>
      <c r="P62" s="541"/>
      <c r="Q62" s="546"/>
      <c r="R62" s="541"/>
      <c r="S62" s="541"/>
      <c r="T62" s="541"/>
      <c r="U62" s="543"/>
      <c r="V62" s="544"/>
      <c r="W62" s="543"/>
      <c r="X62" s="544"/>
      <c r="Y62" s="545"/>
      <c r="Z62" s="547"/>
      <c r="AA62" s="275"/>
      <c r="AB62" s="270"/>
      <c r="AC62" s="270"/>
      <c r="AD62" s="272"/>
      <c r="AE62" s="271"/>
      <c r="AF62" s="272">
        <f t="shared" si="6"/>
        <v>0</v>
      </c>
      <c r="AG62" s="273"/>
      <c r="AH62" s="270"/>
      <c r="AI62" s="271"/>
      <c r="AJ62" s="274">
        <f t="shared" si="7"/>
        <v>0</v>
      </c>
    </row>
    <row r="63" spans="1:36" s="243" customFormat="1" ht="15" hidden="1" x14ac:dyDescent="0.25">
      <c r="A63" s="255"/>
      <c r="B63" s="256"/>
      <c r="C63" s="256" t="s">
        <v>869</v>
      </c>
      <c r="D63" s="256"/>
      <c r="E63" s="257"/>
      <c r="F63" s="255"/>
      <c r="G63" s="261"/>
      <c r="H63" s="541"/>
      <c r="I63" s="541"/>
      <c r="J63" s="541"/>
      <c r="K63" s="543"/>
      <c r="L63" s="541"/>
      <c r="M63" s="543"/>
      <c r="N63" s="544"/>
      <c r="O63" s="545"/>
      <c r="P63" s="541"/>
      <c r="Q63" s="546"/>
      <c r="R63" s="541"/>
      <c r="S63" s="541"/>
      <c r="T63" s="541"/>
      <c r="U63" s="543"/>
      <c r="V63" s="544"/>
      <c r="W63" s="543"/>
      <c r="X63" s="544"/>
      <c r="Y63" s="545"/>
      <c r="Z63" s="547"/>
      <c r="AA63" s="275"/>
      <c r="AB63" s="270"/>
      <c r="AC63" s="270"/>
      <c r="AD63" s="272"/>
      <c r="AE63" s="271"/>
      <c r="AF63" s="272">
        <f t="shared" si="6"/>
        <v>0</v>
      </c>
      <c r="AG63" s="273"/>
      <c r="AH63" s="270"/>
      <c r="AI63" s="271"/>
      <c r="AJ63" s="274">
        <f t="shared" si="7"/>
        <v>0</v>
      </c>
    </row>
    <row r="64" spans="1:36" s="243" customFormat="1" ht="15" hidden="1" x14ac:dyDescent="0.25">
      <c r="A64" s="255"/>
      <c r="B64" s="269" t="s">
        <v>873</v>
      </c>
      <c r="C64" s="269"/>
      <c r="D64" s="256"/>
      <c r="E64" s="257"/>
      <c r="F64" s="255"/>
      <c r="G64" s="261"/>
      <c r="H64" s="541"/>
      <c r="I64" s="541"/>
      <c r="J64" s="541"/>
      <c r="K64" s="543"/>
      <c r="L64" s="541"/>
      <c r="M64" s="543"/>
      <c r="N64" s="544"/>
      <c r="O64" s="545"/>
      <c r="P64" s="545"/>
      <c r="Q64" s="546"/>
      <c r="R64" s="541"/>
      <c r="S64" s="541"/>
      <c r="T64" s="541"/>
      <c r="U64" s="543"/>
      <c r="V64" s="544"/>
      <c r="W64" s="543"/>
      <c r="X64" s="544"/>
      <c r="Y64" s="545"/>
      <c r="Z64" s="546"/>
      <c r="AA64" s="275"/>
      <c r="AB64" s="270"/>
      <c r="AC64" s="270"/>
      <c r="AD64" s="272"/>
      <c r="AE64" s="271"/>
      <c r="AF64" s="272">
        <f t="shared" si="6"/>
        <v>0</v>
      </c>
      <c r="AG64" s="273"/>
      <c r="AH64" s="270"/>
      <c r="AI64" s="271"/>
      <c r="AJ64" s="281"/>
    </row>
    <row r="65" spans="1:36" s="243" customFormat="1" ht="15" hidden="1" x14ac:dyDescent="0.25">
      <c r="A65" s="255"/>
      <c r="B65" s="256"/>
      <c r="C65" s="256" t="s">
        <v>867</v>
      </c>
      <c r="D65" s="256"/>
      <c r="E65" s="257"/>
      <c r="F65" s="255"/>
      <c r="G65" s="261"/>
      <c r="H65" s="541"/>
      <c r="I65" s="541"/>
      <c r="J65" s="541"/>
      <c r="K65" s="543"/>
      <c r="L65" s="541"/>
      <c r="M65" s="543"/>
      <c r="N65" s="544"/>
      <c r="O65" s="545"/>
      <c r="P65" s="541"/>
      <c r="Q65" s="546"/>
      <c r="R65" s="541"/>
      <c r="S65" s="541"/>
      <c r="T65" s="541"/>
      <c r="U65" s="543"/>
      <c r="V65" s="544"/>
      <c r="W65" s="543"/>
      <c r="X65" s="544"/>
      <c r="Y65" s="545"/>
      <c r="Z65" s="547"/>
      <c r="AA65" s="275"/>
      <c r="AB65" s="270"/>
      <c r="AC65" s="270"/>
      <c r="AD65" s="272"/>
      <c r="AE65" s="271"/>
      <c r="AF65" s="272">
        <f t="shared" si="6"/>
        <v>0</v>
      </c>
      <c r="AG65" s="273"/>
      <c r="AH65" s="270"/>
      <c r="AI65" s="271"/>
      <c r="AJ65" s="274">
        <f t="shared" si="7"/>
        <v>0</v>
      </c>
    </row>
    <row r="66" spans="1:36" s="243" customFormat="1" ht="15" hidden="1" x14ac:dyDescent="0.25">
      <c r="A66" s="255"/>
      <c r="B66" s="256"/>
      <c r="C66" s="256" t="s">
        <v>868</v>
      </c>
      <c r="D66" s="256"/>
      <c r="E66" s="257"/>
      <c r="F66" s="255"/>
      <c r="G66" s="261"/>
      <c r="H66" s="541"/>
      <c r="I66" s="541"/>
      <c r="J66" s="541"/>
      <c r="K66" s="543"/>
      <c r="L66" s="541"/>
      <c r="M66" s="543"/>
      <c r="N66" s="544"/>
      <c r="O66" s="545"/>
      <c r="P66" s="541"/>
      <c r="Q66" s="546"/>
      <c r="R66" s="541"/>
      <c r="S66" s="541"/>
      <c r="T66" s="541"/>
      <c r="U66" s="543"/>
      <c r="V66" s="544"/>
      <c r="W66" s="543"/>
      <c r="X66" s="544"/>
      <c r="Y66" s="545"/>
      <c r="Z66" s="547"/>
      <c r="AA66" s="275"/>
      <c r="AB66" s="270"/>
      <c r="AC66" s="270"/>
      <c r="AD66" s="272"/>
      <c r="AE66" s="271"/>
      <c r="AF66" s="272">
        <f t="shared" si="6"/>
        <v>0</v>
      </c>
      <c r="AG66" s="273"/>
      <c r="AH66" s="270"/>
      <c r="AI66" s="271"/>
      <c r="AJ66" s="274">
        <f t="shared" si="7"/>
        <v>0</v>
      </c>
    </row>
    <row r="67" spans="1:36" s="243" customFormat="1" ht="15" hidden="1" x14ac:dyDescent="0.25">
      <c r="A67" s="255"/>
      <c r="B67" s="256"/>
      <c r="C67" s="256" t="s">
        <v>869</v>
      </c>
      <c r="D67" s="256"/>
      <c r="E67" s="257"/>
      <c r="F67" s="255"/>
      <c r="G67" s="261"/>
      <c r="H67" s="541"/>
      <c r="I67" s="541"/>
      <c r="J67" s="541"/>
      <c r="K67" s="543"/>
      <c r="L67" s="541"/>
      <c r="M67" s="543"/>
      <c r="N67" s="544"/>
      <c r="O67" s="545"/>
      <c r="P67" s="541"/>
      <c r="Q67" s="546"/>
      <c r="R67" s="541"/>
      <c r="S67" s="541"/>
      <c r="T67" s="541"/>
      <c r="U67" s="543"/>
      <c r="V67" s="544"/>
      <c r="W67" s="543"/>
      <c r="X67" s="544"/>
      <c r="Y67" s="545"/>
      <c r="Z67" s="547"/>
      <c r="AA67" s="275"/>
      <c r="AB67" s="270"/>
      <c r="AC67" s="270"/>
      <c r="AD67" s="272"/>
      <c r="AE67" s="271"/>
      <c r="AF67" s="272">
        <f t="shared" si="6"/>
        <v>0</v>
      </c>
      <c r="AG67" s="273"/>
      <c r="AH67" s="270"/>
      <c r="AI67" s="271"/>
      <c r="AJ67" s="274">
        <f t="shared" si="7"/>
        <v>0</v>
      </c>
    </row>
    <row r="68" spans="1:36" s="243" customFormat="1" ht="15" x14ac:dyDescent="0.25">
      <c r="A68" s="255"/>
      <c r="B68" s="269" t="s">
        <v>874</v>
      </c>
      <c r="C68" s="256"/>
      <c r="D68" s="256"/>
      <c r="E68" s="257"/>
      <c r="F68" s="255"/>
      <c r="G68" s="261"/>
      <c r="H68" s="541"/>
      <c r="I68" s="541"/>
      <c r="J68" s="541"/>
      <c r="K68" s="543"/>
      <c r="L68" s="541"/>
      <c r="M68" s="543"/>
      <c r="N68" s="544"/>
      <c r="O68" s="545"/>
      <c r="P68" s="541"/>
      <c r="Q68" s="546"/>
      <c r="R68" s="541"/>
      <c r="S68" s="541"/>
      <c r="T68" s="541"/>
      <c r="U68" s="543"/>
      <c r="V68" s="544">
        <f t="shared" ref="V68:V98" si="12">R68-T68</f>
        <v>0</v>
      </c>
      <c r="W68" s="543"/>
      <c r="X68" s="544"/>
      <c r="Y68" s="545"/>
      <c r="Z68" s="547"/>
      <c r="AA68" s="275"/>
      <c r="AB68" s="292"/>
      <c r="AC68" s="292"/>
      <c r="AD68" s="292"/>
      <c r="AE68" s="292"/>
      <c r="AF68" s="292"/>
      <c r="AG68" s="292"/>
      <c r="AH68" s="292"/>
      <c r="AI68" s="292"/>
      <c r="AJ68" s="293"/>
    </row>
    <row r="69" spans="1:36" s="243" customFormat="1" ht="15" x14ac:dyDescent="0.25">
      <c r="A69" s="255"/>
      <c r="B69" s="256"/>
      <c r="C69" s="256" t="s">
        <v>867</v>
      </c>
      <c r="D69" s="256"/>
      <c r="E69" s="257"/>
      <c r="F69" s="255"/>
      <c r="G69" s="261"/>
      <c r="H69" s="541">
        <v>16749565.76</v>
      </c>
      <c r="I69" s="541"/>
      <c r="J69" s="541">
        <v>16485149.24</v>
      </c>
      <c r="K69" s="543"/>
      <c r="L69" s="541">
        <f t="shared" ref="L69:L71" si="13">H69-J69</f>
        <v>264416.51999999955</v>
      </c>
      <c r="M69" s="543"/>
      <c r="N69" s="544">
        <v>14109581.550000001</v>
      </c>
      <c r="O69" s="545"/>
      <c r="P69" s="541">
        <f>J69-N69</f>
        <v>2375567.6899999995</v>
      </c>
      <c r="Q69" s="546"/>
      <c r="R69" s="541">
        <v>14649639</v>
      </c>
      <c r="S69" s="541"/>
      <c r="T69" s="541">
        <v>15461635.039999999</v>
      </c>
      <c r="U69" s="543"/>
      <c r="V69" s="544">
        <f t="shared" si="12"/>
        <v>-811996.03999999911</v>
      </c>
      <c r="W69" s="543"/>
      <c r="X69" s="544">
        <v>13904995.140000001</v>
      </c>
      <c r="Y69" s="545"/>
      <c r="Z69" s="547">
        <f>T69-X69</f>
        <v>1556639.8999999985</v>
      </c>
      <c r="AA69" s="275"/>
      <c r="AB69" s="270">
        <v>17647421.600000001</v>
      </c>
      <c r="AC69" s="270"/>
      <c r="AD69" s="272">
        <v>11899037.199999999</v>
      </c>
      <c r="AE69" s="271"/>
      <c r="AF69" s="272">
        <f>AB69-AD69</f>
        <v>5748384.4000000022</v>
      </c>
      <c r="AG69" s="273"/>
      <c r="AH69" s="270">
        <v>10696012.66</v>
      </c>
      <c r="AI69" s="271"/>
      <c r="AJ69" s="274">
        <f>AD69-AH69</f>
        <v>1203024.5399999991</v>
      </c>
    </row>
    <row r="70" spans="1:36" s="243" customFormat="1" ht="15" x14ac:dyDescent="0.25">
      <c r="A70" s="255"/>
      <c r="B70" s="256"/>
      <c r="C70" s="256" t="s">
        <v>868</v>
      </c>
      <c r="D70" s="256"/>
      <c r="E70" s="257"/>
      <c r="F70" s="255"/>
      <c r="G70" s="261"/>
      <c r="H70" s="541">
        <v>26684076.48</v>
      </c>
      <c r="I70" s="541"/>
      <c r="J70" s="541">
        <v>37924585.670000002</v>
      </c>
      <c r="K70" s="543"/>
      <c r="L70" s="541">
        <f t="shared" si="13"/>
        <v>-11240509.190000001</v>
      </c>
      <c r="M70" s="543"/>
      <c r="N70" s="544">
        <v>35595275.839999996</v>
      </c>
      <c r="O70" s="545"/>
      <c r="P70" s="541">
        <f>J70-N70</f>
        <v>2329309.8300000057</v>
      </c>
      <c r="Q70" s="546"/>
      <c r="R70" s="541">
        <v>23181399.009999998</v>
      </c>
      <c r="S70" s="541"/>
      <c r="T70" s="541">
        <v>25645116.280000001</v>
      </c>
      <c r="U70" s="543"/>
      <c r="V70" s="544">
        <f t="shared" si="12"/>
        <v>-2463717.2700000033</v>
      </c>
      <c r="W70" s="543"/>
      <c r="X70" s="544">
        <v>20549166.860000003</v>
      </c>
      <c r="Y70" s="545"/>
      <c r="Z70" s="547">
        <f>T70-X70</f>
        <v>5095949.4199999981</v>
      </c>
      <c r="AA70" s="275"/>
      <c r="AB70" s="270">
        <v>45958546.020000003</v>
      </c>
      <c r="AC70" s="270"/>
      <c r="AD70" s="272">
        <v>25248424.650000002</v>
      </c>
      <c r="AE70" s="271"/>
      <c r="AF70" s="272">
        <f>AB70-AD70</f>
        <v>20710121.370000001</v>
      </c>
      <c r="AG70" s="273"/>
      <c r="AH70" s="270">
        <v>24243671.250000004</v>
      </c>
      <c r="AI70" s="271"/>
      <c r="AJ70" s="274">
        <f>AD70-AH70</f>
        <v>1004753.3999999985</v>
      </c>
    </row>
    <row r="71" spans="1:36" s="243" customFormat="1" ht="15" x14ac:dyDescent="0.25">
      <c r="A71" s="255"/>
      <c r="B71" s="256"/>
      <c r="C71" s="256" t="s">
        <v>869</v>
      </c>
      <c r="D71" s="256"/>
      <c r="E71" s="257"/>
      <c r="F71" s="255"/>
      <c r="G71" s="261"/>
      <c r="H71" s="541">
        <v>120000</v>
      </c>
      <c r="I71" s="541"/>
      <c r="J71" s="541">
        <v>2010000</v>
      </c>
      <c r="K71" s="543"/>
      <c r="L71" s="541">
        <f t="shared" si="13"/>
        <v>-1890000</v>
      </c>
      <c r="M71" s="543"/>
      <c r="N71" s="544">
        <v>1788696.4</v>
      </c>
      <c r="O71" s="545"/>
      <c r="P71" s="541">
        <f>J71-N71</f>
        <v>221303.60000000009</v>
      </c>
      <c r="Q71" s="546"/>
      <c r="R71" s="541">
        <v>0</v>
      </c>
      <c r="S71" s="541"/>
      <c r="T71" s="541">
        <v>330000</v>
      </c>
      <c r="U71" s="543"/>
      <c r="V71" s="544">
        <f t="shared" si="12"/>
        <v>-330000</v>
      </c>
      <c r="W71" s="543"/>
      <c r="X71" s="544">
        <v>305947</v>
      </c>
      <c r="Y71" s="545"/>
      <c r="Z71" s="547">
        <f>T71-X71</f>
        <v>24053</v>
      </c>
      <c r="AA71" s="275"/>
      <c r="AB71" s="270">
        <v>170000</v>
      </c>
      <c r="AC71" s="270"/>
      <c r="AD71" s="272">
        <v>170000</v>
      </c>
      <c r="AE71" s="271"/>
      <c r="AF71" s="272">
        <f>AB71-AD71</f>
        <v>0</v>
      </c>
      <c r="AG71" s="273"/>
      <c r="AH71" s="270">
        <v>99100</v>
      </c>
      <c r="AI71" s="271"/>
      <c r="AJ71" s="274">
        <f>AD71-AH71</f>
        <v>70900</v>
      </c>
    </row>
    <row r="72" spans="1:36" s="243" customFormat="1" ht="15" x14ac:dyDescent="0.25">
      <c r="A72" s="255"/>
      <c r="B72" s="269" t="s">
        <v>875</v>
      </c>
      <c r="C72" s="269"/>
      <c r="D72" s="256"/>
      <c r="E72" s="257"/>
      <c r="F72" s="255"/>
      <c r="G72" s="261"/>
      <c r="H72" s="541"/>
      <c r="I72" s="541"/>
      <c r="J72" s="541"/>
      <c r="K72" s="543"/>
      <c r="L72" s="541"/>
      <c r="M72" s="543"/>
      <c r="N72" s="544"/>
      <c r="O72" s="545"/>
      <c r="P72" s="545"/>
      <c r="Q72" s="546"/>
      <c r="R72" s="541"/>
      <c r="S72" s="541"/>
      <c r="T72" s="541"/>
      <c r="U72" s="543"/>
      <c r="V72" s="544"/>
      <c r="W72" s="543"/>
      <c r="X72" s="544"/>
      <c r="Y72" s="545"/>
      <c r="Z72" s="546"/>
      <c r="AA72" s="275"/>
      <c r="AB72" s="270"/>
      <c r="AC72" s="270"/>
      <c r="AD72" s="272"/>
      <c r="AE72" s="271"/>
      <c r="AF72" s="272"/>
      <c r="AG72" s="273"/>
      <c r="AH72" s="270"/>
      <c r="AI72" s="271"/>
      <c r="AJ72" s="281"/>
    </row>
    <row r="73" spans="1:36" s="243" customFormat="1" ht="15" x14ac:dyDescent="0.25">
      <c r="A73" s="255"/>
      <c r="B73" s="256"/>
      <c r="C73" s="256" t="s">
        <v>867</v>
      </c>
      <c r="D73" s="256"/>
      <c r="E73" s="257"/>
      <c r="F73" s="255"/>
      <c r="G73" s="261"/>
      <c r="H73" s="541">
        <v>78418085.239999995</v>
      </c>
      <c r="I73" s="541"/>
      <c r="J73" s="541">
        <v>74912063.900000006</v>
      </c>
      <c r="K73" s="543"/>
      <c r="L73" s="541">
        <f t="shared" ref="L73:L75" si="14">H73-J73</f>
        <v>3506021.3399999887</v>
      </c>
      <c r="M73" s="543"/>
      <c r="N73" s="544">
        <v>62314376.089999989</v>
      </c>
      <c r="O73" s="545"/>
      <c r="P73" s="541">
        <f>J73-N73</f>
        <v>12597687.810000017</v>
      </c>
      <c r="Q73" s="546"/>
      <c r="R73" s="541">
        <v>68278997.480000004</v>
      </c>
      <c r="S73" s="541"/>
      <c r="T73" s="541">
        <v>68934195.780000001</v>
      </c>
      <c r="U73" s="543"/>
      <c r="V73" s="544">
        <f t="shared" si="12"/>
        <v>-655198.29999999702</v>
      </c>
      <c r="W73" s="543"/>
      <c r="X73" s="544">
        <v>57639325.990000002</v>
      </c>
      <c r="Y73" s="545"/>
      <c r="Z73" s="547">
        <f>T73-X73</f>
        <v>11294869.789999999</v>
      </c>
      <c r="AA73" s="275"/>
      <c r="AB73" s="270">
        <v>60487789.280000001</v>
      </c>
      <c r="AC73" s="270"/>
      <c r="AD73" s="272">
        <v>60708076.230000004</v>
      </c>
      <c r="AE73" s="271"/>
      <c r="AF73" s="272">
        <f t="shared" si="6"/>
        <v>-220286.95000000298</v>
      </c>
      <c r="AG73" s="273"/>
      <c r="AH73" s="270">
        <v>54838172.299999997</v>
      </c>
      <c r="AI73" s="271"/>
      <c r="AJ73" s="274">
        <f t="shared" si="7"/>
        <v>5869903.9300000072</v>
      </c>
    </row>
    <row r="74" spans="1:36" s="243" customFormat="1" ht="15" x14ac:dyDescent="0.25">
      <c r="A74" s="255"/>
      <c r="B74" s="256"/>
      <c r="C74" s="256" t="s">
        <v>868</v>
      </c>
      <c r="D74" s="256"/>
      <c r="E74" s="257"/>
      <c r="F74" s="255"/>
      <c r="G74" s="261"/>
      <c r="H74" s="541">
        <v>142076388.15000001</v>
      </c>
      <c r="I74" s="541"/>
      <c r="J74" s="541">
        <v>151280177.14000002</v>
      </c>
      <c r="K74" s="543"/>
      <c r="L74" s="541">
        <f t="shared" si="14"/>
        <v>-9203788.9900000095</v>
      </c>
      <c r="M74" s="543"/>
      <c r="N74" s="544">
        <v>119030896.34999999</v>
      </c>
      <c r="O74" s="545"/>
      <c r="P74" s="541">
        <f>J74-N74</f>
        <v>32249280.790000021</v>
      </c>
      <c r="Q74" s="546"/>
      <c r="R74" s="541">
        <v>135275033.22</v>
      </c>
      <c r="S74" s="541"/>
      <c r="T74" s="541">
        <v>144758341.56</v>
      </c>
      <c r="U74" s="543"/>
      <c r="V74" s="544">
        <f t="shared" si="12"/>
        <v>-9483308.3400000036</v>
      </c>
      <c r="W74" s="543"/>
      <c r="X74" s="544">
        <v>126431872.46000001</v>
      </c>
      <c r="Y74" s="545"/>
      <c r="Z74" s="547">
        <f>T74-X74</f>
        <v>18326469.099999994</v>
      </c>
      <c r="AA74" s="275"/>
      <c r="AB74" s="270">
        <v>112885126.88</v>
      </c>
      <c r="AC74" s="270"/>
      <c r="AD74" s="272">
        <v>122835094.66</v>
      </c>
      <c r="AE74" s="271"/>
      <c r="AF74" s="272">
        <f t="shared" si="6"/>
        <v>-9949967.7800000012</v>
      </c>
      <c r="AG74" s="273"/>
      <c r="AH74" s="270">
        <v>113886943.92</v>
      </c>
      <c r="AI74" s="271"/>
      <c r="AJ74" s="274">
        <f t="shared" si="7"/>
        <v>8948150.7399999946</v>
      </c>
    </row>
    <row r="75" spans="1:36" s="243" customFormat="1" ht="15" x14ac:dyDescent="0.25">
      <c r="A75" s="696"/>
      <c r="B75" s="697"/>
      <c r="C75" s="697" t="s">
        <v>869</v>
      </c>
      <c r="D75" s="697"/>
      <c r="E75" s="698"/>
      <c r="F75" s="696"/>
      <c r="G75" s="690"/>
      <c r="H75" s="548">
        <v>164165000</v>
      </c>
      <c r="I75" s="548"/>
      <c r="J75" s="548">
        <v>618869818.75999999</v>
      </c>
      <c r="K75" s="691"/>
      <c r="L75" s="548">
        <f t="shared" si="14"/>
        <v>-454704818.75999999</v>
      </c>
      <c r="M75" s="691"/>
      <c r="N75" s="692">
        <v>55892241.420000002</v>
      </c>
      <c r="O75" s="693"/>
      <c r="P75" s="548">
        <f>J75-N75</f>
        <v>562977577.34000003</v>
      </c>
      <c r="Q75" s="694"/>
      <c r="R75" s="548">
        <v>11810000</v>
      </c>
      <c r="S75" s="548"/>
      <c r="T75" s="548">
        <v>167742707.47</v>
      </c>
      <c r="U75" s="691"/>
      <c r="V75" s="692">
        <f t="shared" si="12"/>
        <v>-155932707.47</v>
      </c>
      <c r="W75" s="691"/>
      <c r="X75" s="692">
        <v>21774689.080000002</v>
      </c>
      <c r="Y75" s="693"/>
      <c r="Z75" s="695">
        <f>T75-X75</f>
        <v>145968018.38999999</v>
      </c>
      <c r="AA75" s="275"/>
      <c r="AB75" s="270">
        <v>45953000</v>
      </c>
      <c r="AC75" s="270"/>
      <c r="AD75" s="272">
        <v>137173000</v>
      </c>
      <c r="AE75" s="271"/>
      <c r="AF75" s="272">
        <f t="shared" si="6"/>
        <v>-91220000</v>
      </c>
      <c r="AG75" s="273"/>
      <c r="AH75" s="270">
        <v>77448530.370000005</v>
      </c>
      <c r="AI75" s="271"/>
      <c r="AJ75" s="274">
        <f t="shared" si="7"/>
        <v>59724469.629999995</v>
      </c>
    </row>
    <row r="76" spans="1:36" s="243" customFormat="1" ht="15" x14ac:dyDescent="0.25">
      <c r="A76" s="255"/>
      <c r="B76" s="269" t="s">
        <v>876</v>
      </c>
      <c r="C76" s="294"/>
      <c r="D76" s="295"/>
      <c r="E76" s="296"/>
      <c r="F76" s="525"/>
      <c r="G76" s="261"/>
      <c r="H76" s="541"/>
      <c r="I76" s="541"/>
      <c r="J76" s="541"/>
      <c r="K76" s="543"/>
      <c r="L76" s="541"/>
      <c r="M76" s="543"/>
      <c r="N76" s="544"/>
      <c r="O76" s="545"/>
      <c r="P76" s="545"/>
      <c r="Q76" s="546"/>
      <c r="R76" s="541"/>
      <c r="S76" s="541"/>
      <c r="T76" s="541"/>
      <c r="U76" s="543"/>
      <c r="V76" s="544"/>
      <c r="W76" s="543"/>
      <c r="X76" s="544"/>
      <c r="Y76" s="545"/>
      <c r="Z76" s="546"/>
      <c r="AA76" s="275"/>
      <c r="AB76" s="270"/>
      <c r="AC76" s="270"/>
      <c r="AD76" s="272"/>
      <c r="AE76" s="271"/>
      <c r="AF76" s="272"/>
      <c r="AG76" s="273"/>
      <c r="AH76" s="270"/>
      <c r="AI76" s="271"/>
      <c r="AJ76" s="281"/>
    </row>
    <row r="77" spans="1:36" s="243" customFormat="1" ht="15" x14ac:dyDescent="0.25">
      <c r="A77" s="255"/>
      <c r="B77" s="256"/>
      <c r="C77" s="256" t="s">
        <v>877</v>
      </c>
      <c r="D77" s="256"/>
      <c r="E77" s="257"/>
      <c r="F77" s="255"/>
      <c r="G77" s="261"/>
      <c r="H77" s="541"/>
      <c r="I77" s="541"/>
      <c r="J77" s="541"/>
      <c r="K77" s="543"/>
      <c r="L77" s="541"/>
      <c r="M77" s="543"/>
      <c r="N77" s="544"/>
      <c r="O77" s="545"/>
      <c r="P77" s="541"/>
      <c r="Q77" s="546"/>
      <c r="R77" s="541"/>
      <c r="S77" s="541"/>
      <c r="T77" s="541"/>
      <c r="U77" s="543"/>
      <c r="V77" s="544"/>
      <c r="W77" s="543"/>
      <c r="X77" s="544"/>
      <c r="Y77" s="545"/>
      <c r="Z77" s="547"/>
      <c r="AA77" s="275"/>
      <c r="AB77" s="270"/>
      <c r="AC77" s="270"/>
      <c r="AD77" s="272"/>
      <c r="AE77" s="271"/>
      <c r="AF77" s="272"/>
      <c r="AG77" s="273"/>
      <c r="AH77" s="270"/>
      <c r="AI77" s="271"/>
      <c r="AJ77" s="274"/>
    </row>
    <row r="78" spans="1:36" s="243" customFormat="1" ht="15" x14ac:dyDescent="0.25">
      <c r="A78" s="255"/>
      <c r="B78" s="256"/>
      <c r="C78" s="256"/>
      <c r="D78" s="256" t="s">
        <v>878</v>
      </c>
      <c r="E78" s="257"/>
      <c r="F78" s="255"/>
      <c r="G78" s="261"/>
      <c r="H78" s="541">
        <v>45965580.939999998</v>
      </c>
      <c r="I78" s="541"/>
      <c r="J78" s="541">
        <v>49108874.439999998</v>
      </c>
      <c r="K78" s="543"/>
      <c r="L78" s="541">
        <f t="shared" ref="L78" si="15">H78-J78</f>
        <v>-3143293.5</v>
      </c>
      <c r="M78" s="543"/>
      <c r="N78" s="544">
        <v>10687840.5</v>
      </c>
      <c r="O78" s="545"/>
      <c r="P78" s="541">
        <f>J78-N78</f>
        <v>38421033.939999998</v>
      </c>
      <c r="Q78" s="546"/>
      <c r="R78" s="541">
        <v>61400000</v>
      </c>
      <c r="S78" s="541"/>
      <c r="T78" s="541">
        <v>61574226.469999999</v>
      </c>
      <c r="U78" s="543"/>
      <c r="V78" s="544">
        <f t="shared" si="12"/>
        <v>-174226.46999999881</v>
      </c>
      <c r="W78" s="543"/>
      <c r="X78" s="544">
        <v>11830345.989999998</v>
      </c>
      <c r="Y78" s="545"/>
      <c r="Z78" s="547">
        <f>T78-X78</f>
        <v>49743880.480000004</v>
      </c>
      <c r="AA78" s="275"/>
      <c r="AB78" s="297">
        <v>50486709.909999996</v>
      </c>
      <c r="AC78" s="297"/>
      <c r="AD78" s="298">
        <v>50486709.909999996</v>
      </c>
      <c r="AE78" s="271"/>
      <c r="AF78" s="272">
        <f t="shared" si="6"/>
        <v>0</v>
      </c>
      <c r="AG78" s="273"/>
      <c r="AH78" s="270">
        <v>11576776.970000001</v>
      </c>
      <c r="AI78" s="271"/>
      <c r="AJ78" s="274">
        <f t="shared" si="7"/>
        <v>38909932.939999998</v>
      </c>
    </row>
    <row r="79" spans="1:36" s="243" customFormat="1" ht="15" x14ac:dyDescent="0.25">
      <c r="A79" s="255"/>
      <c r="B79" s="256"/>
      <c r="C79" s="256"/>
      <c r="D79" s="256" t="s">
        <v>662</v>
      </c>
      <c r="E79" s="257"/>
      <c r="F79" s="255"/>
      <c r="G79" s="261"/>
      <c r="H79" s="541"/>
      <c r="I79" s="541"/>
      <c r="J79" s="541"/>
      <c r="K79" s="543"/>
      <c r="L79" s="541"/>
      <c r="M79" s="543"/>
      <c r="N79" s="544">
        <v>27653353.720000003</v>
      </c>
      <c r="O79" s="545"/>
      <c r="P79" s="541">
        <f>J79-N79</f>
        <v>-27653353.720000003</v>
      </c>
      <c r="Q79" s="546"/>
      <c r="R79" s="541"/>
      <c r="S79" s="541"/>
      <c r="T79" s="541"/>
      <c r="U79" s="543"/>
      <c r="V79" s="544"/>
      <c r="W79" s="543"/>
      <c r="X79" s="544">
        <v>31049721.340000004</v>
      </c>
      <c r="Y79" s="545"/>
      <c r="Z79" s="547">
        <f>T79-X79</f>
        <v>-31049721.340000004</v>
      </c>
      <c r="AA79" s="275"/>
      <c r="AB79" s="270"/>
      <c r="AC79" s="270"/>
      <c r="AD79" s="272"/>
      <c r="AE79" s="271"/>
      <c r="AF79" s="272">
        <f t="shared" si="6"/>
        <v>0</v>
      </c>
      <c r="AG79" s="273"/>
      <c r="AH79" s="270">
        <v>26709270.210000001</v>
      </c>
      <c r="AI79" s="271"/>
      <c r="AJ79" s="274">
        <f t="shared" si="7"/>
        <v>-26709270.210000001</v>
      </c>
    </row>
    <row r="80" spans="1:36" s="243" customFormat="1" ht="15" x14ac:dyDescent="0.25">
      <c r="A80" s="255"/>
      <c r="B80" s="256"/>
      <c r="C80" s="256" t="s">
        <v>903</v>
      </c>
      <c r="D80" s="256"/>
      <c r="E80" s="257"/>
      <c r="F80" s="255"/>
      <c r="G80" s="261"/>
      <c r="H80" s="541"/>
      <c r="I80" s="541"/>
      <c r="J80" s="541"/>
      <c r="K80" s="543"/>
      <c r="L80" s="541"/>
      <c r="M80" s="543"/>
      <c r="N80" s="544"/>
      <c r="O80" s="545"/>
      <c r="P80" s="545"/>
      <c r="Q80" s="546"/>
      <c r="R80" s="541"/>
      <c r="S80" s="541"/>
      <c r="T80" s="541"/>
      <c r="U80" s="543"/>
      <c r="V80" s="544"/>
      <c r="W80" s="543"/>
      <c r="X80" s="544"/>
      <c r="Y80" s="545"/>
      <c r="Z80" s="546"/>
      <c r="AA80" s="275"/>
      <c r="AB80" s="270"/>
      <c r="AC80" s="270"/>
      <c r="AD80" s="272"/>
      <c r="AE80" s="271"/>
      <c r="AF80" s="272"/>
      <c r="AG80" s="273"/>
      <c r="AH80" s="270"/>
      <c r="AI80" s="271"/>
      <c r="AJ80" s="281"/>
    </row>
    <row r="81" spans="1:36" s="243" customFormat="1" ht="15" x14ac:dyDescent="0.25">
      <c r="A81" s="255"/>
      <c r="B81" s="256"/>
      <c r="C81" s="256"/>
      <c r="D81" s="256" t="s">
        <v>868</v>
      </c>
      <c r="E81" s="257"/>
      <c r="F81" s="255"/>
      <c r="G81" s="261"/>
      <c r="H81" s="541">
        <v>29003941.759999998</v>
      </c>
      <c r="I81" s="541"/>
      <c r="J81" s="541">
        <v>58628415.030000001</v>
      </c>
      <c r="K81" s="543"/>
      <c r="L81" s="541">
        <f t="shared" ref="L81:L82" si="16">H81-J81</f>
        <v>-29624473.270000003</v>
      </c>
      <c r="M81" s="543"/>
      <c r="N81" s="544">
        <v>51789959.030000001</v>
      </c>
      <c r="O81" s="545"/>
      <c r="P81" s="541">
        <f>J81-N81</f>
        <v>6838456</v>
      </c>
      <c r="Q81" s="546"/>
      <c r="R81" s="541">
        <v>25979928.350000001</v>
      </c>
      <c r="S81" s="541"/>
      <c r="T81" s="541">
        <v>40202607.009999998</v>
      </c>
      <c r="U81" s="543"/>
      <c r="V81" s="544">
        <f t="shared" si="12"/>
        <v>-14222678.659999996</v>
      </c>
      <c r="W81" s="543"/>
      <c r="X81" s="544">
        <v>39277024.950000003</v>
      </c>
      <c r="Y81" s="545"/>
      <c r="Z81" s="547">
        <f>T81-X81</f>
        <v>925582.05999999493</v>
      </c>
      <c r="AA81" s="275"/>
      <c r="AB81" s="270">
        <v>25671327.140000001</v>
      </c>
      <c r="AC81" s="270"/>
      <c r="AD81" s="272">
        <v>26057405.040000003</v>
      </c>
      <c r="AE81" s="271"/>
      <c r="AF81" s="272">
        <f t="shared" si="6"/>
        <v>-386077.90000000224</v>
      </c>
      <c r="AG81" s="273"/>
      <c r="AH81" s="270">
        <v>7870254.5300000003</v>
      </c>
      <c r="AI81" s="271"/>
      <c r="AJ81" s="274">
        <f t="shared" si="7"/>
        <v>18187150.510000002</v>
      </c>
    </row>
    <row r="82" spans="1:36" s="243" customFormat="1" ht="15" x14ac:dyDescent="0.25">
      <c r="A82" s="255"/>
      <c r="B82" s="256"/>
      <c r="C82" s="256"/>
      <c r="D82" s="256" t="s">
        <v>869</v>
      </c>
      <c r="E82" s="257"/>
      <c r="F82" s="255"/>
      <c r="G82" s="261"/>
      <c r="H82" s="541">
        <v>26342530.789999999</v>
      </c>
      <c r="I82" s="541"/>
      <c r="J82" s="541">
        <v>14704025.26</v>
      </c>
      <c r="K82" s="543"/>
      <c r="L82" s="541">
        <f t="shared" si="16"/>
        <v>11638505.529999999</v>
      </c>
      <c r="M82" s="543"/>
      <c r="N82" s="544"/>
      <c r="O82" s="545"/>
      <c r="P82" s="541">
        <f>J82-N82</f>
        <v>14704025.26</v>
      </c>
      <c r="Q82" s="546"/>
      <c r="R82" s="541">
        <v>23286499.5</v>
      </c>
      <c r="S82" s="541"/>
      <c r="T82" s="541">
        <v>13806083.039999999</v>
      </c>
      <c r="U82" s="543"/>
      <c r="V82" s="544">
        <f t="shared" si="12"/>
        <v>9480416.4600000009</v>
      </c>
      <c r="W82" s="543"/>
      <c r="X82" s="544">
        <v>2204451</v>
      </c>
      <c r="Y82" s="545"/>
      <c r="Z82" s="547">
        <f>T82-X82</f>
        <v>11601632.039999999</v>
      </c>
      <c r="AA82" s="275"/>
      <c r="AB82" s="270">
        <v>26203068.489999998</v>
      </c>
      <c r="AC82" s="270"/>
      <c r="AD82" s="272">
        <v>26203068.489999998</v>
      </c>
      <c r="AE82" s="271"/>
      <c r="AF82" s="272">
        <f t="shared" si="6"/>
        <v>0</v>
      </c>
      <c r="AG82" s="273"/>
      <c r="AH82" s="270">
        <v>5225005.0199999996</v>
      </c>
      <c r="AI82" s="271"/>
      <c r="AJ82" s="274">
        <f t="shared" si="7"/>
        <v>20978063.469999999</v>
      </c>
    </row>
    <row r="83" spans="1:36" s="243" customFormat="1" ht="15" x14ac:dyDescent="0.25">
      <c r="A83" s="255"/>
      <c r="B83" s="256"/>
      <c r="C83" s="256" t="s">
        <v>879</v>
      </c>
      <c r="D83" s="256"/>
      <c r="E83" s="257"/>
      <c r="F83" s="255"/>
      <c r="G83" s="261"/>
      <c r="H83" s="541"/>
      <c r="I83" s="541"/>
      <c r="J83" s="541"/>
      <c r="K83" s="543"/>
      <c r="L83" s="541"/>
      <c r="M83" s="543"/>
      <c r="N83" s="544"/>
      <c r="O83" s="545"/>
      <c r="P83" s="541"/>
      <c r="Q83" s="546"/>
      <c r="R83" s="541"/>
      <c r="S83" s="541"/>
      <c r="T83" s="541"/>
      <c r="U83" s="543"/>
      <c r="V83" s="544"/>
      <c r="W83" s="543"/>
      <c r="X83" s="544"/>
      <c r="Y83" s="545"/>
      <c r="Z83" s="547"/>
      <c r="AA83" s="275"/>
      <c r="AB83" s="270"/>
      <c r="AC83" s="270"/>
      <c r="AD83" s="272"/>
      <c r="AE83" s="271"/>
      <c r="AF83" s="272"/>
      <c r="AG83" s="273"/>
      <c r="AH83" s="270"/>
      <c r="AI83" s="271"/>
      <c r="AJ83" s="274"/>
    </row>
    <row r="84" spans="1:36" s="243" customFormat="1" ht="15" x14ac:dyDescent="0.25">
      <c r="A84" s="255"/>
      <c r="B84" s="256"/>
      <c r="C84" s="256"/>
      <c r="D84" s="256" t="s">
        <v>868</v>
      </c>
      <c r="E84" s="257"/>
      <c r="F84" s="255"/>
      <c r="G84" s="261"/>
      <c r="H84" s="541"/>
      <c r="I84" s="541"/>
      <c r="J84" s="541"/>
      <c r="K84" s="543"/>
      <c r="L84" s="541"/>
      <c r="M84" s="543"/>
      <c r="N84" s="544">
        <v>423852.48000000004</v>
      </c>
      <c r="O84" s="545"/>
      <c r="P84" s="541">
        <f>J84-N84</f>
        <v>-423852.48000000004</v>
      </c>
      <c r="Q84" s="546"/>
      <c r="R84" s="541">
        <v>0</v>
      </c>
      <c r="S84" s="541"/>
      <c r="T84" s="541"/>
      <c r="U84" s="543"/>
      <c r="V84" s="544"/>
      <c r="W84" s="543"/>
      <c r="X84" s="544"/>
      <c r="Y84" s="545"/>
      <c r="Z84" s="547"/>
      <c r="AA84" s="275"/>
      <c r="AB84" s="270">
        <v>0</v>
      </c>
      <c r="AC84" s="270"/>
      <c r="AD84" s="272">
        <v>0</v>
      </c>
      <c r="AE84" s="271"/>
      <c r="AF84" s="272">
        <v>0</v>
      </c>
      <c r="AG84" s="273"/>
      <c r="AH84" s="270">
        <v>0</v>
      </c>
      <c r="AI84" s="271"/>
      <c r="AJ84" s="274">
        <f t="shared" si="7"/>
        <v>0</v>
      </c>
    </row>
    <row r="85" spans="1:36" s="243" customFormat="1" ht="15" x14ac:dyDescent="0.25">
      <c r="A85" s="255"/>
      <c r="B85" s="256"/>
      <c r="C85" s="256"/>
      <c r="D85" s="256" t="s">
        <v>869</v>
      </c>
      <c r="E85" s="257"/>
      <c r="F85" s="255"/>
      <c r="G85" s="261"/>
      <c r="H85" s="541">
        <v>11000000</v>
      </c>
      <c r="I85" s="541"/>
      <c r="J85" s="541">
        <v>195599800</v>
      </c>
      <c r="K85" s="543"/>
      <c r="L85" s="541">
        <f t="shared" ref="L85" si="17">H85-J85</f>
        <v>-184599800</v>
      </c>
      <c r="M85" s="543"/>
      <c r="N85" s="544">
        <v>132959247.60999998</v>
      </c>
      <c r="O85" s="545"/>
      <c r="P85" s="541">
        <f>J85-N85</f>
        <v>62640552.390000015</v>
      </c>
      <c r="Q85" s="546"/>
      <c r="R85" s="541">
        <v>147600000</v>
      </c>
      <c r="S85" s="541"/>
      <c r="T85" s="541">
        <v>199900000</v>
      </c>
      <c r="U85" s="543"/>
      <c r="V85" s="544">
        <f t="shared" si="12"/>
        <v>-52300000</v>
      </c>
      <c r="W85" s="543"/>
      <c r="X85" s="544">
        <v>94991420.940000013</v>
      </c>
      <c r="Y85" s="545"/>
      <c r="Z85" s="547">
        <f>T85-X85</f>
        <v>104908579.05999999</v>
      </c>
      <c r="AA85" s="275"/>
      <c r="AB85" s="270">
        <v>149700000</v>
      </c>
      <c r="AC85" s="270"/>
      <c r="AD85" s="272">
        <v>150963189.5</v>
      </c>
      <c r="AE85" s="271"/>
      <c r="AF85" s="272">
        <f t="shared" si="6"/>
        <v>-1263189.5</v>
      </c>
      <c r="AG85" s="273"/>
      <c r="AH85" s="323">
        <v>76570674.290000007</v>
      </c>
      <c r="AI85" s="271"/>
      <c r="AJ85" s="274">
        <f t="shared" si="7"/>
        <v>74392515.209999993</v>
      </c>
    </row>
    <row r="86" spans="1:36" s="243" customFormat="1" ht="15" hidden="1" x14ac:dyDescent="0.25">
      <c r="A86" s="255"/>
      <c r="B86" s="256"/>
      <c r="C86" s="256" t="s">
        <v>454</v>
      </c>
      <c r="D86" s="256"/>
      <c r="E86" s="257"/>
      <c r="F86" s="255"/>
      <c r="G86" s="261"/>
      <c r="H86" s="541"/>
      <c r="I86" s="541"/>
      <c r="J86" s="541"/>
      <c r="K86" s="543"/>
      <c r="L86" s="541"/>
      <c r="M86" s="543"/>
      <c r="N86" s="544"/>
      <c r="O86" s="545"/>
      <c r="P86" s="541"/>
      <c r="Q86" s="546"/>
      <c r="R86" s="541"/>
      <c r="S86" s="541"/>
      <c r="T86" s="541"/>
      <c r="U86" s="543"/>
      <c r="V86" s="544"/>
      <c r="W86" s="543"/>
      <c r="X86" s="544"/>
      <c r="Y86" s="545"/>
      <c r="Z86" s="547"/>
      <c r="AA86" s="275"/>
      <c r="AB86" s="270"/>
      <c r="AC86" s="270"/>
      <c r="AD86" s="272"/>
      <c r="AE86" s="271"/>
      <c r="AF86" s="272">
        <f t="shared" si="6"/>
        <v>0</v>
      </c>
      <c r="AG86" s="273"/>
      <c r="AH86" s="270"/>
      <c r="AI86" s="271"/>
      <c r="AJ86" s="274">
        <f t="shared" si="7"/>
        <v>0</v>
      </c>
    </row>
    <row r="87" spans="1:36" s="243" customFormat="1" ht="15" hidden="1" x14ac:dyDescent="0.25">
      <c r="A87" s="255"/>
      <c r="B87" s="256"/>
      <c r="C87" s="256"/>
      <c r="D87" s="256" t="s">
        <v>868</v>
      </c>
      <c r="E87" s="257"/>
      <c r="F87" s="255"/>
      <c r="G87" s="261"/>
      <c r="H87" s="541"/>
      <c r="I87" s="541"/>
      <c r="J87" s="541"/>
      <c r="K87" s="543"/>
      <c r="L87" s="541"/>
      <c r="M87" s="543"/>
      <c r="N87" s="544"/>
      <c r="O87" s="545"/>
      <c r="P87" s="541">
        <f>J87-N87</f>
        <v>0</v>
      </c>
      <c r="Q87" s="546"/>
      <c r="R87" s="541"/>
      <c r="S87" s="541"/>
      <c r="T87" s="541"/>
      <c r="U87" s="543"/>
      <c r="V87" s="544"/>
      <c r="W87" s="543"/>
      <c r="X87" s="544"/>
      <c r="Y87" s="545"/>
      <c r="Z87" s="547">
        <f>T87-X87</f>
        <v>0</v>
      </c>
      <c r="AA87" s="275"/>
      <c r="AB87" s="270"/>
      <c r="AC87" s="270"/>
      <c r="AD87" s="272"/>
      <c r="AE87" s="271"/>
      <c r="AF87" s="272">
        <f t="shared" si="6"/>
        <v>0</v>
      </c>
      <c r="AG87" s="273"/>
      <c r="AH87" s="270"/>
      <c r="AI87" s="271"/>
      <c r="AJ87" s="274">
        <f t="shared" si="7"/>
        <v>0</v>
      </c>
    </row>
    <row r="88" spans="1:36" s="243" customFormat="1" ht="15" hidden="1" x14ac:dyDescent="0.25">
      <c r="A88" s="255"/>
      <c r="B88" s="256"/>
      <c r="C88" s="256"/>
      <c r="D88" s="256" t="s">
        <v>869</v>
      </c>
      <c r="E88" s="257"/>
      <c r="F88" s="255"/>
      <c r="G88" s="261"/>
      <c r="H88" s="541"/>
      <c r="I88" s="541"/>
      <c r="J88" s="541"/>
      <c r="K88" s="543"/>
      <c r="L88" s="541"/>
      <c r="M88" s="543"/>
      <c r="N88" s="544"/>
      <c r="O88" s="545"/>
      <c r="P88" s="541">
        <f>J88-N88</f>
        <v>0</v>
      </c>
      <c r="Q88" s="546"/>
      <c r="R88" s="541"/>
      <c r="S88" s="541"/>
      <c r="T88" s="541"/>
      <c r="U88" s="543"/>
      <c r="V88" s="544"/>
      <c r="W88" s="543"/>
      <c r="X88" s="544"/>
      <c r="Y88" s="545"/>
      <c r="Z88" s="547">
        <f>T88-X88</f>
        <v>0</v>
      </c>
      <c r="AA88" s="275"/>
      <c r="AB88" s="270"/>
      <c r="AC88" s="270"/>
      <c r="AD88" s="272"/>
      <c r="AE88" s="271"/>
      <c r="AF88" s="272">
        <f t="shared" si="6"/>
        <v>0</v>
      </c>
      <c r="AG88" s="273"/>
      <c r="AH88" s="270"/>
      <c r="AI88" s="271"/>
      <c r="AJ88" s="274">
        <f t="shared" si="7"/>
        <v>0</v>
      </c>
    </row>
    <row r="89" spans="1:36" s="243" customFormat="1" ht="15" hidden="1" x14ac:dyDescent="0.25">
      <c r="A89" s="255"/>
      <c r="B89" s="256"/>
      <c r="C89" s="256" t="s">
        <v>880</v>
      </c>
      <c r="D89" s="256"/>
      <c r="E89" s="257"/>
      <c r="F89" s="255"/>
      <c r="G89" s="261"/>
      <c r="H89" s="541"/>
      <c r="I89" s="541"/>
      <c r="J89" s="541"/>
      <c r="K89" s="543"/>
      <c r="L89" s="541"/>
      <c r="M89" s="543"/>
      <c r="N89" s="544"/>
      <c r="O89" s="545"/>
      <c r="P89" s="541"/>
      <c r="Q89" s="546"/>
      <c r="R89" s="541"/>
      <c r="S89" s="541"/>
      <c r="T89" s="541"/>
      <c r="U89" s="543"/>
      <c r="V89" s="544"/>
      <c r="W89" s="543"/>
      <c r="X89" s="544"/>
      <c r="Y89" s="545"/>
      <c r="Z89" s="547"/>
      <c r="AA89" s="275"/>
      <c r="AB89" s="270"/>
      <c r="AC89" s="270"/>
      <c r="AD89" s="272"/>
      <c r="AE89" s="271"/>
      <c r="AF89" s="272">
        <f t="shared" si="6"/>
        <v>0</v>
      </c>
      <c r="AG89" s="273"/>
      <c r="AH89" s="270"/>
      <c r="AI89" s="271"/>
      <c r="AJ89" s="274">
        <f t="shared" si="7"/>
        <v>0</v>
      </c>
    </row>
    <row r="90" spans="1:36" s="243" customFormat="1" ht="15" hidden="1" x14ac:dyDescent="0.25">
      <c r="A90" s="255"/>
      <c r="B90" s="256"/>
      <c r="C90" s="256"/>
      <c r="D90" s="256" t="s">
        <v>868</v>
      </c>
      <c r="E90" s="257"/>
      <c r="F90" s="255"/>
      <c r="G90" s="261"/>
      <c r="H90" s="541"/>
      <c r="I90" s="541"/>
      <c r="J90" s="541"/>
      <c r="K90" s="543"/>
      <c r="L90" s="541"/>
      <c r="M90" s="543"/>
      <c r="N90" s="544"/>
      <c r="O90" s="545"/>
      <c r="P90" s="541">
        <f>J90-N90</f>
        <v>0</v>
      </c>
      <c r="Q90" s="546"/>
      <c r="R90" s="541"/>
      <c r="S90" s="541"/>
      <c r="T90" s="541"/>
      <c r="U90" s="543"/>
      <c r="V90" s="544"/>
      <c r="W90" s="543"/>
      <c r="X90" s="544"/>
      <c r="Y90" s="545"/>
      <c r="Z90" s="547">
        <f>T90-X90</f>
        <v>0</v>
      </c>
      <c r="AA90" s="275"/>
      <c r="AB90" s="270"/>
      <c r="AC90" s="270"/>
      <c r="AD90" s="272"/>
      <c r="AE90" s="271"/>
      <c r="AF90" s="272">
        <f t="shared" si="6"/>
        <v>0</v>
      </c>
      <c r="AG90" s="273"/>
      <c r="AH90" s="270"/>
      <c r="AI90" s="271"/>
      <c r="AJ90" s="274">
        <f t="shared" si="7"/>
        <v>0</v>
      </c>
    </row>
    <row r="91" spans="1:36" s="243" customFormat="1" ht="15" hidden="1" x14ac:dyDescent="0.25">
      <c r="A91" s="255"/>
      <c r="B91" s="256"/>
      <c r="C91" s="256"/>
      <c r="D91" s="256" t="s">
        <v>869</v>
      </c>
      <c r="E91" s="257"/>
      <c r="F91" s="255"/>
      <c r="G91" s="261"/>
      <c r="H91" s="541"/>
      <c r="I91" s="541"/>
      <c r="J91" s="541"/>
      <c r="K91" s="543"/>
      <c r="L91" s="541"/>
      <c r="M91" s="543"/>
      <c r="N91" s="544"/>
      <c r="O91" s="545"/>
      <c r="P91" s="541">
        <f>J91-N91</f>
        <v>0</v>
      </c>
      <c r="Q91" s="546"/>
      <c r="R91" s="541"/>
      <c r="S91" s="541"/>
      <c r="T91" s="541"/>
      <c r="U91" s="543"/>
      <c r="V91" s="544"/>
      <c r="W91" s="543"/>
      <c r="X91" s="544"/>
      <c r="Y91" s="545"/>
      <c r="Z91" s="547">
        <f>T91-X91</f>
        <v>0</v>
      </c>
      <c r="AA91" s="275"/>
      <c r="AB91" s="270"/>
      <c r="AC91" s="270"/>
      <c r="AD91" s="272"/>
      <c r="AE91" s="271"/>
      <c r="AF91" s="272">
        <f t="shared" si="6"/>
        <v>0</v>
      </c>
      <c r="AG91" s="273"/>
      <c r="AH91" s="270"/>
      <c r="AI91" s="271"/>
      <c r="AJ91" s="274">
        <f t="shared" si="7"/>
        <v>0</v>
      </c>
    </row>
    <row r="92" spans="1:36" s="243" customFormat="1" ht="15" x14ac:dyDescent="0.25">
      <c r="A92" s="255"/>
      <c r="B92" s="256"/>
      <c r="C92" s="256" t="s">
        <v>881</v>
      </c>
      <c r="D92" s="256"/>
      <c r="E92" s="257"/>
      <c r="F92" s="255"/>
      <c r="G92" s="261"/>
      <c r="H92" s="541"/>
      <c r="I92" s="541"/>
      <c r="J92" s="541"/>
      <c r="K92" s="543"/>
      <c r="L92" s="541"/>
      <c r="M92" s="543"/>
      <c r="N92" s="544"/>
      <c r="O92" s="545"/>
      <c r="P92" s="541"/>
      <c r="Q92" s="546"/>
      <c r="R92" s="541"/>
      <c r="S92" s="541"/>
      <c r="T92" s="541"/>
      <c r="U92" s="543"/>
      <c r="V92" s="544"/>
      <c r="W92" s="543"/>
      <c r="X92" s="544"/>
      <c r="Y92" s="545"/>
      <c r="Z92" s="547"/>
      <c r="AA92" s="275"/>
      <c r="AB92" s="270"/>
      <c r="AC92" s="270"/>
      <c r="AD92" s="272"/>
      <c r="AE92" s="271"/>
      <c r="AF92" s="272"/>
      <c r="AG92" s="273"/>
      <c r="AH92" s="270"/>
      <c r="AI92" s="271"/>
      <c r="AJ92" s="274"/>
    </row>
    <row r="93" spans="1:36" s="243" customFormat="1" ht="15" x14ac:dyDescent="0.25">
      <c r="A93" s="255"/>
      <c r="B93" s="256"/>
      <c r="C93" s="256"/>
      <c r="D93" s="256" t="s">
        <v>868</v>
      </c>
      <c r="E93" s="257"/>
      <c r="F93" s="255"/>
      <c r="G93" s="261"/>
      <c r="H93" s="541"/>
      <c r="I93" s="541"/>
      <c r="J93" s="541"/>
      <c r="K93" s="543"/>
      <c r="L93" s="541">
        <f>H93-J93</f>
        <v>0</v>
      </c>
      <c r="M93" s="543"/>
      <c r="N93" s="544"/>
      <c r="O93" s="545"/>
      <c r="P93" s="541">
        <f>J93-N93</f>
        <v>0</v>
      </c>
      <c r="Q93" s="546"/>
      <c r="R93" s="541">
        <v>0</v>
      </c>
      <c r="S93" s="541"/>
      <c r="T93" s="541">
        <v>0</v>
      </c>
      <c r="U93" s="543"/>
      <c r="V93" s="544">
        <f>R93-T93</f>
        <v>0</v>
      </c>
      <c r="W93" s="543"/>
      <c r="X93" s="544">
        <v>0</v>
      </c>
      <c r="Y93" s="545"/>
      <c r="Z93" s="547">
        <f>T93-X93</f>
        <v>0</v>
      </c>
      <c r="AA93" s="275"/>
      <c r="AB93" s="297">
        <v>53472454.550000004</v>
      </c>
      <c r="AC93" s="297"/>
      <c r="AD93" s="298">
        <v>94521561.319999993</v>
      </c>
      <c r="AE93" s="271"/>
      <c r="AF93" s="272">
        <f t="shared" si="6"/>
        <v>-41049106.769999988</v>
      </c>
      <c r="AG93" s="273"/>
      <c r="AH93" s="270">
        <v>75461428.219999999</v>
      </c>
      <c r="AI93" s="271"/>
      <c r="AJ93" s="274">
        <f t="shared" si="7"/>
        <v>19060133.099999994</v>
      </c>
    </row>
    <row r="94" spans="1:36" s="243" customFormat="1" ht="15" x14ac:dyDescent="0.25">
      <c r="A94" s="255"/>
      <c r="B94" s="256"/>
      <c r="C94" s="256"/>
      <c r="D94" s="256" t="s">
        <v>904</v>
      </c>
      <c r="E94" s="257"/>
      <c r="F94" s="255"/>
      <c r="G94" s="261"/>
      <c r="H94" s="541">
        <v>2800000</v>
      </c>
      <c r="I94" s="541"/>
      <c r="J94" s="541">
        <v>2800000</v>
      </c>
      <c r="K94" s="543"/>
      <c r="L94" s="541">
        <f t="shared" ref="L94:L98" si="18">H94-J94</f>
        <v>0</v>
      </c>
      <c r="M94" s="543"/>
      <c r="N94" s="544">
        <v>2660000</v>
      </c>
      <c r="O94" s="545"/>
      <c r="P94" s="556">
        <f t="shared" ref="P94:P98" si="19">J94-N94</f>
        <v>140000</v>
      </c>
      <c r="Q94" s="546"/>
      <c r="R94" s="541">
        <v>2800000</v>
      </c>
      <c r="S94" s="541"/>
      <c r="T94" s="541">
        <v>2800000</v>
      </c>
      <c r="U94" s="543"/>
      <c r="V94" s="544">
        <f t="shared" si="12"/>
        <v>0</v>
      </c>
      <c r="W94" s="543"/>
      <c r="X94" s="544">
        <v>2120000</v>
      </c>
      <c r="Y94" s="545"/>
      <c r="Z94" s="557">
        <f t="shared" ref="Z94:Z98" si="20">T94-X94</f>
        <v>680000</v>
      </c>
      <c r="AA94" s="275"/>
      <c r="AB94" s="289">
        <v>0</v>
      </c>
      <c r="AC94" s="270"/>
      <c r="AD94" s="289">
        <v>0</v>
      </c>
      <c r="AE94" s="271"/>
      <c r="AF94" s="272">
        <f t="shared" si="6"/>
        <v>0</v>
      </c>
      <c r="AG94" s="273"/>
      <c r="AH94" s="270">
        <v>0</v>
      </c>
      <c r="AI94" s="271"/>
      <c r="AJ94" s="274">
        <f t="shared" si="7"/>
        <v>0</v>
      </c>
    </row>
    <row r="95" spans="1:36" s="243" customFormat="1" ht="15" x14ac:dyDescent="0.25">
      <c r="A95" s="255"/>
      <c r="B95" s="256"/>
      <c r="C95" s="256"/>
      <c r="D95" s="256" t="s">
        <v>905</v>
      </c>
      <c r="E95" s="257"/>
      <c r="F95" s="255"/>
      <c r="G95" s="261"/>
      <c r="H95" s="541">
        <v>28440000</v>
      </c>
      <c r="I95" s="541"/>
      <c r="J95" s="541">
        <v>28440000</v>
      </c>
      <c r="K95" s="543"/>
      <c r="L95" s="541">
        <f t="shared" si="18"/>
        <v>0</v>
      </c>
      <c r="M95" s="543"/>
      <c r="N95" s="544">
        <v>28440000</v>
      </c>
      <c r="O95" s="545"/>
      <c r="P95" s="541">
        <f t="shared" si="19"/>
        <v>0</v>
      </c>
      <c r="Q95" s="546"/>
      <c r="R95" s="541">
        <v>15000000</v>
      </c>
      <c r="S95" s="541"/>
      <c r="T95" s="541">
        <v>28440000</v>
      </c>
      <c r="U95" s="543"/>
      <c r="V95" s="544">
        <f t="shared" si="12"/>
        <v>-13440000</v>
      </c>
      <c r="W95" s="543"/>
      <c r="X95" s="544">
        <v>28440000</v>
      </c>
      <c r="Y95" s="545"/>
      <c r="Z95" s="547">
        <f t="shared" si="20"/>
        <v>0</v>
      </c>
      <c r="AA95" s="275"/>
      <c r="AB95" s="289">
        <v>0</v>
      </c>
      <c r="AC95" s="270"/>
      <c r="AD95" s="289">
        <v>0</v>
      </c>
      <c r="AE95" s="271"/>
      <c r="AF95" s="272">
        <f t="shared" si="6"/>
        <v>0</v>
      </c>
      <c r="AG95" s="273"/>
      <c r="AH95" s="270">
        <v>0</v>
      </c>
      <c r="AI95" s="271"/>
      <c r="AJ95" s="274">
        <f t="shared" si="7"/>
        <v>0</v>
      </c>
    </row>
    <row r="96" spans="1:36" s="243" customFormat="1" ht="15" x14ac:dyDescent="0.25">
      <c r="A96" s="255"/>
      <c r="B96" s="256"/>
      <c r="C96" s="256"/>
      <c r="D96" s="256" t="s">
        <v>906</v>
      </c>
      <c r="E96" s="257"/>
      <c r="F96" s="255"/>
      <c r="G96" s="261"/>
      <c r="H96" s="541">
        <v>672389.99</v>
      </c>
      <c r="I96" s="541"/>
      <c r="J96" s="541">
        <v>672389.99</v>
      </c>
      <c r="K96" s="543"/>
      <c r="L96" s="541">
        <f t="shared" si="18"/>
        <v>0</v>
      </c>
      <c r="M96" s="543"/>
      <c r="N96" s="544">
        <v>672292.51</v>
      </c>
      <c r="O96" s="545"/>
      <c r="P96" s="541">
        <f t="shared" si="19"/>
        <v>97.479999999981374</v>
      </c>
      <c r="Q96" s="546"/>
      <c r="R96" s="541">
        <v>589491.62</v>
      </c>
      <c r="S96" s="541"/>
      <c r="T96" s="541">
        <v>589491.62</v>
      </c>
      <c r="U96" s="543"/>
      <c r="V96" s="544">
        <f t="shared" si="12"/>
        <v>0</v>
      </c>
      <c r="W96" s="543"/>
      <c r="X96" s="544">
        <v>589491.62</v>
      </c>
      <c r="Y96" s="545"/>
      <c r="Z96" s="547">
        <f t="shared" si="20"/>
        <v>0</v>
      </c>
      <c r="AA96" s="275"/>
      <c r="AB96" s="289">
        <v>0</v>
      </c>
      <c r="AC96" s="270"/>
      <c r="AD96" s="289">
        <v>0</v>
      </c>
      <c r="AE96" s="271"/>
      <c r="AF96" s="272">
        <f t="shared" si="6"/>
        <v>0</v>
      </c>
      <c r="AG96" s="273"/>
      <c r="AH96" s="270">
        <v>0</v>
      </c>
      <c r="AI96" s="271"/>
      <c r="AJ96" s="274">
        <f t="shared" si="7"/>
        <v>0</v>
      </c>
    </row>
    <row r="97" spans="1:36" s="243" customFormat="1" ht="15" x14ac:dyDescent="0.25">
      <c r="A97" s="255"/>
      <c r="B97" s="256"/>
      <c r="C97" s="256"/>
      <c r="D97" s="256" t="s">
        <v>907</v>
      </c>
      <c r="E97" s="257"/>
      <c r="F97" s="255"/>
      <c r="G97" s="261"/>
      <c r="H97" s="541"/>
      <c r="I97" s="541"/>
      <c r="J97" s="541">
        <v>44632622.440000005</v>
      </c>
      <c r="K97" s="543"/>
      <c r="L97" s="541">
        <f t="shared" si="18"/>
        <v>-44632622.440000005</v>
      </c>
      <c r="M97" s="543"/>
      <c r="N97" s="544">
        <v>43168829.969999999</v>
      </c>
      <c r="O97" s="545"/>
      <c r="P97" s="541">
        <f t="shared" si="19"/>
        <v>1463792.4700000063</v>
      </c>
      <c r="Q97" s="546"/>
      <c r="R97" s="541">
        <v>6762686.2000000002</v>
      </c>
      <c r="S97" s="541"/>
      <c r="T97" s="541">
        <v>60188900.409999996</v>
      </c>
      <c r="U97" s="543"/>
      <c r="V97" s="544">
        <f t="shared" si="12"/>
        <v>-53426214.209999993</v>
      </c>
      <c r="W97" s="543"/>
      <c r="X97" s="544">
        <v>52758166.259999998</v>
      </c>
      <c r="Y97" s="545"/>
      <c r="Z97" s="547">
        <f t="shared" si="20"/>
        <v>7430734.1499999985</v>
      </c>
      <c r="AA97" s="275"/>
      <c r="AB97" s="289">
        <v>0</v>
      </c>
      <c r="AC97" s="270"/>
      <c r="AD97" s="289">
        <v>0</v>
      </c>
      <c r="AE97" s="271"/>
      <c r="AF97" s="272">
        <f t="shared" si="6"/>
        <v>0</v>
      </c>
      <c r="AG97" s="273"/>
      <c r="AH97" s="270">
        <v>0</v>
      </c>
      <c r="AI97" s="271"/>
      <c r="AJ97" s="274">
        <f t="shared" si="7"/>
        <v>0</v>
      </c>
    </row>
    <row r="98" spans="1:36" s="243" customFormat="1" ht="30.75" customHeight="1" x14ac:dyDescent="0.25">
      <c r="A98" s="255"/>
      <c r="B98" s="256"/>
      <c r="C98" s="256"/>
      <c r="D98" s="637" t="s">
        <v>908</v>
      </c>
      <c r="E98" s="638"/>
      <c r="F98" s="255"/>
      <c r="G98" s="261"/>
      <c r="H98" s="541"/>
      <c r="I98" s="541"/>
      <c r="J98" s="541">
        <v>15122372.489999998</v>
      </c>
      <c r="K98" s="543"/>
      <c r="L98" s="541">
        <f t="shared" si="18"/>
        <v>-15122372.489999998</v>
      </c>
      <c r="M98" s="543"/>
      <c r="N98" s="544">
        <v>15122372.489999998</v>
      </c>
      <c r="O98" s="545"/>
      <c r="P98" s="541">
        <f t="shared" si="19"/>
        <v>0</v>
      </c>
      <c r="Q98" s="546"/>
      <c r="R98" s="541">
        <v>3936955.6</v>
      </c>
      <c r="S98" s="541"/>
      <c r="T98" s="541">
        <v>11065285.489999998</v>
      </c>
      <c r="U98" s="543"/>
      <c r="V98" s="544">
        <f t="shared" si="12"/>
        <v>-7128329.8899999987</v>
      </c>
      <c r="W98" s="543"/>
      <c r="X98" s="544">
        <v>9807349.4900000002</v>
      </c>
      <c r="Y98" s="545"/>
      <c r="Z98" s="547">
        <f t="shared" si="20"/>
        <v>1257935.9999999981</v>
      </c>
      <c r="AA98" s="275"/>
      <c r="AB98" s="270">
        <v>0</v>
      </c>
      <c r="AC98" s="270"/>
      <c r="AD98" s="299">
        <v>0</v>
      </c>
      <c r="AE98" s="271"/>
      <c r="AF98" s="272">
        <f t="shared" si="6"/>
        <v>0</v>
      </c>
      <c r="AG98" s="273"/>
      <c r="AH98" s="270">
        <v>0</v>
      </c>
      <c r="AI98" s="271"/>
      <c r="AJ98" s="274">
        <f t="shared" si="7"/>
        <v>0</v>
      </c>
    </row>
    <row r="99" spans="1:36" s="243" customFormat="1" ht="15" hidden="1" x14ac:dyDescent="0.25">
      <c r="A99" s="255"/>
      <c r="B99" s="256"/>
      <c r="C99" s="256"/>
      <c r="D99" s="256"/>
      <c r="E99" s="257"/>
      <c r="F99" s="255"/>
      <c r="G99" s="261"/>
      <c r="H99" s="541"/>
      <c r="I99" s="541"/>
      <c r="J99" s="541"/>
      <c r="K99" s="543"/>
      <c r="L99" s="541"/>
      <c r="M99" s="543"/>
      <c r="N99" s="544"/>
      <c r="O99" s="545"/>
      <c r="P99" s="541"/>
      <c r="Q99" s="546"/>
      <c r="R99" s="541"/>
      <c r="S99" s="541"/>
      <c r="T99" s="541"/>
      <c r="U99" s="543"/>
      <c r="V99" s="544"/>
      <c r="W99" s="543"/>
      <c r="X99" s="544"/>
      <c r="Y99" s="545"/>
      <c r="Z99" s="547"/>
      <c r="AA99" s="275"/>
      <c r="AB99" s="270"/>
      <c r="AC99" s="270"/>
      <c r="AD99" s="272"/>
      <c r="AE99" s="271"/>
      <c r="AF99" s="272">
        <f t="shared" si="6"/>
        <v>0</v>
      </c>
      <c r="AG99" s="273"/>
      <c r="AH99" s="270"/>
      <c r="AI99" s="271"/>
      <c r="AJ99" s="274">
        <f t="shared" si="7"/>
        <v>0</v>
      </c>
    </row>
    <row r="100" spans="1:36" s="243" customFormat="1" ht="15" x14ac:dyDescent="0.25">
      <c r="A100" s="255"/>
      <c r="B100" s="256"/>
      <c r="C100" s="269" t="s">
        <v>882</v>
      </c>
      <c r="D100" s="256"/>
      <c r="E100" s="257"/>
      <c r="F100" s="526"/>
      <c r="G100" s="261"/>
      <c r="H100" s="549">
        <f>SUM(H49:H98)</f>
        <v>1185281644.01</v>
      </c>
      <c r="I100" s="545"/>
      <c r="J100" s="549">
        <f>SUM(J49:J98)</f>
        <v>2006253704.6800001</v>
      </c>
      <c r="K100" s="543"/>
      <c r="L100" s="549">
        <f>SUM(L49:L98)</f>
        <v>-820972060.67000008</v>
      </c>
      <c r="M100" s="543"/>
      <c r="N100" s="550">
        <f>SUM(N49:N98)</f>
        <v>1163698592.05</v>
      </c>
      <c r="O100" s="545"/>
      <c r="P100" s="549">
        <f>SUM(P49:P98)</f>
        <v>842555112.63</v>
      </c>
      <c r="Q100" s="546"/>
      <c r="R100" s="549">
        <f>SUM(R49:R98)</f>
        <v>1071404810.5400001</v>
      </c>
      <c r="S100" s="545"/>
      <c r="T100" s="549">
        <f>SUM(T49:T98)</f>
        <v>1496583729.5799997</v>
      </c>
      <c r="U100" s="543"/>
      <c r="V100" s="550">
        <f>SUM(V49:V98)</f>
        <v>-425178919.03999996</v>
      </c>
      <c r="W100" s="543"/>
      <c r="X100" s="550">
        <f>SUM(X49:X98)</f>
        <v>1055766730.7900002</v>
      </c>
      <c r="Y100" s="545"/>
      <c r="Z100" s="551">
        <f>SUM(Z49:Z98)</f>
        <v>440816998.7899999</v>
      </c>
      <c r="AA100" s="275"/>
      <c r="AB100" s="277">
        <f>SUM(AB49:AB99)</f>
        <v>1038977912.5799998</v>
      </c>
      <c r="AC100" s="277">
        <f t="shared" ref="AC100:AJ100" si="21">SUM(AC49:AC99)</f>
        <v>0</v>
      </c>
      <c r="AD100" s="277">
        <f t="shared" si="21"/>
        <v>1210939178.5399997</v>
      </c>
      <c r="AE100" s="277">
        <f t="shared" si="21"/>
        <v>0</v>
      </c>
      <c r="AF100" s="277">
        <f t="shared" si="21"/>
        <v>-171961265.95999998</v>
      </c>
      <c r="AG100" s="277">
        <f t="shared" si="21"/>
        <v>0</v>
      </c>
      <c r="AH100" s="277">
        <f>SUM(AH49:AH99)</f>
        <v>933360270.36000001</v>
      </c>
      <c r="AI100" s="277">
        <f t="shared" si="21"/>
        <v>0</v>
      </c>
      <c r="AJ100" s="279">
        <f t="shared" si="21"/>
        <v>277578908.17999995</v>
      </c>
    </row>
    <row r="101" spans="1:36" s="243" customFormat="1" ht="15" x14ac:dyDescent="0.25">
      <c r="A101" s="247" t="s">
        <v>883</v>
      </c>
      <c r="B101" s="256"/>
      <c r="C101" s="256"/>
      <c r="D101" s="256"/>
      <c r="E101" s="257"/>
      <c r="F101" s="255"/>
      <c r="G101" s="261"/>
      <c r="H101" s="545"/>
      <c r="I101" s="545"/>
      <c r="J101" s="545"/>
      <c r="K101" s="543"/>
      <c r="L101" s="545"/>
      <c r="M101" s="543"/>
      <c r="N101" s="544"/>
      <c r="O101" s="545"/>
      <c r="P101" s="541"/>
      <c r="Q101" s="546"/>
      <c r="R101" s="545"/>
      <c r="S101" s="545"/>
      <c r="T101" s="545"/>
      <c r="U101" s="543"/>
      <c r="V101" s="552"/>
      <c r="W101" s="543"/>
      <c r="X101" s="544"/>
      <c r="Y101" s="545"/>
      <c r="Z101" s="547"/>
      <c r="AA101" s="275"/>
      <c r="AB101" s="273"/>
      <c r="AC101" s="273"/>
      <c r="AD101" s="280"/>
      <c r="AE101" s="271"/>
      <c r="AF101" s="280"/>
      <c r="AG101" s="273"/>
      <c r="AH101" s="273"/>
      <c r="AI101" s="271"/>
      <c r="AJ101" s="274"/>
    </row>
    <row r="102" spans="1:36" s="243" customFormat="1" ht="15" x14ac:dyDescent="0.25">
      <c r="A102" s="255"/>
      <c r="B102" s="269" t="s">
        <v>866</v>
      </c>
      <c r="C102" s="256"/>
      <c r="D102" s="256"/>
      <c r="E102" s="257"/>
      <c r="F102" s="255"/>
      <c r="G102" s="261"/>
      <c r="H102" s="545"/>
      <c r="I102" s="545"/>
      <c r="J102" s="545"/>
      <c r="K102" s="543"/>
      <c r="L102" s="545"/>
      <c r="M102" s="543"/>
      <c r="N102" s="552"/>
      <c r="O102" s="545"/>
      <c r="P102" s="541"/>
      <c r="Q102" s="546"/>
      <c r="R102" s="545"/>
      <c r="S102" s="545"/>
      <c r="T102" s="545"/>
      <c r="U102" s="543"/>
      <c r="V102" s="552"/>
      <c r="W102" s="543"/>
      <c r="X102" s="552"/>
      <c r="Y102" s="545"/>
      <c r="Z102" s="547"/>
      <c r="AA102" s="275"/>
      <c r="AB102" s="273"/>
      <c r="AC102" s="273"/>
      <c r="AD102" s="280"/>
      <c r="AE102" s="271"/>
      <c r="AF102" s="280"/>
      <c r="AG102" s="273"/>
      <c r="AH102" s="273"/>
      <c r="AI102" s="271"/>
      <c r="AJ102" s="274"/>
    </row>
    <row r="103" spans="1:36" s="243" customFormat="1" ht="15" hidden="1" x14ac:dyDescent="0.25">
      <c r="A103" s="255"/>
      <c r="B103" s="269"/>
      <c r="C103" s="256" t="s">
        <v>868</v>
      </c>
      <c r="D103" s="256"/>
      <c r="E103" s="257"/>
      <c r="F103" s="255"/>
      <c r="G103" s="261"/>
      <c r="H103" s="545"/>
      <c r="I103" s="545"/>
      <c r="J103" s="545"/>
      <c r="K103" s="543"/>
      <c r="L103" s="545">
        <v>0</v>
      </c>
      <c r="M103" s="543"/>
      <c r="N103" s="552">
        <v>0</v>
      </c>
      <c r="O103" s="545"/>
      <c r="P103" s="541">
        <v>0</v>
      </c>
      <c r="Q103" s="546"/>
      <c r="R103" s="545">
        <v>0</v>
      </c>
      <c r="S103" s="545"/>
      <c r="T103" s="545">
        <v>0</v>
      </c>
      <c r="U103" s="543"/>
      <c r="V103" s="552">
        <v>0</v>
      </c>
      <c r="W103" s="543"/>
      <c r="X103" s="552">
        <v>0</v>
      </c>
      <c r="Y103" s="545"/>
      <c r="Z103" s="547">
        <v>0</v>
      </c>
      <c r="AA103" s="275"/>
      <c r="AB103" s="270"/>
      <c r="AC103" s="270"/>
      <c r="AD103" s="270"/>
      <c r="AE103" s="271"/>
      <c r="AF103" s="272">
        <f>AB103-AD103</f>
        <v>0</v>
      </c>
      <c r="AG103" s="273"/>
      <c r="AH103" s="273">
        <v>0</v>
      </c>
      <c r="AI103" s="271"/>
      <c r="AJ103" s="274">
        <v>0</v>
      </c>
    </row>
    <row r="104" spans="1:36" s="243" customFormat="1" ht="15" x14ac:dyDescent="0.25">
      <c r="A104" s="255"/>
      <c r="B104" s="256"/>
      <c r="C104" s="256" t="s">
        <v>869</v>
      </c>
      <c r="D104" s="256"/>
      <c r="E104" s="257"/>
      <c r="F104" s="255"/>
      <c r="G104" s="261"/>
      <c r="H104" s="541">
        <v>69919676.039999992</v>
      </c>
      <c r="I104" s="541"/>
      <c r="J104" s="544">
        <v>67859676.040000007</v>
      </c>
      <c r="K104" s="545"/>
      <c r="L104" s="541">
        <f>H104-J104</f>
        <v>2059999.9999999851</v>
      </c>
      <c r="M104" s="543"/>
      <c r="N104" s="558">
        <v>45365119.600000001</v>
      </c>
      <c r="O104" s="545"/>
      <c r="P104" s="541">
        <f>J104-N104</f>
        <v>22494556.440000005</v>
      </c>
      <c r="Q104" s="546"/>
      <c r="R104" s="541">
        <v>86734837.549999997</v>
      </c>
      <c r="S104" s="541"/>
      <c r="T104" s="541">
        <v>74665974.219999999</v>
      </c>
      <c r="U104" s="543"/>
      <c r="V104" s="544">
        <f>R104-T104</f>
        <v>12068863.329999998</v>
      </c>
      <c r="W104" s="543"/>
      <c r="X104" s="558">
        <v>36673735.869999997</v>
      </c>
      <c r="Y104" s="545"/>
      <c r="Z104" s="547">
        <f>T104-X104</f>
        <v>37992238.350000001</v>
      </c>
      <c r="AA104" s="275"/>
      <c r="AB104" s="270">
        <v>84380985.439999998</v>
      </c>
      <c r="AC104" s="270"/>
      <c r="AD104" s="272">
        <v>84380985.439999998</v>
      </c>
      <c r="AE104" s="271"/>
      <c r="AF104" s="272">
        <f>AB104-AD104</f>
        <v>0</v>
      </c>
      <c r="AG104" s="273"/>
      <c r="AH104" s="300">
        <v>25034205.780000001</v>
      </c>
      <c r="AI104" s="271"/>
      <c r="AJ104" s="274">
        <f>AD104-AH104</f>
        <v>59346779.659999996</v>
      </c>
    </row>
    <row r="105" spans="1:36" s="243" customFormat="1" ht="15" hidden="1" x14ac:dyDescent="0.25">
      <c r="A105" s="255"/>
      <c r="B105" s="269" t="s">
        <v>870</v>
      </c>
      <c r="C105" s="256"/>
      <c r="D105" s="256"/>
      <c r="E105" s="257"/>
      <c r="F105" s="255"/>
      <c r="G105" s="261"/>
      <c r="H105" s="541"/>
      <c r="I105" s="541"/>
      <c r="J105" s="544"/>
      <c r="K105" s="545"/>
      <c r="L105" s="545"/>
      <c r="M105" s="543"/>
      <c r="N105" s="552"/>
      <c r="O105" s="545"/>
      <c r="P105" s="541"/>
      <c r="Q105" s="546"/>
      <c r="R105" s="541"/>
      <c r="S105" s="541"/>
      <c r="T105" s="541"/>
      <c r="U105" s="543"/>
      <c r="V105" s="552"/>
      <c r="W105" s="543"/>
      <c r="X105" s="552"/>
      <c r="Y105" s="545"/>
      <c r="Z105" s="547"/>
      <c r="AA105" s="275"/>
      <c r="AB105" s="270"/>
      <c r="AC105" s="270"/>
      <c r="AD105" s="272"/>
      <c r="AE105" s="271"/>
      <c r="AF105" s="280"/>
      <c r="AG105" s="273"/>
      <c r="AH105" s="273"/>
      <c r="AI105" s="271"/>
      <c r="AJ105" s="274"/>
    </row>
    <row r="106" spans="1:36" s="243" customFormat="1" ht="15" hidden="1" x14ac:dyDescent="0.25">
      <c r="A106" s="255"/>
      <c r="B106" s="256"/>
      <c r="C106" s="256" t="s">
        <v>869</v>
      </c>
      <c r="D106" s="256"/>
      <c r="E106" s="257"/>
      <c r="F106" s="255"/>
      <c r="G106" s="261"/>
      <c r="H106" s="541"/>
      <c r="I106" s="541"/>
      <c r="J106" s="544"/>
      <c r="K106" s="545"/>
      <c r="L106" s="541">
        <f>H106-J106</f>
        <v>0</v>
      </c>
      <c r="M106" s="543"/>
      <c r="N106" s="544"/>
      <c r="O106" s="545"/>
      <c r="P106" s="541">
        <f>J106-N106</f>
        <v>0</v>
      </c>
      <c r="Q106" s="546"/>
      <c r="R106" s="541"/>
      <c r="S106" s="541"/>
      <c r="T106" s="541"/>
      <c r="U106" s="543"/>
      <c r="V106" s="544">
        <f>R106-T106</f>
        <v>0</v>
      </c>
      <c r="W106" s="543"/>
      <c r="X106" s="544"/>
      <c r="Y106" s="545"/>
      <c r="Z106" s="547">
        <f>T106-X106</f>
        <v>0</v>
      </c>
      <c r="AA106" s="275"/>
      <c r="AB106" s="270"/>
      <c r="AC106" s="270"/>
      <c r="AD106" s="272"/>
      <c r="AE106" s="271"/>
      <c r="AF106" s="272">
        <v>0</v>
      </c>
      <c r="AG106" s="273"/>
      <c r="AH106" s="273"/>
      <c r="AI106" s="271"/>
      <c r="AJ106" s="274">
        <f>AD106-AH106</f>
        <v>0</v>
      </c>
    </row>
    <row r="107" spans="1:36" s="243" customFormat="1" ht="15" x14ac:dyDescent="0.25">
      <c r="A107" s="255"/>
      <c r="B107" s="269" t="s">
        <v>871</v>
      </c>
      <c r="C107" s="256"/>
      <c r="D107" s="256"/>
      <c r="E107" s="257"/>
      <c r="F107" s="255"/>
      <c r="G107" s="261"/>
      <c r="H107" s="541"/>
      <c r="I107" s="541"/>
      <c r="J107" s="544"/>
      <c r="K107" s="545"/>
      <c r="L107" s="545"/>
      <c r="M107" s="543"/>
      <c r="N107" s="552"/>
      <c r="O107" s="545"/>
      <c r="P107" s="541"/>
      <c r="Q107" s="546"/>
      <c r="R107" s="541"/>
      <c r="S107" s="541"/>
      <c r="T107" s="541"/>
      <c r="U107" s="543"/>
      <c r="V107" s="552"/>
      <c r="W107" s="543"/>
      <c r="X107" s="552"/>
      <c r="Y107" s="545"/>
      <c r="Z107" s="547"/>
      <c r="AA107" s="275"/>
      <c r="AB107" s="270"/>
      <c r="AC107" s="270"/>
      <c r="AD107" s="272"/>
      <c r="AE107" s="271"/>
      <c r="AF107" s="280"/>
      <c r="AG107" s="273"/>
      <c r="AH107" s="273"/>
      <c r="AI107" s="271"/>
      <c r="AJ107" s="274"/>
    </row>
    <row r="108" spans="1:36" s="243" customFormat="1" ht="15" x14ac:dyDescent="0.25">
      <c r="A108" s="255"/>
      <c r="B108" s="256"/>
      <c r="C108" s="256" t="s">
        <v>869</v>
      </c>
      <c r="D108" s="256"/>
      <c r="E108" s="257"/>
      <c r="F108" s="255"/>
      <c r="G108" s="261"/>
      <c r="H108" s="541">
        <v>457920.15</v>
      </c>
      <c r="I108" s="541"/>
      <c r="J108" s="544">
        <v>457920.15</v>
      </c>
      <c r="K108" s="545"/>
      <c r="L108" s="541">
        <f>H108-J108</f>
        <v>0</v>
      </c>
      <c r="M108" s="543"/>
      <c r="N108" s="544">
        <v>144760</v>
      </c>
      <c r="O108" s="545"/>
      <c r="P108" s="541">
        <f>J108-N108</f>
        <v>313160.15000000002</v>
      </c>
      <c r="Q108" s="546"/>
      <c r="R108" s="541">
        <v>941341.15</v>
      </c>
      <c r="S108" s="541"/>
      <c r="T108" s="541">
        <v>411341.15</v>
      </c>
      <c r="U108" s="543"/>
      <c r="V108" s="544">
        <f>R108-T108</f>
        <v>530000</v>
      </c>
      <c r="W108" s="543"/>
      <c r="X108" s="544">
        <v>14950</v>
      </c>
      <c r="Y108" s="545"/>
      <c r="Z108" s="547">
        <f>T108-X108</f>
        <v>396391.15</v>
      </c>
      <c r="AA108" s="275"/>
      <c r="AB108" s="270">
        <v>541000</v>
      </c>
      <c r="AC108" s="270"/>
      <c r="AD108" s="272">
        <v>541000</v>
      </c>
      <c r="AE108" s="271"/>
      <c r="AF108" s="272">
        <v>0</v>
      </c>
      <c r="AG108" s="273"/>
      <c r="AH108" s="273">
        <v>0</v>
      </c>
      <c r="AI108" s="271"/>
      <c r="AJ108" s="274">
        <f>AD108-AH108</f>
        <v>541000</v>
      </c>
    </row>
    <row r="109" spans="1:36" s="243" customFormat="1" ht="15" hidden="1" x14ac:dyDescent="0.25">
      <c r="A109" s="255"/>
      <c r="B109" s="269" t="s">
        <v>872</v>
      </c>
      <c r="C109" s="256"/>
      <c r="D109" s="256"/>
      <c r="E109" s="257"/>
      <c r="F109" s="255"/>
      <c r="G109" s="261"/>
      <c r="H109" s="541"/>
      <c r="I109" s="541"/>
      <c r="J109" s="544"/>
      <c r="K109" s="545"/>
      <c r="L109" s="545"/>
      <c r="M109" s="543"/>
      <c r="N109" s="552"/>
      <c r="O109" s="545"/>
      <c r="P109" s="541"/>
      <c r="Q109" s="546"/>
      <c r="R109" s="541"/>
      <c r="S109" s="541"/>
      <c r="T109" s="541"/>
      <c r="U109" s="543"/>
      <c r="V109" s="552"/>
      <c r="W109" s="543"/>
      <c r="X109" s="552"/>
      <c r="Y109" s="545"/>
      <c r="Z109" s="547"/>
      <c r="AA109" s="275"/>
      <c r="AB109" s="270"/>
      <c r="AC109" s="270"/>
      <c r="AD109" s="272"/>
      <c r="AE109" s="271"/>
      <c r="AF109" s="280"/>
      <c r="AG109" s="273"/>
      <c r="AH109" s="273"/>
      <c r="AI109" s="271"/>
      <c r="AJ109" s="274"/>
    </row>
    <row r="110" spans="1:36" s="243" customFormat="1" ht="15" hidden="1" x14ac:dyDescent="0.25">
      <c r="A110" s="255"/>
      <c r="B110" s="269"/>
      <c r="C110" s="256" t="s">
        <v>869</v>
      </c>
      <c r="D110" s="256"/>
      <c r="E110" s="257"/>
      <c r="F110" s="255"/>
      <c r="G110" s="261"/>
      <c r="H110" s="541"/>
      <c r="I110" s="541"/>
      <c r="J110" s="544"/>
      <c r="K110" s="545"/>
      <c r="L110" s="541"/>
      <c r="M110" s="543"/>
      <c r="N110" s="552"/>
      <c r="O110" s="545"/>
      <c r="P110" s="541"/>
      <c r="Q110" s="546"/>
      <c r="R110" s="541"/>
      <c r="S110" s="541"/>
      <c r="T110" s="541"/>
      <c r="U110" s="543"/>
      <c r="V110" s="544"/>
      <c r="W110" s="543"/>
      <c r="X110" s="552"/>
      <c r="Y110" s="545"/>
      <c r="Z110" s="547"/>
      <c r="AA110" s="275"/>
      <c r="AB110" s="270"/>
      <c r="AC110" s="270"/>
      <c r="AD110" s="272"/>
      <c r="AE110" s="271"/>
      <c r="AF110" s="272">
        <v>0</v>
      </c>
      <c r="AG110" s="273"/>
      <c r="AH110" s="273"/>
      <c r="AI110" s="271"/>
      <c r="AJ110" s="274">
        <f>AD110-AH110</f>
        <v>0</v>
      </c>
    </row>
    <row r="111" spans="1:36" s="243" customFormat="1" ht="15" hidden="1" x14ac:dyDescent="0.25">
      <c r="A111" s="255"/>
      <c r="B111" s="269" t="s">
        <v>873</v>
      </c>
      <c r="C111" s="256"/>
      <c r="D111" s="256"/>
      <c r="E111" s="257"/>
      <c r="F111" s="255"/>
      <c r="G111" s="261"/>
      <c r="H111" s="541"/>
      <c r="I111" s="541"/>
      <c r="J111" s="544"/>
      <c r="K111" s="545"/>
      <c r="L111" s="545"/>
      <c r="M111" s="543"/>
      <c r="N111" s="552"/>
      <c r="O111" s="545"/>
      <c r="P111" s="541"/>
      <c r="Q111" s="546"/>
      <c r="R111" s="541"/>
      <c r="S111" s="541"/>
      <c r="T111" s="541"/>
      <c r="U111" s="543"/>
      <c r="V111" s="552"/>
      <c r="W111" s="543"/>
      <c r="X111" s="552"/>
      <c r="Y111" s="545"/>
      <c r="Z111" s="547"/>
      <c r="AA111" s="275"/>
      <c r="AB111" s="270"/>
      <c r="AC111" s="270"/>
      <c r="AD111" s="272"/>
      <c r="AE111" s="271"/>
      <c r="AF111" s="280"/>
      <c r="AG111" s="273"/>
      <c r="AH111" s="273"/>
      <c r="AI111" s="271"/>
      <c r="AJ111" s="274"/>
    </row>
    <row r="112" spans="1:36" s="243" customFormat="1" ht="15" hidden="1" x14ac:dyDescent="0.25">
      <c r="A112" s="255"/>
      <c r="B112" s="269"/>
      <c r="C112" s="256" t="s">
        <v>869</v>
      </c>
      <c r="D112" s="256"/>
      <c r="E112" s="257"/>
      <c r="F112" s="255"/>
      <c r="G112" s="261"/>
      <c r="H112" s="541"/>
      <c r="I112" s="541"/>
      <c r="J112" s="544"/>
      <c r="K112" s="545"/>
      <c r="L112" s="541"/>
      <c r="M112" s="543"/>
      <c r="N112" s="552"/>
      <c r="O112" s="545"/>
      <c r="P112" s="541"/>
      <c r="Q112" s="546"/>
      <c r="R112" s="541"/>
      <c r="S112" s="541"/>
      <c r="T112" s="541"/>
      <c r="U112" s="543"/>
      <c r="V112" s="544"/>
      <c r="W112" s="543"/>
      <c r="X112" s="552"/>
      <c r="Y112" s="545"/>
      <c r="Z112" s="547"/>
      <c r="AA112" s="275"/>
      <c r="AB112" s="270"/>
      <c r="AC112" s="270"/>
      <c r="AD112" s="272"/>
      <c r="AE112" s="271"/>
      <c r="AF112" s="272">
        <v>0</v>
      </c>
      <c r="AG112" s="273"/>
      <c r="AH112" s="273"/>
      <c r="AI112" s="271"/>
      <c r="AJ112" s="274">
        <f>AD112-AH112</f>
        <v>0</v>
      </c>
    </row>
    <row r="113" spans="1:36" s="243" customFormat="1" ht="15" x14ac:dyDescent="0.25">
      <c r="A113" s="255"/>
      <c r="B113" s="269" t="s">
        <v>874</v>
      </c>
      <c r="C113" s="256"/>
      <c r="D113" s="256"/>
      <c r="E113" s="257"/>
      <c r="F113" s="255"/>
      <c r="G113" s="261"/>
      <c r="H113" s="541"/>
      <c r="I113" s="541"/>
      <c r="J113" s="544"/>
      <c r="K113" s="545"/>
      <c r="L113" s="545"/>
      <c r="M113" s="543"/>
      <c r="N113" s="552"/>
      <c r="O113" s="545"/>
      <c r="P113" s="541"/>
      <c r="Q113" s="546"/>
      <c r="R113" s="541"/>
      <c r="S113" s="541"/>
      <c r="T113" s="541"/>
      <c r="U113" s="543"/>
      <c r="V113" s="552"/>
      <c r="W113" s="543"/>
      <c r="X113" s="552"/>
      <c r="Y113" s="545"/>
      <c r="Z113" s="547"/>
      <c r="AA113" s="275"/>
      <c r="AB113" s="270"/>
      <c r="AC113" s="270"/>
      <c r="AD113" s="272"/>
      <c r="AE113" s="271"/>
      <c r="AF113" s="280"/>
      <c r="AG113" s="273"/>
      <c r="AH113" s="273"/>
      <c r="AI113" s="271"/>
      <c r="AJ113" s="274"/>
    </row>
    <row r="114" spans="1:36" s="243" customFormat="1" ht="15" x14ac:dyDescent="0.25">
      <c r="A114" s="255"/>
      <c r="B114" s="269"/>
      <c r="C114" s="256" t="s">
        <v>869</v>
      </c>
      <c r="D114" s="256"/>
      <c r="E114" s="257"/>
      <c r="F114" s="255"/>
      <c r="G114" s="261"/>
      <c r="H114" s="541">
        <v>95000</v>
      </c>
      <c r="I114" s="541"/>
      <c r="J114" s="544">
        <v>95000</v>
      </c>
      <c r="K114" s="545"/>
      <c r="L114" s="541">
        <f>H114-J114</f>
        <v>0</v>
      </c>
      <c r="M114" s="543"/>
      <c r="N114" s="544"/>
      <c r="O114" s="545"/>
      <c r="P114" s="541">
        <f>J114-N114</f>
        <v>95000</v>
      </c>
      <c r="Q114" s="546"/>
      <c r="R114" s="541">
        <v>261000</v>
      </c>
      <c r="S114" s="541"/>
      <c r="T114" s="541">
        <v>166000</v>
      </c>
      <c r="U114" s="543"/>
      <c r="V114" s="544">
        <f>R114-T114</f>
        <v>95000</v>
      </c>
      <c r="W114" s="543"/>
      <c r="X114" s="544">
        <v>52700</v>
      </c>
      <c r="Y114" s="545"/>
      <c r="Z114" s="547">
        <f>T114-X114</f>
        <v>113300</v>
      </c>
      <c r="AA114" s="275"/>
      <c r="AB114" s="270">
        <v>278500</v>
      </c>
      <c r="AC114" s="270"/>
      <c r="AD114" s="272">
        <v>278500</v>
      </c>
      <c r="AE114" s="271"/>
      <c r="AF114" s="272">
        <f>AB114-AD114</f>
        <v>0</v>
      </c>
      <c r="AG114" s="273"/>
      <c r="AH114" s="273">
        <v>0</v>
      </c>
      <c r="AI114" s="271"/>
      <c r="AJ114" s="274">
        <f>AD114-AH114</f>
        <v>278500</v>
      </c>
    </row>
    <row r="115" spans="1:36" s="243" customFormat="1" ht="15" x14ac:dyDescent="0.25">
      <c r="A115" s="255"/>
      <c r="B115" s="269" t="s">
        <v>875</v>
      </c>
      <c r="C115" s="256"/>
      <c r="D115" s="256"/>
      <c r="E115" s="257"/>
      <c r="F115" s="255"/>
      <c r="G115" s="261"/>
      <c r="H115" s="541"/>
      <c r="I115" s="541"/>
      <c r="J115" s="544"/>
      <c r="K115" s="545"/>
      <c r="L115" s="545"/>
      <c r="M115" s="543"/>
      <c r="N115" s="552"/>
      <c r="O115" s="545"/>
      <c r="P115" s="541"/>
      <c r="Q115" s="546"/>
      <c r="R115" s="541"/>
      <c r="S115" s="541"/>
      <c r="T115" s="541"/>
      <c r="U115" s="543"/>
      <c r="V115" s="552"/>
      <c r="W115" s="543"/>
      <c r="X115" s="552"/>
      <c r="Y115" s="545"/>
      <c r="Z115" s="547"/>
      <c r="AA115" s="275"/>
      <c r="AB115" s="270"/>
      <c r="AC115" s="270"/>
      <c r="AD115" s="272"/>
      <c r="AE115" s="271"/>
      <c r="AF115" s="280"/>
      <c r="AG115" s="273"/>
      <c r="AH115" s="273"/>
      <c r="AI115" s="271"/>
      <c r="AJ115" s="274"/>
    </row>
    <row r="116" spans="1:36" s="243" customFormat="1" ht="15" hidden="1" x14ac:dyDescent="0.25">
      <c r="A116" s="255"/>
      <c r="B116" s="269"/>
      <c r="C116" s="256" t="s">
        <v>868</v>
      </c>
      <c r="D116" s="256"/>
      <c r="E116" s="257"/>
      <c r="F116" s="255"/>
      <c r="G116" s="261"/>
      <c r="H116" s="541"/>
      <c r="I116" s="541"/>
      <c r="J116" s="544"/>
      <c r="K116" s="545"/>
      <c r="L116" s="541">
        <f>H116-J116</f>
        <v>0</v>
      </c>
      <c r="M116" s="543"/>
      <c r="N116" s="552"/>
      <c r="O116" s="545"/>
      <c r="P116" s="541">
        <f>J116-N116</f>
        <v>0</v>
      </c>
      <c r="Q116" s="546"/>
      <c r="R116" s="541">
        <v>269925</v>
      </c>
      <c r="S116" s="541"/>
      <c r="T116" s="541">
        <v>269925</v>
      </c>
      <c r="U116" s="543"/>
      <c r="V116" s="544">
        <f>R116-T116</f>
        <v>0</v>
      </c>
      <c r="W116" s="543"/>
      <c r="X116" s="552"/>
      <c r="Y116" s="545"/>
      <c r="Z116" s="547">
        <f>T116-X116</f>
        <v>269925</v>
      </c>
      <c r="AA116" s="275"/>
      <c r="AB116" s="270">
        <v>54471.94</v>
      </c>
      <c r="AC116" s="270"/>
      <c r="AD116" s="272">
        <v>54471.94</v>
      </c>
      <c r="AE116" s="271"/>
      <c r="AF116" s="272">
        <f>AB116-AD116</f>
        <v>0</v>
      </c>
      <c r="AG116" s="273"/>
      <c r="AH116" s="270">
        <v>0</v>
      </c>
      <c r="AI116" s="271"/>
      <c r="AJ116" s="274">
        <f>AD116-AH116</f>
        <v>54471.94</v>
      </c>
    </row>
    <row r="117" spans="1:36" s="243" customFormat="1" ht="15" x14ac:dyDescent="0.25">
      <c r="A117" s="255"/>
      <c r="B117" s="269"/>
      <c r="C117" s="256" t="s">
        <v>869</v>
      </c>
      <c r="D117" s="256"/>
      <c r="E117" s="257"/>
      <c r="F117" s="255"/>
      <c r="G117" s="261"/>
      <c r="H117" s="541">
        <v>236214592.99000001</v>
      </c>
      <c r="I117" s="541"/>
      <c r="J117" s="544">
        <v>236214592.99000001</v>
      </c>
      <c r="K117" s="545"/>
      <c r="L117" s="541">
        <f>H117-J117</f>
        <v>0</v>
      </c>
      <c r="M117" s="543"/>
      <c r="N117" s="558">
        <v>136831708.68999997</v>
      </c>
      <c r="O117" s="545"/>
      <c r="P117" s="541">
        <f>J117-N117</f>
        <v>99382884.300000042</v>
      </c>
      <c r="Q117" s="546"/>
      <c r="R117" s="541">
        <v>272003557.69999999</v>
      </c>
      <c r="S117" s="541"/>
      <c r="T117" s="541">
        <v>180931261.94999999</v>
      </c>
      <c r="U117" s="543"/>
      <c r="V117" s="544">
        <f>R117-T117</f>
        <v>91072295.75</v>
      </c>
      <c r="W117" s="543"/>
      <c r="X117" s="558">
        <v>65621536.899999999</v>
      </c>
      <c r="Y117" s="545"/>
      <c r="Z117" s="547">
        <f>T117-X117</f>
        <v>115309725.04999998</v>
      </c>
      <c r="AA117" s="275"/>
      <c r="AB117" s="270">
        <v>242435390.96000001</v>
      </c>
      <c r="AC117" s="270"/>
      <c r="AD117" s="272">
        <v>242435390.96000001</v>
      </c>
      <c r="AE117" s="271"/>
      <c r="AF117" s="272">
        <f>AB117-AD117</f>
        <v>0</v>
      </c>
      <c r="AG117" s="273"/>
      <c r="AH117" s="300">
        <v>77463610.979999989</v>
      </c>
      <c r="AI117" s="271"/>
      <c r="AJ117" s="274">
        <f>AD117-AH117</f>
        <v>164971779.98000002</v>
      </c>
    </row>
    <row r="118" spans="1:36" s="243" customFormat="1" ht="15" x14ac:dyDescent="0.25">
      <c r="A118" s="255"/>
      <c r="B118" s="269" t="s">
        <v>876</v>
      </c>
      <c r="C118" s="256"/>
      <c r="D118" s="256"/>
      <c r="E118" s="257"/>
      <c r="F118" s="255"/>
      <c r="G118" s="261"/>
      <c r="H118" s="541"/>
      <c r="I118" s="541"/>
      <c r="J118" s="544"/>
      <c r="K118" s="545"/>
      <c r="L118" s="545"/>
      <c r="M118" s="543"/>
      <c r="N118" s="552"/>
      <c r="O118" s="545"/>
      <c r="P118" s="541"/>
      <c r="Q118" s="546"/>
      <c r="R118" s="541"/>
      <c r="S118" s="541"/>
      <c r="T118" s="541"/>
      <c r="U118" s="543"/>
      <c r="V118" s="552"/>
      <c r="W118" s="543"/>
      <c r="X118" s="552"/>
      <c r="Y118" s="545"/>
      <c r="Z118" s="547"/>
      <c r="AA118" s="275"/>
      <c r="AB118" s="270"/>
      <c r="AC118" s="270"/>
      <c r="AD118" s="272"/>
      <c r="AE118" s="271"/>
      <c r="AF118" s="280"/>
      <c r="AG118" s="273"/>
      <c r="AH118" s="273"/>
      <c r="AI118" s="271"/>
      <c r="AJ118" s="274"/>
    </row>
    <row r="119" spans="1:36" s="243" customFormat="1" ht="15" x14ac:dyDescent="0.25">
      <c r="A119" s="255"/>
      <c r="B119" s="269"/>
      <c r="C119" s="256" t="s">
        <v>868</v>
      </c>
      <c r="D119" s="256"/>
      <c r="E119" s="257"/>
      <c r="F119" s="255"/>
      <c r="G119" s="261"/>
      <c r="H119" s="541">
        <v>152063.46000000002</v>
      </c>
      <c r="I119" s="541"/>
      <c r="J119" s="544">
        <v>27218</v>
      </c>
      <c r="K119" s="545"/>
      <c r="L119" s="541">
        <f>H119-J119</f>
        <v>124845.46000000002</v>
      </c>
      <c r="M119" s="543"/>
      <c r="N119" s="552"/>
      <c r="O119" s="545"/>
      <c r="P119" s="541">
        <f>J119-N119</f>
        <v>27218</v>
      </c>
      <c r="Q119" s="546"/>
      <c r="R119" s="541">
        <v>36451996.759999998</v>
      </c>
      <c r="S119" s="541"/>
      <c r="T119" s="541">
        <v>25199010.080000002</v>
      </c>
      <c r="U119" s="543"/>
      <c r="V119" s="544">
        <f>R119-T119</f>
        <v>11252986.679999996</v>
      </c>
      <c r="W119" s="543"/>
      <c r="X119" s="552"/>
      <c r="Y119" s="545"/>
      <c r="Z119" s="547">
        <f>T119-X119</f>
        <v>25199010.080000002</v>
      </c>
      <c r="AA119" s="275"/>
      <c r="AB119" s="270">
        <v>25900015.27</v>
      </c>
      <c r="AC119" s="270"/>
      <c r="AD119" s="272">
        <v>25900015.27</v>
      </c>
      <c r="AE119" s="271"/>
      <c r="AF119" s="272">
        <f>AB119-AD119</f>
        <v>0</v>
      </c>
      <c r="AG119" s="273"/>
      <c r="AH119" s="273">
        <v>13343205.810000001</v>
      </c>
      <c r="AI119" s="271"/>
      <c r="AJ119" s="274">
        <f>AD119-AH119</f>
        <v>12556809.459999999</v>
      </c>
    </row>
    <row r="120" spans="1:36" s="243" customFormat="1" ht="15" x14ac:dyDescent="0.25">
      <c r="A120" s="255"/>
      <c r="B120" s="269"/>
      <c r="C120" s="256" t="s">
        <v>869</v>
      </c>
      <c r="D120" s="256"/>
      <c r="E120" s="257"/>
      <c r="F120" s="255"/>
      <c r="G120" s="261"/>
      <c r="H120" s="541">
        <v>153248978.56999999</v>
      </c>
      <c r="I120" s="541"/>
      <c r="J120" s="544">
        <v>127499918.74999999</v>
      </c>
      <c r="K120" s="545"/>
      <c r="L120" s="541">
        <f>H120-J120</f>
        <v>25749059.820000008</v>
      </c>
      <c r="M120" s="543"/>
      <c r="N120" s="558">
        <v>73978319.00999999</v>
      </c>
      <c r="O120" s="545"/>
      <c r="P120" s="541">
        <f>J120-N120</f>
        <v>53521599.739999995</v>
      </c>
      <c r="Q120" s="546"/>
      <c r="R120" s="541">
        <v>171491859.00999999</v>
      </c>
      <c r="S120" s="541"/>
      <c r="T120" s="541">
        <v>150448553.68000001</v>
      </c>
      <c r="U120" s="543"/>
      <c r="V120" s="544">
        <f>R120-T120</f>
        <v>21043305.329999983</v>
      </c>
      <c r="W120" s="543"/>
      <c r="X120" s="558">
        <v>49787929.079999998</v>
      </c>
      <c r="Y120" s="545"/>
      <c r="Z120" s="547">
        <f>T120-X120</f>
        <v>100660624.60000001</v>
      </c>
      <c r="AA120" s="275"/>
      <c r="AB120" s="270">
        <v>125527915.06</v>
      </c>
      <c r="AC120" s="270"/>
      <c r="AD120" s="272">
        <v>125527915.06</v>
      </c>
      <c r="AE120" s="271"/>
      <c r="AF120" s="272">
        <f>AB120-AD120</f>
        <v>0</v>
      </c>
      <c r="AG120" s="273"/>
      <c r="AH120" s="300">
        <v>65381242.43</v>
      </c>
      <c r="AI120" s="271"/>
      <c r="AJ120" s="274">
        <f>AD120-AH120</f>
        <v>60146672.630000003</v>
      </c>
    </row>
    <row r="121" spans="1:36" s="243" customFormat="1" ht="15" x14ac:dyDescent="0.25">
      <c r="A121" s="255"/>
      <c r="B121" s="269"/>
      <c r="C121" s="269" t="s">
        <v>884</v>
      </c>
      <c r="D121" s="256"/>
      <c r="E121" s="257"/>
      <c r="F121" s="255"/>
      <c r="G121" s="528"/>
      <c r="H121" s="549">
        <f>SUM(H103:H120)</f>
        <v>460088231.20999998</v>
      </c>
      <c r="I121" s="541"/>
      <c r="J121" s="550">
        <f>SUM(J103:J120)</f>
        <v>432154325.93000001</v>
      </c>
      <c r="K121" s="541"/>
      <c r="L121" s="549">
        <f>SUM(L104:L120)</f>
        <v>27933905.279999994</v>
      </c>
      <c r="M121" s="559"/>
      <c r="N121" s="550">
        <f>SUM(N104:N120)</f>
        <v>256319907.29999995</v>
      </c>
      <c r="O121" s="541"/>
      <c r="P121" s="549">
        <f>SUM(P103:P120)</f>
        <v>175834418.63000005</v>
      </c>
      <c r="Q121" s="547"/>
      <c r="R121" s="549">
        <f>SUM(R103:R120)</f>
        <v>568154517.16999996</v>
      </c>
      <c r="S121" s="541"/>
      <c r="T121" s="549">
        <f>SUM(T103:T120)</f>
        <v>432092066.07999998</v>
      </c>
      <c r="U121" s="559"/>
      <c r="V121" s="550">
        <f>SUM(V104:V120)</f>
        <v>136062451.08999997</v>
      </c>
      <c r="W121" s="559"/>
      <c r="X121" s="550">
        <f>SUM(X104:X120)</f>
        <v>152150851.84999999</v>
      </c>
      <c r="Y121" s="549"/>
      <c r="Z121" s="551">
        <f>SUM(Z103:Z120)</f>
        <v>279941214.23000002</v>
      </c>
      <c r="AA121" s="301"/>
      <c r="AB121" s="277">
        <f>SUM(AB103:AB120)</f>
        <v>479118278.67000002</v>
      </c>
      <c r="AC121" s="277"/>
      <c r="AD121" s="278">
        <f>SUM(AD103:AD120)</f>
        <v>479118278.67000002</v>
      </c>
      <c r="AE121" s="277"/>
      <c r="AF121" s="278">
        <f>SUM(AF104:AF120)</f>
        <v>0</v>
      </c>
      <c r="AG121" s="277"/>
      <c r="AH121" s="278">
        <f>SUM(AH104:AH120)</f>
        <v>181222265</v>
      </c>
      <c r="AI121" s="277"/>
      <c r="AJ121" s="279">
        <f>SUM(AJ103:AJ120)</f>
        <v>297896013.67000002</v>
      </c>
    </row>
    <row r="122" spans="1:36" s="243" customFormat="1" ht="15.75" thickBot="1" x14ac:dyDescent="0.3">
      <c r="A122" s="247" t="s">
        <v>885</v>
      </c>
      <c r="B122" s="269"/>
      <c r="C122" s="256"/>
      <c r="D122" s="256"/>
      <c r="E122" s="257"/>
      <c r="F122" s="526" t="s">
        <v>4</v>
      </c>
      <c r="G122" s="261"/>
      <c r="H122" s="560">
        <f>H100+H121</f>
        <v>1645369875.22</v>
      </c>
      <c r="I122" s="545"/>
      <c r="J122" s="561">
        <f>J100+J121</f>
        <v>2438408030.6100001</v>
      </c>
      <c r="K122" s="545"/>
      <c r="L122" s="560">
        <f>L100+L121</f>
        <v>-793038155.3900001</v>
      </c>
      <c r="M122" s="543"/>
      <c r="N122" s="561">
        <f>N100+N121</f>
        <v>1420018499.3499999</v>
      </c>
      <c r="O122" s="545"/>
      <c r="P122" s="560">
        <f>P100+P121</f>
        <v>1018389531.26</v>
      </c>
      <c r="Q122" s="546"/>
      <c r="R122" s="560">
        <f>R100+R121</f>
        <v>1639559327.71</v>
      </c>
      <c r="S122" s="545"/>
      <c r="T122" s="560">
        <f>T100+T121</f>
        <v>1928675795.6599996</v>
      </c>
      <c r="U122" s="543"/>
      <c r="V122" s="561">
        <f>V100+V121</f>
        <v>-289116467.94999999</v>
      </c>
      <c r="W122" s="543"/>
      <c r="X122" s="561">
        <f>X100+X121</f>
        <v>1207917582.6400001</v>
      </c>
      <c r="Y122" s="562"/>
      <c r="Z122" s="563">
        <f>Z100+Z121</f>
        <v>720758213.01999998</v>
      </c>
      <c r="AA122" s="306"/>
      <c r="AB122" s="302">
        <f>AB100+AB121</f>
        <v>1518096191.2499998</v>
      </c>
      <c r="AC122" s="303"/>
      <c r="AD122" s="302">
        <f>AD100+AD121</f>
        <v>1690057457.2099998</v>
      </c>
      <c r="AE122" s="304"/>
      <c r="AF122" s="302">
        <f>AF100+AF121</f>
        <v>-171961265.95999998</v>
      </c>
      <c r="AG122" s="303"/>
      <c r="AH122" s="302">
        <f>AH100+AH121</f>
        <v>1114582535.3600001</v>
      </c>
      <c r="AI122" s="304"/>
      <c r="AJ122" s="305">
        <f>AJ100+AJ121</f>
        <v>575474921.8499999</v>
      </c>
    </row>
    <row r="123" spans="1:36" s="243" customFormat="1" ht="15.75" thickTop="1" x14ac:dyDescent="0.25">
      <c r="A123" s="247"/>
      <c r="B123" s="269"/>
      <c r="C123" s="256"/>
      <c r="D123" s="256"/>
      <c r="E123" s="257"/>
      <c r="F123" s="255"/>
      <c r="G123" s="261"/>
      <c r="H123" s="545"/>
      <c r="I123" s="545"/>
      <c r="J123" s="552"/>
      <c r="K123" s="545"/>
      <c r="L123" s="545"/>
      <c r="M123" s="543"/>
      <c r="N123" s="552"/>
      <c r="O123" s="545"/>
      <c r="P123" s="541"/>
      <c r="Q123" s="546"/>
      <c r="R123" s="545"/>
      <c r="S123" s="545"/>
      <c r="T123" s="545"/>
      <c r="U123" s="543"/>
      <c r="V123" s="552"/>
      <c r="W123" s="543"/>
      <c r="X123" s="552"/>
      <c r="Y123" s="545"/>
      <c r="Z123" s="547"/>
      <c r="AA123" s="275"/>
      <c r="AB123" s="273"/>
      <c r="AC123" s="273"/>
      <c r="AD123" s="280"/>
      <c r="AE123" s="271"/>
      <c r="AF123" s="319"/>
      <c r="AG123" s="320"/>
      <c r="AH123" s="320"/>
      <c r="AI123" s="271"/>
      <c r="AJ123" s="274"/>
    </row>
    <row r="124" spans="1:36" s="243" customFormat="1" ht="15" x14ac:dyDescent="0.25">
      <c r="A124" s="247" t="s">
        <v>886</v>
      </c>
      <c r="B124" s="269"/>
      <c r="C124" s="256"/>
      <c r="D124" s="256"/>
      <c r="E124" s="257"/>
      <c r="F124" s="255"/>
      <c r="G124" s="261"/>
      <c r="H124" s="545"/>
      <c r="I124" s="545"/>
      <c r="J124" s="552"/>
      <c r="K124" s="545"/>
      <c r="L124" s="545"/>
      <c r="M124" s="543"/>
      <c r="N124" s="552"/>
      <c r="O124" s="545"/>
      <c r="P124" s="541"/>
      <c r="Q124" s="546"/>
      <c r="R124" s="545"/>
      <c r="S124" s="545"/>
      <c r="T124" s="545"/>
      <c r="U124" s="543"/>
      <c r="V124" s="552"/>
      <c r="W124" s="543"/>
      <c r="X124" s="552"/>
      <c r="Y124" s="545"/>
      <c r="Z124" s="547"/>
      <c r="AA124" s="275"/>
      <c r="AB124" s="273"/>
      <c r="AC124" s="273"/>
      <c r="AD124" s="280"/>
      <c r="AE124" s="271"/>
      <c r="AF124" s="319"/>
      <c r="AG124" s="320"/>
      <c r="AH124" s="320"/>
      <c r="AI124" s="271"/>
      <c r="AJ124" s="322"/>
    </row>
    <row r="125" spans="1:36" s="243" customFormat="1" ht="15" x14ac:dyDescent="0.25">
      <c r="A125" s="247" t="s">
        <v>833</v>
      </c>
      <c r="B125" s="269"/>
      <c r="C125" s="256"/>
      <c r="D125" s="256"/>
      <c r="E125" s="257"/>
      <c r="F125" s="255"/>
      <c r="G125" s="261"/>
      <c r="H125" s="545"/>
      <c r="I125" s="545"/>
      <c r="J125" s="552"/>
      <c r="K125" s="545"/>
      <c r="L125" s="545"/>
      <c r="M125" s="543"/>
      <c r="N125" s="552"/>
      <c r="O125" s="545"/>
      <c r="P125" s="541"/>
      <c r="Q125" s="546"/>
      <c r="R125" s="545"/>
      <c r="S125" s="545"/>
      <c r="T125" s="545"/>
      <c r="U125" s="543"/>
      <c r="V125" s="552"/>
      <c r="W125" s="543"/>
      <c r="X125" s="552"/>
      <c r="Y125" s="545"/>
      <c r="Z125" s="547"/>
      <c r="AA125" s="275"/>
      <c r="AB125" s="273"/>
      <c r="AC125" s="273"/>
      <c r="AD125" s="280"/>
      <c r="AE125" s="271"/>
      <c r="AF125" s="280"/>
      <c r="AG125" s="273"/>
      <c r="AH125" s="321"/>
      <c r="AI125" s="271"/>
      <c r="AJ125" s="274"/>
    </row>
    <row r="126" spans="1:36" s="243" customFormat="1" ht="15" x14ac:dyDescent="0.25">
      <c r="A126" s="255"/>
      <c r="B126" s="256" t="s">
        <v>835</v>
      </c>
      <c r="C126" s="256"/>
      <c r="D126" s="256"/>
      <c r="E126" s="257"/>
      <c r="F126" s="255"/>
      <c r="G126" s="261"/>
      <c r="H126" s="545"/>
      <c r="I126" s="545"/>
      <c r="J126" s="552"/>
      <c r="K126" s="545"/>
      <c r="L126" s="541"/>
      <c r="M126" s="543"/>
      <c r="N126" s="552"/>
      <c r="O126" s="545"/>
      <c r="P126" s="541"/>
      <c r="Q126" s="546"/>
      <c r="R126" s="545"/>
      <c r="S126" s="545"/>
      <c r="T126" s="545"/>
      <c r="U126" s="543"/>
      <c r="V126" s="544"/>
      <c r="W126" s="543"/>
      <c r="X126" s="552"/>
      <c r="Y126" s="545"/>
      <c r="Z126" s="547"/>
      <c r="AA126" s="275"/>
      <c r="AB126" s="273"/>
      <c r="AC126" s="273"/>
      <c r="AD126" s="280"/>
      <c r="AE126" s="271"/>
      <c r="AF126" s="280"/>
      <c r="AG126" s="273"/>
      <c r="AH126" s="273"/>
      <c r="AI126" s="271"/>
      <c r="AJ126" s="274"/>
    </row>
    <row r="127" spans="1:36" s="243" customFormat="1" ht="15" x14ac:dyDescent="0.25">
      <c r="A127" s="255"/>
      <c r="B127" s="269"/>
      <c r="C127" s="256" t="s">
        <v>836</v>
      </c>
      <c r="D127" s="256"/>
      <c r="E127" s="257"/>
      <c r="F127" s="255"/>
      <c r="G127" s="261"/>
      <c r="H127" s="564">
        <v>58000000</v>
      </c>
      <c r="I127" s="564"/>
      <c r="J127" s="558">
        <v>58000000</v>
      </c>
      <c r="K127" s="545"/>
      <c r="L127" s="541">
        <f>H127-J127</f>
        <v>0</v>
      </c>
      <c r="M127" s="543"/>
      <c r="N127" s="558">
        <v>50790562.819999993</v>
      </c>
      <c r="O127" s="545"/>
      <c r="P127" s="541">
        <f>J127-N127</f>
        <v>7209437.1800000072</v>
      </c>
      <c r="Q127" s="546"/>
      <c r="R127" s="564">
        <v>57000000</v>
      </c>
      <c r="S127" s="564"/>
      <c r="T127" s="564">
        <v>57000000</v>
      </c>
      <c r="U127" s="543"/>
      <c r="V127" s="544">
        <f>R127-T127</f>
        <v>0</v>
      </c>
      <c r="W127" s="543"/>
      <c r="X127" s="558">
        <v>51153169.939999998</v>
      </c>
      <c r="Y127" s="545"/>
      <c r="Z127" s="547">
        <f>T127-X127</f>
        <v>5846830.0600000024</v>
      </c>
      <c r="AA127" s="275"/>
      <c r="AB127" s="300">
        <v>54940000</v>
      </c>
      <c r="AC127" s="300"/>
      <c r="AD127" s="307">
        <v>54940000</v>
      </c>
      <c r="AE127" s="271"/>
      <c r="AF127" s="272">
        <f>AB127-AD127</f>
        <v>0</v>
      </c>
      <c r="AG127" s="273"/>
      <c r="AH127" s="300">
        <v>51766264.899999999</v>
      </c>
      <c r="AI127" s="271"/>
      <c r="AJ127" s="274">
        <f>AD127-AH127</f>
        <v>3173735.1000000015</v>
      </c>
    </row>
    <row r="128" spans="1:36" s="243" customFormat="1" ht="15" x14ac:dyDescent="0.25">
      <c r="A128" s="255"/>
      <c r="B128" s="269"/>
      <c r="C128" s="256" t="s">
        <v>1371</v>
      </c>
      <c r="D128" s="256"/>
      <c r="E128" s="257"/>
      <c r="F128" s="255"/>
      <c r="G128" s="261"/>
      <c r="H128" s="564"/>
      <c r="I128" s="564"/>
      <c r="J128" s="558"/>
      <c r="K128" s="545"/>
      <c r="L128" s="541"/>
      <c r="M128" s="543"/>
      <c r="N128" s="558">
        <v>4266923.0999999996</v>
      </c>
      <c r="O128" s="545"/>
      <c r="P128" s="541">
        <f>J128-N128</f>
        <v>-4266923.0999999996</v>
      </c>
      <c r="Q128" s="546"/>
      <c r="R128" s="564"/>
      <c r="S128" s="564"/>
      <c r="T128" s="564"/>
      <c r="U128" s="543"/>
      <c r="V128" s="544"/>
      <c r="W128" s="543"/>
      <c r="X128" s="558"/>
      <c r="Y128" s="545"/>
      <c r="Z128" s="547"/>
      <c r="AA128" s="275"/>
      <c r="AB128" s="300"/>
      <c r="AC128" s="300"/>
      <c r="AD128" s="307"/>
      <c r="AE128" s="271"/>
      <c r="AF128" s="272"/>
      <c r="AG128" s="273"/>
      <c r="AH128" s="300"/>
      <c r="AI128" s="271"/>
      <c r="AJ128" s="274"/>
    </row>
    <row r="129" spans="1:36" s="243" customFormat="1" ht="15" x14ac:dyDescent="0.25">
      <c r="A129" s="255"/>
      <c r="B129" s="256" t="s">
        <v>839</v>
      </c>
      <c r="C129" s="256"/>
      <c r="D129" s="256"/>
      <c r="E129" s="257"/>
      <c r="F129" s="255"/>
      <c r="G129" s="261"/>
      <c r="H129" s="545"/>
      <c r="I129" s="545"/>
      <c r="J129" s="552"/>
      <c r="K129" s="545"/>
      <c r="L129" s="545"/>
      <c r="M129" s="543"/>
      <c r="N129" s="558"/>
      <c r="O129" s="545"/>
      <c r="P129" s="541"/>
      <c r="Q129" s="546"/>
      <c r="R129" s="545"/>
      <c r="S129" s="545"/>
      <c r="T129" s="545"/>
      <c r="U129" s="543"/>
      <c r="V129" s="552"/>
      <c r="W129" s="543"/>
      <c r="X129" s="558"/>
      <c r="Y129" s="545"/>
      <c r="Z129" s="547"/>
      <c r="AA129" s="275"/>
      <c r="AB129" s="273"/>
      <c r="AC129" s="273"/>
      <c r="AD129" s="280"/>
      <c r="AE129" s="271"/>
      <c r="AF129" s="272"/>
      <c r="AG129" s="273"/>
      <c r="AH129" s="273"/>
      <c r="AI129" s="271"/>
      <c r="AJ129" s="274"/>
    </row>
    <row r="130" spans="1:36" s="243" customFormat="1" ht="15" x14ac:dyDescent="0.25">
      <c r="A130" s="255"/>
      <c r="B130" s="256"/>
      <c r="C130" s="256" t="s">
        <v>1373</v>
      </c>
      <c r="D130" s="256"/>
      <c r="E130" s="257"/>
      <c r="F130" s="255"/>
      <c r="G130" s="261"/>
      <c r="H130" s="545"/>
      <c r="I130" s="545"/>
      <c r="J130" s="552"/>
      <c r="K130" s="545"/>
      <c r="L130" s="545"/>
      <c r="M130" s="543"/>
      <c r="N130" s="558"/>
      <c r="O130" s="545"/>
      <c r="P130" s="541"/>
      <c r="Q130" s="546"/>
      <c r="R130" s="545"/>
      <c r="S130" s="545"/>
      <c r="T130" s="545"/>
      <c r="U130" s="543"/>
      <c r="V130" s="552"/>
      <c r="W130" s="543"/>
      <c r="X130" s="558"/>
      <c r="Y130" s="545"/>
      <c r="Z130" s="547"/>
      <c r="AA130" s="275"/>
      <c r="AB130" s="273"/>
      <c r="AC130" s="273"/>
      <c r="AD130" s="280"/>
      <c r="AE130" s="271"/>
      <c r="AF130" s="272"/>
      <c r="AG130" s="273"/>
      <c r="AH130" s="273"/>
      <c r="AI130" s="271"/>
      <c r="AJ130" s="274"/>
    </row>
    <row r="131" spans="1:36" s="243" customFormat="1" ht="15" x14ac:dyDescent="0.25">
      <c r="A131" s="255"/>
      <c r="B131" s="256"/>
      <c r="C131" s="256" t="s">
        <v>1374</v>
      </c>
      <c r="D131" s="256"/>
      <c r="E131" s="257"/>
      <c r="F131" s="255"/>
      <c r="G131" s="261"/>
      <c r="H131" s="545"/>
      <c r="I131" s="545"/>
      <c r="J131" s="552"/>
      <c r="K131" s="545"/>
      <c r="L131" s="545"/>
      <c r="M131" s="543"/>
      <c r="N131" s="558">
        <v>35280.660000000003</v>
      </c>
      <c r="O131" s="545"/>
      <c r="P131" s="541">
        <f>J131-N131</f>
        <v>-35280.660000000003</v>
      </c>
      <c r="Q131" s="546"/>
      <c r="R131" s="545"/>
      <c r="S131" s="545"/>
      <c r="T131" s="545"/>
      <c r="U131" s="543"/>
      <c r="V131" s="552"/>
      <c r="W131" s="543"/>
      <c r="X131" s="558"/>
      <c r="Y131" s="545"/>
      <c r="Z131" s="547"/>
      <c r="AA131" s="275"/>
      <c r="AB131" s="273"/>
      <c r="AC131" s="273"/>
      <c r="AD131" s="280"/>
      <c r="AE131" s="271"/>
      <c r="AF131" s="272"/>
      <c r="AG131" s="273"/>
      <c r="AH131" s="273"/>
      <c r="AI131" s="271"/>
      <c r="AJ131" s="274"/>
    </row>
    <row r="132" spans="1:36" s="243" customFormat="1" ht="15" x14ac:dyDescent="0.25">
      <c r="A132" s="255"/>
      <c r="B132" s="269"/>
      <c r="C132" s="256" t="s">
        <v>1372</v>
      </c>
      <c r="D132" s="256"/>
      <c r="E132" s="257"/>
      <c r="F132" s="255"/>
      <c r="G132" s="261"/>
      <c r="H132" s="564">
        <v>43064471.539999999</v>
      </c>
      <c r="I132" s="564"/>
      <c r="J132" s="558">
        <v>51064471.539999999</v>
      </c>
      <c r="K132" s="545"/>
      <c r="L132" s="541">
        <f>H132-J132</f>
        <v>-8000000</v>
      </c>
      <c r="M132" s="543"/>
      <c r="N132" s="558">
        <v>38893559.350000001</v>
      </c>
      <c r="O132" s="545"/>
      <c r="P132" s="541">
        <f>J132-N132</f>
        <v>12170912.189999998</v>
      </c>
      <c r="Q132" s="546"/>
      <c r="R132" s="564"/>
      <c r="S132" s="564"/>
      <c r="T132" s="564">
        <v>28498424.27</v>
      </c>
      <c r="U132" s="543"/>
      <c r="V132" s="544">
        <f>R132-T132</f>
        <v>-28498424.27</v>
      </c>
      <c r="W132" s="543"/>
      <c r="X132" s="558">
        <v>65199.91</v>
      </c>
      <c r="Y132" s="545"/>
      <c r="Z132" s="547">
        <f>T132-X132</f>
        <v>28433224.359999999</v>
      </c>
      <c r="AA132" s="275"/>
      <c r="AB132" s="300">
        <v>60000</v>
      </c>
      <c r="AC132" s="300"/>
      <c r="AD132" s="307">
        <v>26885517.530000001</v>
      </c>
      <c r="AE132" s="271"/>
      <c r="AF132" s="272">
        <f>AB132-AD132</f>
        <v>-26825517.530000001</v>
      </c>
      <c r="AG132" s="273"/>
      <c r="AH132" s="300">
        <v>63699.98</v>
      </c>
      <c r="AI132" s="271"/>
      <c r="AJ132" s="274">
        <f>AD132-AH132</f>
        <v>26821817.550000001</v>
      </c>
    </row>
    <row r="133" spans="1:36" s="243" customFormat="1" ht="15" x14ac:dyDescent="0.25">
      <c r="A133" s="247" t="s">
        <v>861</v>
      </c>
      <c r="B133" s="269"/>
      <c r="C133" s="269"/>
      <c r="D133" s="256"/>
      <c r="E133" s="257"/>
      <c r="F133" s="255"/>
      <c r="G133" s="261"/>
      <c r="H133" s="553">
        <f>SUM(H127:H132)</f>
        <v>101064471.53999999</v>
      </c>
      <c r="I133" s="541"/>
      <c r="J133" s="554">
        <f>SUM(J127:J132)</f>
        <v>109064471.53999999</v>
      </c>
      <c r="K133" s="541">
        <f t="shared" ref="K133" si="22">K45</f>
        <v>0</v>
      </c>
      <c r="L133" s="553">
        <f>SUM(L127:L132)</f>
        <v>-8000000</v>
      </c>
      <c r="M133" s="565"/>
      <c r="N133" s="554">
        <f>SUM(N127:N132)</f>
        <v>93986325.929999992</v>
      </c>
      <c r="O133" s="541">
        <f t="shared" ref="O133" si="23">O45</f>
        <v>0</v>
      </c>
      <c r="P133" s="553">
        <f>SUM(P127:P132)</f>
        <v>15078145.610000005</v>
      </c>
      <c r="Q133" s="546"/>
      <c r="R133" s="553">
        <f>SUM(R127:R132)</f>
        <v>57000000</v>
      </c>
      <c r="S133" s="541"/>
      <c r="T133" s="553">
        <f>SUM(T127:T132)</f>
        <v>85498424.269999996</v>
      </c>
      <c r="U133" s="559">
        <f t="shared" ref="U133:Y133" si="24">U45</f>
        <v>0</v>
      </c>
      <c r="V133" s="554">
        <f>SUM(V127:V132)</f>
        <v>-28498424.27</v>
      </c>
      <c r="W133" s="559"/>
      <c r="X133" s="554">
        <f>SUM(X127:X132)</f>
        <v>51218369.849999994</v>
      </c>
      <c r="Y133" s="553">
        <f t="shared" si="24"/>
        <v>0</v>
      </c>
      <c r="Z133" s="555">
        <f>SUM(Z127:Z132)</f>
        <v>34280054.420000002</v>
      </c>
      <c r="AA133" s="275"/>
      <c r="AB133" s="286">
        <f>SUM(AB127:AB132)</f>
        <v>55000000</v>
      </c>
      <c r="AC133" s="273"/>
      <c r="AD133" s="287">
        <f>SUM(AD127:AD132)</f>
        <v>81825517.530000001</v>
      </c>
      <c r="AE133" s="271"/>
      <c r="AF133" s="287">
        <f>SUM(AF125:AF132)</f>
        <v>-26825517.530000001</v>
      </c>
      <c r="AG133" s="273"/>
      <c r="AH133" s="286">
        <f>SUM(AH127:AH132)</f>
        <v>51829964.879999995</v>
      </c>
      <c r="AI133" s="271"/>
      <c r="AJ133" s="288">
        <f>SUM(AJ127:AJ132)</f>
        <v>29995552.650000002</v>
      </c>
    </row>
    <row r="134" spans="1:36" s="243" customFormat="1" ht="15" x14ac:dyDescent="0.25">
      <c r="A134" s="247" t="s">
        <v>862</v>
      </c>
      <c r="B134" s="269"/>
      <c r="C134" s="269"/>
      <c r="D134" s="256"/>
      <c r="E134" s="257"/>
      <c r="F134" s="255"/>
      <c r="G134" s="261"/>
      <c r="H134" s="541"/>
      <c r="I134" s="545"/>
      <c r="J134" s="544"/>
      <c r="K134" s="545"/>
      <c r="L134" s="541">
        <f>H134-J134</f>
        <v>0</v>
      </c>
      <c r="M134" s="543"/>
      <c r="N134" s="544"/>
      <c r="O134" s="545"/>
      <c r="P134" s="541">
        <f>J134-N134</f>
        <v>0</v>
      </c>
      <c r="Q134" s="546"/>
      <c r="R134" s="541">
        <v>16412615.949999999</v>
      </c>
      <c r="S134" s="545"/>
      <c r="T134" s="541">
        <v>18209741.18</v>
      </c>
      <c r="U134" s="543"/>
      <c r="V134" s="544">
        <f>R134-T134</f>
        <v>-1797125.2300000004</v>
      </c>
      <c r="W134" s="543"/>
      <c r="X134" s="544">
        <v>18209741.18</v>
      </c>
      <c r="Y134" s="545"/>
      <c r="Z134" s="547">
        <f>T134-X134</f>
        <v>0</v>
      </c>
      <c r="AA134" s="275"/>
      <c r="AB134" s="270">
        <v>32743367.530000001</v>
      </c>
      <c r="AC134" s="273"/>
      <c r="AD134" s="270">
        <v>26999707.329999998</v>
      </c>
      <c r="AE134" s="273"/>
      <c r="AF134" s="270">
        <v>0</v>
      </c>
      <c r="AG134" s="273"/>
      <c r="AH134" s="270">
        <v>26999707.329999998</v>
      </c>
      <c r="AI134" s="273"/>
      <c r="AJ134" s="274">
        <f>AD134-AH134</f>
        <v>0</v>
      </c>
    </row>
    <row r="135" spans="1:36" s="243" customFormat="1" ht="15" x14ac:dyDescent="0.25">
      <c r="A135" s="247" t="s">
        <v>887</v>
      </c>
      <c r="B135" s="269"/>
      <c r="C135" s="269"/>
      <c r="D135" s="256"/>
      <c r="E135" s="257"/>
      <c r="F135" s="255"/>
      <c r="G135" s="261"/>
      <c r="H135" s="553">
        <f>H133+H134</f>
        <v>101064471.53999999</v>
      </c>
      <c r="I135" s="545"/>
      <c r="J135" s="554">
        <f>J133+J134</f>
        <v>109064471.53999999</v>
      </c>
      <c r="K135" s="545"/>
      <c r="L135" s="553">
        <f>L133+L134</f>
        <v>-8000000</v>
      </c>
      <c r="M135" s="543"/>
      <c r="N135" s="554">
        <f>N133+N134</f>
        <v>93986325.929999992</v>
      </c>
      <c r="O135" s="545"/>
      <c r="P135" s="553">
        <f>P133+P134</f>
        <v>15078145.610000005</v>
      </c>
      <c r="Q135" s="546"/>
      <c r="R135" s="553">
        <f>R133+R134</f>
        <v>73412615.950000003</v>
      </c>
      <c r="S135" s="545"/>
      <c r="T135" s="553">
        <f>T133+T134</f>
        <v>103708165.44999999</v>
      </c>
      <c r="U135" s="543"/>
      <c r="V135" s="554">
        <f>V133+V134</f>
        <v>-30295549.5</v>
      </c>
      <c r="W135" s="543"/>
      <c r="X135" s="554">
        <f>X133+X134</f>
        <v>69428111.030000001</v>
      </c>
      <c r="Y135" s="545"/>
      <c r="Z135" s="555">
        <f>Z133+Z134</f>
        <v>34280054.420000002</v>
      </c>
      <c r="AA135" s="275"/>
      <c r="AB135" s="286">
        <f>AB133+AB134</f>
        <v>87743367.530000001</v>
      </c>
      <c r="AC135" s="273"/>
      <c r="AD135" s="286">
        <f>AD133+AD134</f>
        <v>108825224.86</v>
      </c>
      <c r="AE135" s="273"/>
      <c r="AF135" s="286">
        <f>AF133+AF134</f>
        <v>-26825517.530000001</v>
      </c>
      <c r="AG135" s="273"/>
      <c r="AH135" s="286">
        <f>AH133+AH134</f>
        <v>78829672.209999993</v>
      </c>
      <c r="AI135" s="273"/>
      <c r="AJ135" s="288">
        <f>AJ133+AJ134</f>
        <v>29995552.650000002</v>
      </c>
    </row>
    <row r="136" spans="1:36" s="243" customFormat="1" ht="15" x14ac:dyDescent="0.25">
      <c r="A136" s="247" t="s">
        <v>888</v>
      </c>
      <c r="B136" s="269"/>
      <c r="C136" s="269"/>
      <c r="D136" s="256"/>
      <c r="E136" s="257"/>
      <c r="F136" s="255"/>
      <c r="G136" s="261"/>
      <c r="H136" s="545"/>
      <c r="I136" s="545"/>
      <c r="J136" s="552"/>
      <c r="K136" s="545"/>
      <c r="L136" s="545"/>
      <c r="M136" s="543"/>
      <c r="N136" s="552"/>
      <c r="O136" s="545"/>
      <c r="P136" s="541"/>
      <c r="Q136" s="546"/>
      <c r="R136" s="545"/>
      <c r="S136" s="545"/>
      <c r="T136" s="545"/>
      <c r="U136" s="543"/>
      <c r="V136" s="552"/>
      <c r="W136" s="543"/>
      <c r="X136" s="552"/>
      <c r="Y136" s="545"/>
      <c r="Z136" s="547"/>
      <c r="AA136" s="275"/>
      <c r="AB136" s="273"/>
      <c r="AC136" s="273"/>
      <c r="AD136" s="280"/>
      <c r="AE136" s="271"/>
      <c r="AF136" s="280"/>
      <c r="AG136" s="273"/>
      <c r="AH136" s="273"/>
      <c r="AI136" s="271"/>
      <c r="AJ136" s="274"/>
    </row>
    <row r="137" spans="1:36" s="243" customFormat="1" ht="15" x14ac:dyDescent="0.25">
      <c r="A137" s="247" t="s">
        <v>865</v>
      </c>
      <c r="B137" s="269"/>
      <c r="C137" s="269"/>
      <c r="D137" s="256"/>
      <c r="E137" s="257"/>
      <c r="F137" s="255"/>
      <c r="G137" s="261"/>
      <c r="H137" s="545"/>
      <c r="I137" s="545"/>
      <c r="J137" s="552"/>
      <c r="K137" s="545"/>
      <c r="L137" s="545"/>
      <c r="M137" s="543"/>
      <c r="N137" s="552"/>
      <c r="O137" s="545"/>
      <c r="P137" s="541"/>
      <c r="Q137" s="546"/>
      <c r="R137" s="545"/>
      <c r="S137" s="545"/>
      <c r="T137" s="545"/>
      <c r="U137" s="543"/>
      <c r="V137" s="552"/>
      <c r="W137" s="543"/>
      <c r="X137" s="552"/>
      <c r="Y137" s="545"/>
      <c r="Z137" s="547"/>
      <c r="AA137" s="275"/>
      <c r="AB137" s="273"/>
      <c r="AC137" s="273"/>
      <c r="AD137" s="280"/>
      <c r="AE137" s="271"/>
      <c r="AF137" s="280"/>
      <c r="AG137" s="273"/>
      <c r="AH137" s="273"/>
      <c r="AI137" s="271"/>
      <c r="AJ137" s="274"/>
    </row>
    <row r="138" spans="1:36" s="243" customFormat="1" ht="15" x14ac:dyDescent="0.25">
      <c r="A138" s="247"/>
      <c r="B138" s="269" t="s">
        <v>870</v>
      </c>
      <c r="C138" s="269"/>
      <c r="D138" s="256"/>
      <c r="E138" s="257"/>
      <c r="F138" s="255"/>
      <c r="G138" s="261"/>
      <c r="H138" s="545"/>
      <c r="I138" s="545"/>
      <c r="J138" s="552"/>
      <c r="K138" s="545"/>
      <c r="L138" s="545"/>
      <c r="M138" s="543"/>
      <c r="N138" s="552"/>
      <c r="O138" s="545"/>
      <c r="P138" s="541"/>
      <c r="Q138" s="546"/>
      <c r="R138" s="545"/>
      <c r="S138" s="545"/>
      <c r="T138" s="545"/>
      <c r="U138" s="543"/>
      <c r="V138" s="552"/>
      <c r="W138" s="543"/>
      <c r="X138" s="552"/>
      <c r="Y138" s="545"/>
      <c r="Z138" s="547"/>
      <c r="AA138" s="275"/>
      <c r="AB138" s="273"/>
      <c r="AC138" s="273"/>
      <c r="AD138" s="280"/>
      <c r="AE138" s="271"/>
      <c r="AF138" s="280"/>
      <c r="AG138" s="273"/>
      <c r="AH138" s="273"/>
      <c r="AI138" s="271"/>
      <c r="AJ138" s="274"/>
    </row>
    <row r="139" spans="1:36" s="243" customFormat="1" ht="15" x14ac:dyDescent="0.25">
      <c r="A139" s="247"/>
      <c r="B139" s="256"/>
      <c r="C139" s="256" t="s">
        <v>867</v>
      </c>
      <c r="D139" s="256"/>
      <c r="E139" s="257"/>
      <c r="F139" s="255"/>
      <c r="G139" s="261"/>
      <c r="H139" s="564">
        <v>11460000</v>
      </c>
      <c r="I139" s="564"/>
      <c r="J139" s="558">
        <v>15468653.460000001</v>
      </c>
      <c r="K139" s="545"/>
      <c r="L139" s="541">
        <f>H139-J139</f>
        <v>-4008653.4600000009</v>
      </c>
      <c r="M139" s="543"/>
      <c r="N139" s="558">
        <v>15411440.18</v>
      </c>
      <c r="O139" s="545"/>
      <c r="P139" s="541">
        <f>J139-N139</f>
        <v>57213.280000001192</v>
      </c>
      <c r="Q139" s="546"/>
      <c r="R139" s="564">
        <v>9240000</v>
      </c>
      <c r="S139" s="564"/>
      <c r="T139" s="564">
        <v>10415000</v>
      </c>
      <c r="U139" s="543"/>
      <c r="V139" s="544">
        <f>R139-T139</f>
        <v>-1175000</v>
      </c>
      <c r="W139" s="543"/>
      <c r="X139" s="558">
        <v>10347842.640000001</v>
      </c>
      <c r="Y139" s="545"/>
      <c r="Z139" s="547">
        <f>T139-X139</f>
        <v>67157.359999999404</v>
      </c>
      <c r="AA139" s="275"/>
      <c r="AB139" s="300">
        <v>6649200</v>
      </c>
      <c r="AC139" s="300"/>
      <c r="AD139" s="307">
        <v>7998837.29</v>
      </c>
      <c r="AE139" s="271"/>
      <c r="AF139" s="272">
        <f>AB139-AD139</f>
        <v>-1349637.29</v>
      </c>
      <c r="AG139" s="273"/>
      <c r="AH139" s="300">
        <v>5470655.4800000004</v>
      </c>
      <c r="AI139" s="271"/>
      <c r="AJ139" s="274">
        <f>AD139-AH139</f>
        <v>2528181.8099999996</v>
      </c>
    </row>
    <row r="140" spans="1:36" s="243" customFormat="1" ht="15" x14ac:dyDescent="0.25">
      <c r="A140" s="247"/>
      <c r="B140" s="256"/>
      <c r="C140" s="256" t="s">
        <v>868</v>
      </c>
      <c r="D140" s="256"/>
      <c r="E140" s="257"/>
      <c r="F140" s="255"/>
      <c r="G140" s="261"/>
      <c r="H140" s="564">
        <v>13490000</v>
      </c>
      <c r="I140" s="564"/>
      <c r="J140" s="558">
        <v>11035838.970000001</v>
      </c>
      <c r="K140" s="545"/>
      <c r="L140" s="541">
        <f>H140-J140</f>
        <v>2454161.0299999993</v>
      </c>
      <c r="M140" s="543"/>
      <c r="N140" s="558">
        <v>4578103.2</v>
      </c>
      <c r="O140" s="545"/>
      <c r="P140" s="541">
        <f>J140-N140</f>
        <v>6457735.7700000005</v>
      </c>
      <c r="Q140" s="546"/>
      <c r="R140" s="564">
        <v>17591665</v>
      </c>
      <c r="S140" s="564"/>
      <c r="T140" s="564">
        <v>22457374.77</v>
      </c>
      <c r="U140" s="543"/>
      <c r="V140" s="544">
        <f>R140-T140</f>
        <v>-4865709.7699999996</v>
      </c>
      <c r="W140" s="543"/>
      <c r="X140" s="558">
        <v>9967638.8099999987</v>
      </c>
      <c r="Y140" s="545"/>
      <c r="Z140" s="547">
        <f>T140-X140</f>
        <v>12489735.960000001</v>
      </c>
      <c r="AA140" s="275"/>
      <c r="AB140" s="300">
        <v>16707000.000000002</v>
      </c>
      <c r="AC140" s="300"/>
      <c r="AD140" s="307">
        <v>23005480</v>
      </c>
      <c r="AE140" s="271"/>
      <c r="AF140" s="272">
        <f>AB140-AD140</f>
        <v>-6298479.9999999981</v>
      </c>
      <c r="AG140" s="273"/>
      <c r="AH140" s="300">
        <v>15683879.430000002</v>
      </c>
      <c r="AI140" s="271"/>
      <c r="AJ140" s="274">
        <f t="shared" ref="AJ140:AJ145" si="25">AD140-AH140</f>
        <v>7321600.5699999984</v>
      </c>
    </row>
    <row r="141" spans="1:36" s="243" customFormat="1" ht="15" x14ac:dyDescent="0.25">
      <c r="A141" s="247"/>
      <c r="B141" s="256"/>
      <c r="C141" s="256" t="s">
        <v>869</v>
      </c>
      <c r="D141" s="256"/>
      <c r="E141" s="257"/>
      <c r="F141" s="255"/>
      <c r="G141" s="261"/>
      <c r="H141" s="564">
        <v>26800000</v>
      </c>
      <c r="I141" s="564"/>
      <c r="J141" s="558">
        <v>46486000</v>
      </c>
      <c r="K141" s="545"/>
      <c r="L141" s="541">
        <f>H141-J141</f>
        <v>-19686000</v>
      </c>
      <c r="M141" s="543"/>
      <c r="N141" s="558">
        <v>16827122.640000001</v>
      </c>
      <c r="O141" s="545"/>
      <c r="P141" s="541">
        <f>J141-N141</f>
        <v>29658877.359999999</v>
      </c>
      <c r="Q141" s="546"/>
      <c r="R141" s="564">
        <v>28945000</v>
      </c>
      <c r="S141" s="564"/>
      <c r="T141" s="564">
        <v>43872000</v>
      </c>
      <c r="U141" s="543"/>
      <c r="V141" s="544">
        <f>R141-T141</f>
        <v>-14927000</v>
      </c>
      <c r="W141" s="543"/>
      <c r="X141" s="558">
        <v>11250063.34</v>
      </c>
      <c r="Y141" s="545"/>
      <c r="Z141" s="547">
        <f>T141-X141</f>
        <v>32621936.66</v>
      </c>
      <c r="AA141" s="275"/>
      <c r="AB141" s="300">
        <v>27200000</v>
      </c>
      <c r="AC141" s="300"/>
      <c r="AD141" s="307">
        <v>38062448.939999998</v>
      </c>
      <c r="AE141" s="271"/>
      <c r="AF141" s="272">
        <f>AB141-AD141</f>
        <v>-10862448.939999998</v>
      </c>
      <c r="AG141" s="273"/>
      <c r="AH141" s="300">
        <v>24927009.09</v>
      </c>
      <c r="AI141" s="271"/>
      <c r="AJ141" s="274">
        <f t="shared" si="25"/>
        <v>13135439.849999998</v>
      </c>
    </row>
    <row r="142" spans="1:36" s="243" customFormat="1" ht="15" x14ac:dyDescent="0.25">
      <c r="A142" s="247"/>
      <c r="B142" s="269" t="s">
        <v>876</v>
      </c>
      <c r="C142" s="269"/>
      <c r="D142" s="256"/>
      <c r="E142" s="257"/>
      <c r="F142" s="255"/>
      <c r="G142" s="261"/>
      <c r="H142" s="541"/>
      <c r="I142" s="545"/>
      <c r="J142" s="544"/>
      <c r="K142" s="545"/>
      <c r="L142" s="541"/>
      <c r="M142" s="543"/>
      <c r="N142" s="544"/>
      <c r="O142" s="545"/>
      <c r="P142" s="541"/>
      <c r="Q142" s="546"/>
      <c r="R142" s="541"/>
      <c r="S142" s="545"/>
      <c r="T142" s="541"/>
      <c r="U142" s="543"/>
      <c r="V142" s="544"/>
      <c r="W142" s="543"/>
      <c r="X142" s="544"/>
      <c r="Y142" s="545"/>
      <c r="Z142" s="547"/>
      <c r="AA142" s="275"/>
      <c r="AB142" s="270"/>
      <c r="AC142" s="273"/>
      <c r="AD142" s="272"/>
      <c r="AE142" s="271"/>
      <c r="AF142" s="272"/>
      <c r="AG142" s="273"/>
      <c r="AH142" s="270"/>
      <c r="AI142" s="271"/>
      <c r="AJ142" s="274"/>
    </row>
    <row r="143" spans="1:36" s="243" customFormat="1" ht="15" x14ac:dyDescent="0.25">
      <c r="A143" s="247"/>
      <c r="B143" s="256"/>
      <c r="C143" s="269" t="s">
        <v>877</v>
      </c>
      <c r="D143" s="256"/>
      <c r="E143" s="257"/>
      <c r="F143" s="255"/>
      <c r="G143" s="261"/>
      <c r="H143" s="541"/>
      <c r="I143" s="545"/>
      <c r="J143" s="544"/>
      <c r="K143" s="545"/>
      <c r="L143" s="541"/>
      <c r="M143" s="543"/>
      <c r="N143" s="544"/>
      <c r="O143" s="545"/>
      <c r="P143" s="541"/>
      <c r="Q143" s="546"/>
      <c r="R143" s="541"/>
      <c r="S143" s="545"/>
      <c r="T143" s="541"/>
      <c r="U143" s="543"/>
      <c r="V143" s="544"/>
      <c r="W143" s="543"/>
      <c r="X143" s="544"/>
      <c r="Y143" s="545"/>
      <c r="Z143" s="547"/>
      <c r="AA143" s="275"/>
      <c r="AB143" s="270"/>
      <c r="AC143" s="273"/>
      <c r="AD143" s="272"/>
      <c r="AE143" s="271"/>
      <c r="AF143" s="272"/>
      <c r="AG143" s="273"/>
      <c r="AH143" s="270"/>
      <c r="AI143" s="271"/>
      <c r="AJ143" s="274"/>
    </row>
    <row r="144" spans="1:36" s="243" customFormat="1" ht="15" x14ac:dyDescent="0.25">
      <c r="A144" s="247"/>
      <c r="B144" s="256"/>
      <c r="C144" s="269"/>
      <c r="D144" s="256" t="s">
        <v>878</v>
      </c>
      <c r="E144" s="257"/>
      <c r="F144" s="255"/>
      <c r="G144" s="261"/>
      <c r="H144" s="541">
        <v>0</v>
      </c>
      <c r="I144" s="545"/>
      <c r="J144" s="544">
        <v>0</v>
      </c>
      <c r="K144" s="545"/>
      <c r="L144" s="541">
        <f>H144-J144</f>
        <v>0</v>
      </c>
      <c r="M144" s="543"/>
      <c r="N144" s="544"/>
      <c r="O144" s="545"/>
      <c r="P144" s="541">
        <f>J144-N144</f>
        <v>0</v>
      </c>
      <c r="Q144" s="546"/>
      <c r="R144" s="541">
        <v>500000</v>
      </c>
      <c r="S144" s="545"/>
      <c r="T144" s="541">
        <v>546500</v>
      </c>
      <c r="U144" s="543"/>
      <c r="V144" s="544">
        <f>R144-T144</f>
        <v>-46500</v>
      </c>
      <c r="W144" s="543"/>
      <c r="X144" s="544">
        <v>6063.25</v>
      </c>
      <c r="Y144" s="545"/>
      <c r="Z144" s="547">
        <f>T144-X144</f>
        <v>540436.75</v>
      </c>
      <c r="AA144" s="275"/>
      <c r="AB144" s="270">
        <v>2277317.7599999998</v>
      </c>
      <c r="AC144" s="273"/>
      <c r="AD144" s="272">
        <v>2277317.7599999998</v>
      </c>
      <c r="AE144" s="271"/>
      <c r="AF144" s="272">
        <v>0</v>
      </c>
      <c r="AG144" s="273"/>
      <c r="AH144" s="270">
        <v>115053.7</v>
      </c>
      <c r="AI144" s="271"/>
      <c r="AJ144" s="274">
        <f t="shared" si="25"/>
        <v>2162264.0599999996</v>
      </c>
    </row>
    <row r="145" spans="1:36" s="243" customFormat="1" ht="15" x14ac:dyDescent="0.25">
      <c r="A145" s="247"/>
      <c r="B145" s="256"/>
      <c r="C145" s="269"/>
      <c r="D145" s="256" t="s">
        <v>662</v>
      </c>
      <c r="E145" s="257"/>
      <c r="F145" s="255"/>
      <c r="G145" s="261"/>
      <c r="H145" s="541"/>
      <c r="I145" s="545"/>
      <c r="J145" s="544"/>
      <c r="K145" s="545"/>
      <c r="L145" s="541"/>
      <c r="M145" s="543"/>
      <c r="N145" s="544"/>
      <c r="O145" s="545"/>
      <c r="P145" s="541">
        <f>J145-N145</f>
        <v>0</v>
      </c>
      <c r="Q145" s="546"/>
      <c r="R145" s="541"/>
      <c r="S145" s="545"/>
      <c r="T145" s="541"/>
      <c r="U145" s="543"/>
      <c r="V145" s="544"/>
      <c r="W145" s="543"/>
      <c r="X145" s="544">
        <v>540436.05000000005</v>
      </c>
      <c r="Y145" s="545"/>
      <c r="Z145" s="547">
        <f>T145-X145</f>
        <v>-540436.05000000005</v>
      </c>
      <c r="AA145" s="275"/>
      <c r="AB145" s="308">
        <v>0</v>
      </c>
      <c r="AC145" s="308"/>
      <c r="AD145" s="309">
        <v>0</v>
      </c>
      <c r="AE145" s="271"/>
      <c r="AF145" s="272">
        <v>0</v>
      </c>
      <c r="AG145" s="273"/>
      <c r="AH145" s="270">
        <v>2161745.52</v>
      </c>
      <c r="AI145" s="271"/>
      <c r="AJ145" s="274">
        <f t="shared" si="25"/>
        <v>-2161745.52</v>
      </c>
    </row>
    <row r="146" spans="1:36" s="243" customFormat="1" ht="15" hidden="1" x14ac:dyDescent="0.25">
      <c r="A146" s="247"/>
      <c r="B146" s="256"/>
      <c r="C146" s="269" t="s">
        <v>881</v>
      </c>
      <c r="D146" s="256"/>
      <c r="E146" s="257"/>
      <c r="F146" s="255"/>
      <c r="G146" s="261"/>
      <c r="H146" s="541"/>
      <c r="I146" s="545"/>
      <c r="J146" s="544"/>
      <c r="K146" s="545"/>
      <c r="L146" s="541"/>
      <c r="M146" s="543"/>
      <c r="N146" s="544"/>
      <c r="O146" s="545"/>
      <c r="P146" s="541"/>
      <c r="Q146" s="546"/>
      <c r="R146" s="541"/>
      <c r="S146" s="545"/>
      <c r="T146" s="541"/>
      <c r="U146" s="543"/>
      <c r="V146" s="544"/>
      <c r="W146" s="543"/>
      <c r="X146" s="544"/>
      <c r="Y146" s="545"/>
      <c r="Z146" s="547"/>
      <c r="AA146" s="275"/>
      <c r="AB146" s="270"/>
      <c r="AC146" s="273"/>
      <c r="AD146" s="270"/>
      <c r="AE146" s="271"/>
      <c r="AF146" s="270"/>
      <c r="AG146" s="273"/>
      <c r="AH146" s="270"/>
      <c r="AI146" s="271"/>
      <c r="AJ146" s="274"/>
    </row>
    <row r="147" spans="1:36" s="243" customFormat="1" ht="15" hidden="1" x14ac:dyDescent="0.25">
      <c r="A147" s="247"/>
      <c r="B147" s="256"/>
      <c r="C147" s="269"/>
      <c r="D147" s="256" t="s">
        <v>909</v>
      </c>
      <c r="E147" s="257"/>
      <c r="F147" s="255"/>
      <c r="G147" s="261"/>
      <c r="H147" s="541"/>
      <c r="I147" s="545"/>
      <c r="J147" s="544"/>
      <c r="K147" s="545"/>
      <c r="L147" s="541"/>
      <c r="M147" s="543"/>
      <c r="N147" s="544"/>
      <c r="O147" s="545"/>
      <c r="P147" s="541"/>
      <c r="Q147" s="546"/>
      <c r="R147" s="541"/>
      <c r="S147" s="545"/>
      <c r="T147" s="541"/>
      <c r="U147" s="543"/>
      <c r="V147" s="544"/>
      <c r="W147" s="543"/>
      <c r="X147" s="544"/>
      <c r="Y147" s="545"/>
      <c r="Z147" s="547"/>
      <c r="AA147" s="275"/>
      <c r="AB147" s="270"/>
      <c r="AC147" s="273"/>
      <c r="AD147" s="270"/>
      <c r="AE147" s="271"/>
      <c r="AF147" s="270"/>
      <c r="AG147" s="273"/>
      <c r="AH147" s="270"/>
      <c r="AI147" s="271"/>
      <c r="AJ147" s="274"/>
    </row>
    <row r="148" spans="1:36" s="243" customFormat="1" ht="15" x14ac:dyDescent="0.25">
      <c r="A148" s="247"/>
      <c r="B148" s="256"/>
      <c r="C148" s="269" t="s">
        <v>882</v>
      </c>
      <c r="D148" s="256"/>
      <c r="E148" s="257"/>
      <c r="F148" s="255"/>
      <c r="G148" s="261"/>
      <c r="H148" s="549">
        <f>SUM(H139:H147)</f>
        <v>51750000</v>
      </c>
      <c r="I148" s="545"/>
      <c r="J148" s="550">
        <f>SUM(J139:J147)</f>
        <v>72990492.430000007</v>
      </c>
      <c r="K148" s="545"/>
      <c r="L148" s="549">
        <f>SUM(L139:L145)</f>
        <v>-21240492.43</v>
      </c>
      <c r="M148" s="543"/>
      <c r="N148" s="550">
        <f>SUM(N139:N145)</f>
        <v>36816666.019999996</v>
      </c>
      <c r="O148" s="545"/>
      <c r="P148" s="549">
        <f>SUM(P139:P145)</f>
        <v>36173826.410000004</v>
      </c>
      <c r="Q148" s="546"/>
      <c r="R148" s="549">
        <f>SUM(R139:R147)</f>
        <v>56276665</v>
      </c>
      <c r="S148" s="545"/>
      <c r="T148" s="549">
        <f>SUM(T139:T147)</f>
        <v>77290874.769999996</v>
      </c>
      <c r="U148" s="543"/>
      <c r="V148" s="550">
        <f>SUM(V139:V145)</f>
        <v>-21014209.77</v>
      </c>
      <c r="W148" s="543"/>
      <c r="X148" s="550">
        <f>SUM(X139:X145)</f>
        <v>32112044.09</v>
      </c>
      <c r="Y148" s="545"/>
      <c r="Z148" s="551">
        <f>SUM(Z139:Z145)</f>
        <v>45178830.680000007</v>
      </c>
      <c r="AA148" s="275"/>
      <c r="AB148" s="277">
        <f>SUM(AB139:AB145)</f>
        <v>52833517.759999998</v>
      </c>
      <c r="AC148" s="273"/>
      <c r="AD148" s="279">
        <f>SUM(AD139:AD145)</f>
        <v>71344083.989999995</v>
      </c>
      <c r="AE148" s="271"/>
      <c r="AF148" s="279">
        <f>SUM(AF139:AF145)</f>
        <v>-18510566.229999997</v>
      </c>
      <c r="AG148" s="273"/>
      <c r="AH148" s="279">
        <f>SUM(AH139:AH145)</f>
        <v>48358343.220000006</v>
      </c>
      <c r="AI148" s="271"/>
      <c r="AJ148" s="279">
        <f>SUM(AJ139:AJ145)</f>
        <v>22985740.769999996</v>
      </c>
    </row>
    <row r="149" spans="1:36" s="243" customFormat="1" ht="15" x14ac:dyDescent="0.25">
      <c r="A149" s="247" t="s">
        <v>883</v>
      </c>
      <c r="B149" s="269"/>
      <c r="C149" s="269"/>
      <c r="D149" s="256"/>
      <c r="E149" s="257"/>
      <c r="F149" s="255"/>
      <c r="G149" s="261"/>
      <c r="H149" s="545"/>
      <c r="I149" s="545"/>
      <c r="J149" s="552"/>
      <c r="K149" s="545"/>
      <c r="L149" s="545"/>
      <c r="M149" s="543"/>
      <c r="N149" s="552"/>
      <c r="O149" s="545"/>
      <c r="P149" s="541"/>
      <c r="Q149" s="546"/>
      <c r="R149" s="545"/>
      <c r="S149" s="545"/>
      <c r="T149" s="545"/>
      <c r="U149" s="543"/>
      <c r="V149" s="552"/>
      <c r="W149" s="543"/>
      <c r="X149" s="552"/>
      <c r="Y149" s="545"/>
      <c r="Z149" s="547"/>
      <c r="AA149" s="275"/>
      <c r="AB149" s="273"/>
      <c r="AC149" s="273"/>
      <c r="AD149" s="280"/>
      <c r="AE149" s="271"/>
      <c r="AF149" s="280"/>
      <c r="AG149" s="273"/>
      <c r="AH149" s="273"/>
      <c r="AI149" s="271"/>
      <c r="AJ149" s="274"/>
    </row>
    <row r="150" spans="1:36" s="243" customFormat="1" ht="15" x14ac:dyDescent="0.25">
      <c r="A150" s="247"/>
      <c r="B150" s="269" t="s">
        <v>870</v>
      </c>
      <c r="C150" s="269"/>
      <c r="D150" s="256"/>
      <c r="E150" s="257"/>
      <c r="F150" s="255"/>
      <c r="G150" s="261"/>
      <c r="H150" s="545"/>
      <c r="I150" s="545"/>
      <c r="J150" s="552"/>
      <c r="K150" s="545"/>
      <c r="L150" s="545"/>
      <c r="M150" s="543"/>
      <c r="N150" s="552"/>
      <c r="O150" s="545"/>
      <c r="P150" s="541"/>
      <c r="Q150" s="546"/>
      <c r="R150" s="545"/>
      <c r="S150" s="545"/>
      <c r="T150" s="545"/>
      <c r="U150" s="543"/>
      <c r="V150" s="552"/>
      <c r="W150" s="543"/>
      <c r="X150" s="552"/>
      <c r="Y150" s="545"/>
      <c r="Z150" s="547"/>
      <c r="AA150" s="275"/>
      <c r="AB150" s="273"/>
      <c r="AC150" s="273"/>
      <c r="AD150" s="280"/>
      <c r="AE150" s="271"/>
      <c r="AF150" s="280"/>
      <c r="AG150" s="273"/>
      <c r="AH150" s="273"/>
      <c r="AI150" s="271"/>
      <c r="AJ150" s="274"/>
    </row>
    <row r="151" spans="1:36" s="243" customFormat="1" ht="15" x14ac:dyDescent="0.25">
      <c r="A151" s="247"/>
      <c r="B151" s="269"/>
      <c r="C151" s="256" t="s">
        <v>869</v>
      </c>
      <c r="D151" s="256"/>
      <c r="E151" s="257"/>
      <c r="F151" s="255"/>
      <c r="G151" s="261"/>
      <c r="H151" s="541">
        <v>43064471.539999999</v>
      </c>
      <c r="I151" s="541"/>
      <c r="J151" s="544">
        <v>36073979.109999999</v>
      </c>
      <c r="K151" s="545"/>
      <c r="L151" s="541">
        <f>H151-J151</f>
        <v>6990492.4299999997</v>
      </c>
      <c r="M151" s="543"/>
      <c r="N151" s="558">
        <v>23902747.530000001</v>
      </c>
      <c r="O151" s="545"/>
      <c r="P151" s="541">
        <f>J151-N151</f>
        <v>12171231.579999998</v>
      </c>
      <c r="Q151" s="546"/>
      <c r="R151" s="541">
        <v>16412615.949999999</v>
      </c>
      <c r="S151" s="541"/>
      <c r="T151" s="541">
        <v>18209741.18</v>
      </c>
      <c r="U151" s="543"/>
      <c r="V151" s="544">
        <f>R151-T151</f>
        <v>-1797125.2300000004</v>
      </c>
      <c r="W151" s="543"/>
      <c r="X151" s="558">
        <v>6052718.6000000006</v>
      </c>
      <c r="Y151" s="545"/>
      <c r="Z151" s="547">
        <f>T151-X151</f>
        <v>12157022.579999998</v>
      </c>
      <c r="AA151" s="275"/>
      <c r="AB151" s="270">
        <v>32743367.530000001</v>
      </c>
      <c r="AC151" s="270"/>
      <c r="AD151" s="272">
        <v>26999707.329999998</v>
      </c>
      <c r="AE151" s="271"/>
      <c r="AF151" s="272">
        <f>AB151-AD151</f>
        <v>5743660.200000003</v>
      </c>
      <c r="AG151" s="273"/>
      <c r="AH151" s="300">
        <v>19462711.800000004</v>
      </c>
      <c r="AI151" s="271"/>
      <c r="AJ151" s="274">
        <f>AD151-AH151</f>
        <v>7536995.5299999937</v>
      </c>
    </row>
    <row r="152" spans="1:36" s="243" customFormat="1" ht="15" x14ac:dyDescent="0.25">
      <c r="A152" s="247"/>
      <c r="B152" s="269"/>
      <c r="C152" s="269" t="s">
        <v>884</v>
      </c>
      <c r="D152" s="256"/>
      <c r="E152" s="257"/>
      <c r="F152" s="526">
        <v>35</v>
      </c>
      <c r="G152" s="261"/>
      <c r="H152" s="549">
        <f>SUM(H151)</f>
        <v>43064471.539999999</v>
      </c>
      <c r="I152" s="545"/>
      <c r="J152" s="550">
        <f>SUM(J151)</f>
        <v>36073979.109999999</v>
      </c>
      <c r="K152" s="545"/>
      <c r="L152" s="549">
        <f>SUM(L151)</f>
        <v>6990492.4299999997</v>
      </c>
      <c r="M152" s="543"/>
      <c r="N152" s="550">
        <f>SUM(N151)</f>
        <v>23902747.530000001</v>
      </c>
      <c r="O152" s="545"/>
      <c r="P152" s="549">
        <f>SUM(P151)</f>
        <v>12171231.579999998</v>
      </c>
      <c r="Q152" s="546"/>
      <c r="R152" s="549">
        <f>SUM(R151)</f>
        <v>16412615.949999999</v>
      </c>
      <c r="S152" s="545"/>
      <c r="T152" s="549">
        <f>SUM(T151)</f>
        <v>18209741.18</v>
      </c>
      <c r="U152" s="543"/>
      <c r="V152" s="550">
        <f>SUM(V151)</f>
        <v>-1797125.2300000004</v>
      </c>
      <c r="W152" s="543"/>
      <c r="X152" s="550">
        <f>SUM(X151)</f>
        <v>6052718.6000000006</v>
      </c>
      <c r="Y152" s="545"/>
      <c r="Z152" s="551">
        <f>SUM(Z151)</f>
        <v>12157022.579999998</v>
      </c>
      <c r="AA152" s="275"/>
      <c r="AB152" s="277">
        <f>SUM(AB151)</f>
        <v>32743367.530000001</v>
      </c>
      <c r="AC152" s="273"/>
      <c r="AD152" s="277">
        <f>SUM(AD151)</f>
        <v>26999707.329999998</v>
      </c>
      <c r="AE152" s="271"/>
      <c r="AF152" s="278">
        <f>SUM(AF151)</f>
        <v>5743660.200000003</v>
      </c>
      <c r="AG152" s="273"/>
      <c r="AH152" s="277">
        <f>SUM(AH151)</f>
        <v>19462711.800000004</v>
      </c>
      <c r="AI152" s="271"/>
      <c r="AJ152" s="279">
        <f>SUM(AJ151)</f>
        <v>7536995.5299999937</v>
      </c>
    </row>
    <row r="153" spans="1:36" s="243" customFormat="1" ht="15.75" thickBot="1" x14ac:dyDescent="0.3">
      <c r="A153" s="250" t="s">
        <v>885</v>
      </c>
      <c r="B153" s="310"/>
      <c r="C153" s="310"/>
      <c r="D153" s="311"/>
      <c r="E153" s="312"/>
      <c r="F153" s="527"/>
      <c r="G153" s="529"/>
      <c r="H153" s="566">
        <f>H152+H148</f>
        <v>94814471.539999992</v>
      </c>
      <c r="I153" s="567"/>
      <c r="J153" s="568">
        <f>J152+J148</f>
        <v>109064471.54000001</v>
      </c>
      <c r="K153" s="567">
        <f t="shared" ref="K153" si="26">K122</f>
        <v>0</v>
      </c>
      <c r="L153" s="566">
        <f>L152+L148</f>
        <v>-14250000</v>
      </c>
      <c r="M153" s="569"/>
      <c r="N153" s="568">
        <f>N152+N148</f>
        <v>60719413.549999997</v>
      </c>
      <c r="O153" s="567">
        <f t="shared" ref="O153" si="27">O122</f>
        <v>0</v>
      </c>
      <c r="P153" s="566">
        <f>P152+P148</f>
        <v>48345057.990000002</v>
      </c>
      <c r="Q153" s="570"/>
      <c r="R153" s="566">
        <f>R152+R148</f>
        <v>72689280.950000003</v>
      </c>
      <c r="S153" s="567"/>
      <c r="T153" s="566">
        <f>T152+T148</f>
        <v>95500615.949999988</v>
      </c>
      <c r="U153" s="569">
        <f t="shared" ref="U153:Y153" si="28">U122</f>
        <v>0</v>
      </c>
      <c r="V153" s="568">
        <f>V152+V148</f>
        <v>-22811335</v>
      </c>
      <c r="W153" s="569"/>
      <c r="X153" s="568">
        <f>X152+X148</f>
        <v>38164762.689999998</v>
      </c>
      <c r="Y153" s="566">
        <f t="shared" si="28"/>
        <v>0</v>
      </c>
      <c r="Z153" s="571">
        <f>Z152+Z148</f>
        <v>57335853.260000005</v>
      </c>
      <c r="AA153" s="315"/>
      <c r="AB153" s="313">
        <f>AB148+AB152</f>
        <v>85576885.289999992</v>
      </c>
      <c r="AC153" s="316"/>
      <c r="AD153" s="313">
        <f>AD148+AD152</f>
        <v>98343791.319999993</v>
      </c>
      <c r="AE153" s="317"/>
      <c r="AF153" s="318">
        <f>AF148+AF152</f>
        <v>-12766906.029999994</v>
      </c>
      <c r="AG153" s="316"/>
      <c r="AH153" s="313">
        <f>AH148+AH152</f>
        <v>67821055.020000011</v>
      </c>
      <c r="AI153" s="317"/>
      <c r="AJ153" s="314">
        <f>AJ148+AJ152</f>
        <v>30522736.29999999</v>
      </c>
    </row>
    <row r="154" spans="1:36" ht="13.5" hidden="1" thickBot="1" x14ac:dyDescent="0.25">
      <c r="A154" s="234" t="s">
        <v>911</v>
      </c>
      <c r="B154" s="237"/>
      <c r="E154" s="236"/>
      <c r="F154" s="235"/>
      <c r="H154" s="519"/>
      <c r="I154" s="519"/>
      <c r="J154" s="519"/>
      <c r="K154" s="519"/>
      <c r="L154" s="519"/>
      <c r="M154" s="519"/>
      <c r="N154" s="519"/>
      <c r="O154" s="519"/>
      <c r="P154" s="519"/>
      <c r="Q154" s="519"/>
      <c r="R154" s="241">
        <f>R135-R153</f>
        <v>723335</v>
      </c>
      <c r="S154" s="530">
        <f t="shared" ref="S154:Z154" si="29">S135-S153</f>
        <v>0</v>
      </c>
      <c r="T154" s="241">
        <f t="shared" si="29"/>
        <v>8207549.5</v>
      </c>
      <c r="U154" s="530">
        <f t="shared" si="29"/>
        <v>0</v>
      </c>
      <c r="V154" s="241">
        <f t="shared" si="29"/>
        <v>-7484214.5</v>
      </c>
      <c r="W154" s="530"/>
      <c r="X154" s="241">
        <f t="shared" si="29"/>
        <v>31263348.340000004</v>
      </c>
      <c r="Y154" s="241">
        <f t="shared" si="29"/>
        <v>0</v>
      </c>
      <c r="Z154" s="242">
        <f t="shared" si="29"/>
        <v>-23055798.840000004</v>
      </c>
      <c r="AA154" s="235"/>
      <c r="AB154" s="241">
        <f>AB135-AB153</f>
        <v>2166482.2400000095</v>
      </c>
      <c r="AC154" s="241">
        <f t="shared" ref="AC154:AJ154" si="30">AC135-AC153</f>
        <v>0</v>
      </c>
      <c r="AD154" s="241">
        <f t="shared" si="30"/>
        <v>10481433.540000007</v>
      </c>
      <c r="AE154" s="241">
        <f t="shared" si="30"/>
        <v>0</v>
      </c>
      <c r="AF154" s="241">
        <f t="shared" si="30"/>
        <v>-14058611.500000007</v>
      </c>
      <c r="AG154" s="241"/>
      <c r="AH154" s="241">
        <f t="shared" si="30"/>
        <v>11008617.189999983</v>
      </c>
      <c r="AI154" s="241">
        <f t="shared" si="30"/>
        <v>0</v>
      </c>
      <c r="AJ154" s="242">
        <f t="shared" si="30"/>
        <v>-527183.64999998733</v>
      </c>
    </row>
    <row r="155" spans="1:36" x14ac:dyDescent="0.2">
      <c r="R155" s="240"/>
      <c r="S155" s="531"/>
      <c r="T155" s="240"/>
      <c r="U155" s="531"/>
      <c r="V155" s="240"/>
      <c r="W155" s="531"/>
      <c r="X155" s="240"/>
      <c r="Y155" s="240"/>
      <c r="Z155" s="240"/>
    </row>
    <row r="156" spans="1:36" x14ac:dyDescent="0.2">
      <c r="AB156" s="239"/>
      <c r="AC156" s="239"/>
      <c r="AD156" s="239"/>
      <c r="AE156" s="239"/>
      <c r="AF156" s="239"/>
      <c r="AG156" s="239"/>
      <c r="AH156" s="239"/>
      <c r="AI156" s="239"/>
      <c r="AJ156" s="239"/>
    </row>
    <row r="157" spans="1:36" x14ac:dyDescent="0.2">
      <c r="AB157" s="239"/>
      <c r="AC157" s="239"/>
      <c r="AD157" s="239"/>
      <c r="AE157" s="239"/>
      <c r="AF157" s="239"/>
      <c r="AG157" s="239"/>
      <c r="AH157" s="239"/>
      <c r="AI157" s="239"/>
      <c r="AJ157" s="239"/>
    </row>
    <row r="158" spans="1:36" x14ac:dyDescent="0.2">
      <c r="R158" s="239"/>
      <c r="S158" s="532"/>
      <c r="T158" s="239"/>
      <c r="U158" s="532"/>
      <c r="V158" s="239"/>
      <c r="W158" s="532"/>
      <c r="X158" s="239"/>
      <c r="Y158" s="239"/>
      <c r="Z158" s="239"/>
    </row>
    <row r="159" spans="1:36" x14ac:dyDescent="0.2">
      <c r="R159" s="238"/>
      <c r="T159" s="238"/>
      <c r="V159" s="238"/>
      <c r="X159" s="238"/>
      <c r="Z159" s="238"/>
    </row>
    <row r="160" spans="1:36" x14ac:dyDescent="0.2">
      <c r="R160" s="239"/>
      <c r="S160" s="532"/>
      <c r="T160" s="239"/>
      <c r="U160" s="532"/>
      <c r="V160" s="239"/>
      <c r="W160" s="532"/>
      <c r="X160" s="239"/>
      <c r="Y160" s="239"/>
      <c r="Z160" s="239"/>
    </row>
  </sheetData>
  <sheetProtection algorithmName="SHA-512" hashValue="bqBFdYeVs9AbwUfMnYdIWxpShN5pBH3gK6CShE1B5hF7g0FuQiBp7f0TDLoo7z0L1gNrCB7XrHkZyx5QPWWiJA==" saltValue="GouDgizWFiY1z5gEhEmx+A==" spinCount="100000" sheet="1" objects="1" scenarios="1" selectLockedCells="1" selectUnlockedCells="1"/>
  <mergeCells count="26">
    <mergeCell ref="A1:AJ1"/>
    <mergeCell ref="A2:AJ2"/>
    <mergeCell ref="A3:AJ3"/>
    <mergeCell ref="A7:E10"/>
    <mergeCell ref="F7:F10"/>
    <mergeCell ref="AA7:AJ7"/>
    <mergeCell ref="U8:V8"/>
    <mergeCell ref="AA8:AD8"/>
    <mergeCell ref="AE8:AF8"/>
    <mergeCell ref="A4:AJ4"/>
    <mergeCell ref="A5:AJ5"/>
    <mergeCell ref="U9:V9"/>
    <mergeCell ref="AA9:AD9"/>
    <mergeCell ref="D98:E98"/>
    <mergeCell ref="U10:V10"/>
    <mergeCell ref="AE10:AF10"/>
    <mergeCell ref="R7:Z7"/>
    <mergeCell ref="R8:T8"/>
    <mergeCell ref="R9:T9"/>
    <mergeCell ref="H8:J8"/>
    <mergeCell ref="K8:L8"/>
    <mergeCell ref="H9:J9"/>
    <mergeCell ref="K9:L9"/>
    <mergeCell ref="K10:L10"/>
    <mergeCell ref="G7:Q7"/>
    <mergeCell ref="AE9:AF9"/>
  </mergeCells>
  <conditionalFormatting sqref="C113:C116">
    <cfRule type="duplicateValues" dxfId="2" priority="3" stopIfTrue="1"/>
  </conditionalFormatting>
  <conditionalFormatting sqref="C113:C114">
    <cfRule type="duplicateValues" dxfId="1" priority="2" stopIfTrue="1"/>
  </conditionalFormatting>
  <conditionalFormatting sqref="C115:C116">
    <cfRule type="duplicateValues" dxfId="0" priority="1" stopIfTrue="1"/>
  </conditionalFormatting>
  <pageMargins left="0.95" right="1" top="1.0900000000000001" bottom="1" header="0.7" footer="0.5"/>
  <pageSetup scale="46" fitToHeight="0" orientation="landscape" horizontalDpi="360" verticalDpi="360" r:id="rId1"/>
  <headerFooter>
    <oddHeader xml:space="preserve">&amp;R&amp;"Times New Roman,Regular"&amp;10Annex E
AAR page  8
</oddHeader>
  </headerFooter>
  <rowBreaks count="1" manualBreakCount="1">
    <brk id="75" max="35" man="1"/>
  </rowBreaks>
  <colBreaks count="1" manualBreakCount="1">
    <brk id="36" max="1048575" man="1"/>
  </col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28"/>
  <sheetViews>
    <sheetView zoomScaleNormal="100" zoomScaleSheetLayoutView="96" workbookViewId="0"/>
  </sheetViews>
  <sheetFormatPr defaultRowHeight="15" x14ac:dyDescent="0.25"/>
  <cols>
    <col min="1" max="1" width="26.7109375" style="324" bestFit="1" customWidth="1"/>
    <col min="2" max="2" width="42.7109375" style="325" customWidth="1"/>
    <col min="3" max="3" width="10.140625" style="325" bestFit="1" customWidth="1"/>
    <col min="4" max="4" width="14.5703125" style="327" bestFit="1" customWidth="1"/>
    <col min="5" max="248" width="9.140625" style="324"/>
    <col min="249" max="249" width="13.7109375" style="324" bestFit="1" customWidth="1"/>
    <col min="250" max="250" width="15.42578125" style="324" bestFit="1" customWidth="1"/>
    <col min="251" max="251" width="17.28515625" style="324" customWidth="1"/>
    <col min="252" max="252" width="25" style="324" bestFit="1" customWidth="1"/>
    <col min="253" max="254" width="14.85546875" style="324" bestFit="1" customWidth="1"/>
    <col min="255" max="255" width="16.140625" style="324" customWidth="1"/>
    <col min="256" max="256" width="12.85546875" style="324" bestFit="1" customWidth="1"/>
    <col min="257" max="257" width="19.140625" style="324" bestFit="1" customWidth="1"/>
    <col min="258" max="504" width="9.140625" style="324"/>
    <col min="505" max="505" width="13.7109375" style="324" bestFit="1" customWidth="1"/>
    <col min="506" max="506" width="15.42578125" style="324" bestFit="1" customWidth="1"/>
    <col min="507" max="507" width="17.28515625" style="324" customWidth="1"/>
    <col min="508" max="508" width="25" style="324" bestFit="1" customWidth="1"/>
    <col min="509" max="510" width="14.85546875" style="324" bestFit="1" customWidth="1"/>
    <col min="511" max="511" width="16.140625" style="324" customWidth="1"/>
    <col min="512" max="512" width="12.85546875" style="324" bestFit="1" customWidth="1"/>
    <col min="513" max="513" width="19.140625" style="324" bestFit="1" customWidth="1"/>
    <col min="514" max="760" width="9.140625" style="324"/>
    <col min="761" max="761" width="13.7109375" style="324" bestFit="1" customWidth="1"/>
    <col min="762" max="762" width="15.42578125" style="324" bestFit="1" customWidth="1"/>
    <col min="763" max="763" width="17.28515625" style="324" customWidth="1"/>
    <col min="764" max="764" width="25" style="324" bestFit="1" customWidth="1"/>
    <col min="765" max="766" width="14.85546875" style="324" bestFit="1" customWidth="1"/>
    <col min="767" max="767" width="16.140625" style="324" customWidth="1"/>
    <col min="768" max="768" width="12.85546875" style="324" bestFit="1" customWidth="1"/>
    <col min="769" max="769" width="19.140625" style="324" bestFit="1" customWidth="1"/>
    <col min="770" max="1016" width="9.140625" style="324"/>
    <col min="1017" max="1017" width="13.7109375" style="324" bestFit="1" customWidth="1"/>
    <col min="1018" max="1018" width="15.42578125" style="324" bestFit="1" customWidth="1"/>
    <col min="1019" max="1019" width="17.28515625" style="324" customWidth="1"/>
    <col min="1020" max="1020" width="25" style="324" bestFit="1" customWidth="1"/>
    <col min="1021" max="1022" width="14.85546875" style="324" bestFit="1" customWidth="1"/>
    <col min="1023" max="1023" width="16.140625" style="324" customWidth="1"/>
    <col min="1024" max="1024" width="12.85546875" style="324" bestFit="1" customWidth="1"/>
    <col min="1025" max="1025" width="19.140625" style="324" bestFit="1" customWidth="1"/>
    <col min="1026" max="1272" width="9.140625" style="324"/>
    <col min="1273" max="1273" width="13.7109375" style="324" bestFit="1" customWidth="1"/>
    <col min="1274" max="1274" width="15.42578125" style="324" bestFit="1" customWidth="1"/>
    <col min="1275" max="1275" width="17.28515625" style="324" customWidth="1"/>
    <col min="1276" max="1276" width="25" style="324" bestFit="1" customWidth="1"/>
    <col min="1277" max="1278" width="14.85546875" style="324" bestFit="1" customWidth="1"/>
    <col min="1279" max="1279" width="16.140625" style="324" customWidth="1"/>
    <col min="1280" max="1280" width="12.85546875" style="324" bestFit="1" customWidth="1"/>
    <col min="1281" max="1281" width="19.140625" style="324" bestFit="1" customWidth="1"/>
    <col min="1282" max="1528" width="9.140625" style="324"/>
    <col min="1529" max="1529" width="13.7109375" style="324" bestFit="1" customWidth="1"/>
    <col min="1530" max="1530" width="15.42578125" style="324" bestFit="1" customWidth="1"/>
    <col min="1531" max="1531" width="17.28515625" style="324" customWidth="1"/>
    <col min="1532" max="1532" width="25" style="324" bestFit="1" customWidth="1"/>
    <col min="1533" max="1534" width="14.85546875" style="324" bestFit="1" customWidth="1"/>
    <col min="1535" max="1535" width="16.140625" style="324" customWidth="1"/>
    <col min="1536" max="1536" width="12.85546875" style="324" bestFit="1" customWidth="1"/>
    <col min="1537" max="1537" width="19.140625" style="324" bestFit="1" customWidth="1"/>
    <col min="1538" max="1784" width="9.140625" style="324"/>
    <col min="1785" max="1785" width="13.7109375" style="324" bestFit="1" customWidth="1"/>
    <col min="1786" max="1786" width="15.42578125" style="324" bestFit="1" customWidth="1"/>
    <col min="1787" max="1787" width="17.28515625" style="324" customWidth="1"/>
    <col min="1788" max="1788" width="25" style="324" bestFit="1" customWidth="1"/>
    <col min="1789" max="1790" width="14.85546875" style="324" bestFit="1" customWidth="1"/>
    <col min="1791" max="1791" width="16.140625" style="324" customWidth="1"/>
    <col min="1792" max="1792" width="12.85546875" style="324" bestFit="1" customWidth="1"/>
    <col min="1793" max="1793" width="19.140625" style="324" bestFit="1" customWidth="1"/>
    <col min="1794" max="2040" width="9.140625" style="324"/>
    <col min="2041" max="2041" width="13.7109375" style="324" bestFit="1" customWidth="1"/>
    <col min="2042" max="2042" width="15.42578125" style="324" bestFit="1" customWidth="1"/>
    <col min="2043" max="2043" width="17.28515625" style="324" customWidth="1"/>
    <col min="2044" max="2044" width="25" style="324" bestFit="1" customWidth="1"/>
    <col min="2045" max="2046" width="14.85546875" style="324" bestFit="1" customWidth="1"/>
    <col min="2047" max="2047" width="16.140625" style="324" customWidth="1"/>
    <col min="2048" max="2048" width="12.85546875" style="324" bestFit="1" customWidth="1"/>
    <col min="2049" max="2049" width="19.140625" style="324" bestFit="1" customWidth="1"/>
    <col min="2050" max="2296" width="9.140625" style="324"/>
    <col min="2297" max="2297" width="13.7109375" style="324" bestFit="1" customWidth="1"/>
    <col min="2298" max="2298" width="15.42578125" style="324" bestFit="1" customWidth="1"/>
    <col min="2299" max="2299" width="17.28515625" style="324" customWidth="1"/>
    <col min="2300" max="2300" width="25" style="324" bestFit="1" customWidth="1"/>
    <col min="2301" max="2302" width="14.85546875" style="324" bestFit="1" customWidth="1"/>
    <col min="2303" max="2303" width="16.140625" style="324" customWidth="1"/>
    <col min="2304" max="2304" width="12.85546875" style="324" bestFit="1" customWidth="1"/>
    <col min="2305" max="2305" width="19.140625" style="324" bestFit="1" customWidth="1"/>
    <col min="2306" max="2552" width="9.140625" style="324"/>
    <col min="2553" max="2553" width="13.7109375" style="324" bestFit="1" customWidth="1"/>
    <col min="2554" max="2554" width="15.42578125" style="324" bestFit="1" customWidth="1"/>
    <col min="2555" max="2555" width="17.28515625" style="324" customWidth="1"/>
    <col min="2556" max="2556" width="25" style="324" bestFit="1" customWidth="1"/>
    <col min="2557" max="2558" width="14.85546875" style="324" bestFit="1" customWidth="1"/>
    <col min="2559" max="2559" width="16.140625" style="324" customWidth="1"/>
    <col min="2560" max="2560" width="12.85546875" style="324" bestFit="1" customWidth="1"/>
    <col min="2561" max="2561" width="19.140625" style="324" bestFit="1" customWidth="1"/>
    <col min="2562" max="2808" width="9.140625" style="324"/>
    <col min="2809" max="2809" width="13.7109375" style="324" bestFit="1" customWidth="1"/>
    <col min="2810" max="2810" width="15.42578125" style="324" bestFit="1" customWidth="1"/>
    <col min="2811" max="2811" width="17.28515625" style="324" customWidth="1"/>
    <col min="2812" max="2812" width="25" style="324" bestFit="1" customWidth="1"/>
    <col min="2813" max="2814" width="14.85546875" style="324" bestFit="1" customWidth="1"/>
    <col min="2815" max="2815" width="16.140625" style="324" customWidth="1"/>
    <col min="2816" max="2816" width="12.85546875" style="324" bestFit="1" customWidth="1"/>
    <col min="2817" max="2817" width="19.140625" style="324" bestFit="1" customWidth="1"/>
    <col min="2818" max="3064" width="9.140625" style="324"/>
    <col min="3065" max="3065" width="13.7109375" style="324" bestFit="1" customWidth="1"/>
    <col min="3066" max="3066" width="15.42578125" style="324" bestFit="1" customWidth="1"/>
    <col min="3067" max="3067" width="17.28515625" style="324" customWidth="1"/>
    <col min="3068" max="3068" width="25" style="324" bestFit="1" customWidth="1"/>
    <col min="3069" max="3070" width="14.85546875" style="324" bestFit="1" customWidth="1"/>
    <col min="3071" max="3071" width="16.140625" style="324" customWidth="1"/>
    <col min="3072" max="3072" width="12.85546875" style="324" bestFit="1" customWidth="1"/>
    <col min="3073" max="3073" width="19.140625" style="324" bestFit="1" customWidth="1"/>
    <col min="3074" max="3320" width="9.140625" style="324"/>
    <col min="3321" max="3321" width="13.7109375" style="324" bestFit="1" customWidth="1"/>
    <col min="3322" max="3322" width="15.42578125" style="324" bestFit="1" customWidth="1"/>
    <col min="3323" max="3323" width="17.28515625" style="324" customWidth="1"/>
    <col min="3324" max="3324" width="25" style="324" bestFit="1" customWidth="1"/>
    <col min="3325" max="3326" width="14.85546875" style="324" bestFit="1" customWidth="1"/>
    <col min="3327" max="3327" width="16.140625" style="324" customWidth="1"/>
    <col min="3328" max="3328" width="12.85546875" style="324" bestFit="1" customWidth="1"/>
    <col min="3329" max="3329" width="19.140625" style="324" bestFit="1" customWidth="1"/>
    <col min="3330" max="3576" width="9.140625" style="324"/>
    <col min="3577" max="3577" width="13.7109375" style="324" bestFit="1" customWidth="1"/>
    <col min="3578" max="3578" width="15.42578125" style="324" bestFit="1" customWidth="1"/>
    <col min="3579" max="3579" width="17.28515625" style="324" customWidth="1"/>
    <col min="3580" max="3580" width="25" style="324" bestFit="1" customWidth="1"/>
    <col min="3581" max="3582" width="14.85546875" style="324" bestFit="1" customWidth="1"/>
    <col min="3583" max="3583" width="16.140625" style="324" customWidth="1"/>
    <col min="3584" max="3584" width="12.85546875" style="324" bestFit="1" customWidth="1"/>
    <col min="3585" max="3585" width="19.140625" style="324" bestFit="1" customWidth="1"/>
    <col min="3586" max="3832" width="9.140625" style="324"/>
    <col min="3833" max="3833" width="13.7109375" style="324" bestFit="1" customWidth="1"/>
    <col min="3834" max="3834" width="15.42578125" style="324" bestFit="1" customWidth="1"/>
    <col min="3835" max="3835" width="17.28515625" style="324" customWidth="1"/>
    <col min="3836" max="3836" width="25" style="324" bestFit="1" customWidth="1"/>
    <col min="3837" max="3838" width="14.85546875" style="324" bestFit="1" customWidth="1"/>
    <col min="3839" max="3839" width="16.140625" style="324" customWidth="1"/>
    <col min="3840" max="3840" width="12.85546875" style="324" bestFit="1" customWidth="1"/>
    <col min="3841" max="3841" width="19.140625" style="324" bestFit="1" customWidth="1"/>
    <col min="3842" max="4088" width="9.140625" style="324"/>
    <col min="4089" max="4089" width="13.7109375" style="324" bestFit="1" customWidth="1"/>
    <col min="4090" max="4090" width="15.42578125" style="324" bestFit="1" customWidth="1"/>
    <col min="4091" max="4091" width="17.28515625" style="324" customWidth="1"/>
    <col min="4092" max="4092" width="25" style="324" bestFit="1" customWidth="1"/>
    <col min="4093" max="4094" width="14.85546875" style="324" bestFit="1" customWidth="1"/>
    <col min="4095" max="4095" width="16.140625" style="324" customWidth="1"/>
    <col min="4096" max="4096" width="12.85546875" style="324" bestFit="1" customWidth="1"/>
    <col min="4097" max="4097" width="19.140625" style="324" bestFit="1" customWidth="1"/>
    <col min="4098" max="4344" width="9.140625" style="324"/>
    <col min="4345" max="4345" width="13.7109375" style="324" bestFit="1" customWidth="1"/>
    <col min="4346" max="4346" width="15.42578125" style="324" bestFit="1" customWidth="1"/>
    <col min="4347" max="4347" width="17.28515625" style="324" customWidth="1"/>
    <col min="4348" max="4348" width="25" style="324" bestFit="1" customWidth="1"/>
    <col min="4349" max="4350" width="14.85546875" style="324" bestFit="1" customWidth="1"/>
    <col min="4351" max="4351" width="16.140625" style="324" customWidth="1"/>
    <col min="4352" max="4352" width="12.85546875" style="324" bestFit="1" customWidth="1"/>
    <col min="4353" max="4353" width="19.140625" style="324" bestFit="1" customWidth="1"/>
    <col min="4354" max="4600" width="9.140625" style="324"/>
    <col min="4601" max="4601" width="13.7109375" style="324" bestFit="1" customWidth="1"/>
    <col min="4602" max="4602" width="15.42578125" style="324" bestFit="1" customWidth="1"/>
    <col min="4603" max="4603" width="17.28515625" style="324" customWidth="1"/>
    <col min="4604" max="4604" width="25" style="324" bestFit="1" customWidth="1"/>
    <col min="4605" max="4606" width="14.85546875" style="324" bestFit="1" customWidth="1"/>
    <col min="4607" max="4607" width="16.140625" style="324" customWidth="1"/>
    <col min="4608" max="4608" width="12.85546875" style="324" bestFit="1" customWidth="1"/>
    <col min="4609" max="4609" width="19.140625" style="324" bestFit="1" customWidth="1"/>
    <col min="4610" max="4856" width="9.140625" style="324"/>
    <col min="4857" max="4857" width="13.7109375" style="324" bestFit="1" customWidth="1"/>
    <col min="4858" max="4858" width="15.42578125" style="324" bestFit="1" customWidth="1"/>
    <col min="4859" max="4859" width="17.28515625" style="324" customWidth="1"/>
    <col min="4860" max="4860" width="25" style="324" bestFit="1" customWidth="1"/>
    <col min="4861" max="4862" width="14.85546875" style="324" bestFit="1" customWidth="1"/>
    <col min="4863" max="4863" width="16.140625" style="324" customWidth="1"/>
    <col min="4864" max="4864" width="12.85546875" style="324" bestFit="1" customWidth="1"/>
    <col min="4865" max="4865" width="19.140625" style="324" bestFit="1" customWidth="1"/>
    <col min="4866" max="5112" width="9.140625" style="324"/>
    <col min="5113" max="5113" width="13.7109375" style="324" bestFit="1" customWidth="1"/>
    <col min="5114" max="5114" width="15.42578125" style="324" bestFit="1" customWidth="1"/>
    <col min="5115" max="5115" width="17.28515625" style="324" customWidth="1"/>
    <col min="5116" max="5116" width="25" style="324" bestFit="1" customWidth="1"/>
    <col min="5117" max="5118" width="14.85546875" style="324" bestFit="1" customWidth="1"/>
    <col min="5119" max="5119" width="16.140625" style="324" customWidth="1"/>
    <col min="5120" max="5120" width="12.85546875" style="324" bestFit="1" customWidth="1"/>
    <col min="5121" max="5121" width="19.140625" style="324" bestFit="1" customWidth="1"/>
    <col min="5122" max="5368" width="9.140625" style="324"/>
    <col min="5369" max="5369" width="13.7109375" style="324" bestFit="1" customWidth="1"/>
    <col min="5370" max="5370" width="15.42578125" style="324" bestFit="1" customWidth="1"/>
    <col min="5371" max="5371" width="17.28515625" style="324" customWidth="1"/>
    <col min="5372" max="5372" width="25" style="324" bestFit="1" customWidth="1"/>
    <col min="5373" max="5374" width="14.85546875" style="324" bestFit="1" customWidth="1"/>
    <col min="5375" max="5375" width="16.140625" style="324" customWidth="1"/>
    <col min="5376" max="5376" width="12.85546875" style="324" bestFit="1" customWidth="1"/>
    <col min="5377" max="5377" width="19.140625" style="324" bestFit="1" customWidth="1"/>
    <col min="5378" max="5624" width="9.140625" style="324"/>
    <col min="5625" max="5625" width="13.7109375" style="324" bestFit="1" customWidth="1"/>
    <col min="5626" max="5626" width="15.42578125" style="324" bestFit="1" customWidth="1"/>
    <col min="5627" max="5627" width="17.28515625" style="324" customWidth="1"/>
    <col min="5628" max="5628" width="25" style="324" bestFit="1" customWidth="1"/>
    <col min="5629" max="5630" width="14.85546875" style="324" bestFit="1" customWidth="1"/>
    <col min="5631" max="5631" width="16.140625" style="324" customWidth="1"/>
    <col min="5632" max="5632" width="12.85546875" style="324" bestFit="1" customWidth="1"/>
    <col min="5633" max="5633" width="19.140625" style="324" bestFit="1" customWidth="1"/>
    <col min="5634" max="5880" width="9.140625" style="324"/>
    <col min="5881" max="5881" width="13.7109375" style="324" bestFit="1" customWidth="1"/>
    <col min="5882" max="5882" width="15.42578125" style="324" bestFit="1" customWidth="1"/>
    <col min="5883" max="5883" width="17.28515625" style="324" customWidth="1"/>
    <col min="5884" max="5884" width="25" style="324" bestFit="1" customWidth="1"/>
    <col min="5885" max="5886" width="14.85546875" style="324" bestFit="1" customWidth="1"/>
    <col min="5887" max="5887" width="16.140625" style="324" customWidth="1"/>
    <col min="5888" max="5888" width="12.85546875" style="324" bestFit="1" customWidth="1"/>
    <col min="5889" max="5889" width="19.140625" style="324" bestFit="1" customWidth="1"/>
    <col min="5890" max="6136" width="9.140625" style="324"/>
    <col min="6137" max="6137" width="13.7109375" style="324" bestFit="1" customWidth="1"/>
    <col min="6138" max="6138" width="15.42578125" style="324" bestFit="1" customWidth="1"/>
    <col min="6139" max="6139" width="17.28515625" style="324" customWidth="1"/>
    <col min="6140" max="6140" width="25" style="324" bestFit="1" customWidth="1"/>
    <col min="6141" max="6142" width="14.85546875" style="324" bestFit="1" customWidth="1"/>
    <col min="6143" max="6143" width="16.140625" style="324" customWidth="1"/>
    <col min="6144" max="6144" width="12.85546875" style="324" bestFit="1" customWidth="1"/>
    <col min="6145" max="6145" width="19.140625" style="324" bestFit="1" customWidth="1"/>
    <col min="6146" max="6392" width="9.140625" style="324"/>
    <col min="6393" max="6393" width="13.7109375" style="324" bestFit="1" customWidth="1"/>
    <col min="6394" max="6394" width="15.42578125" style="324" bestFit="1" customWidth="1"/>
    <col min="6395" max="6395" width="17.28515625" style="324" customWidth="1"/>
    <col min="6396" max="6396" width="25" style="324" bestFit="1" customWidth="1"/>
    <col min="6397" max="6398" width="14.85546875" style="324" bestFit="1" customWidth="1"/>
    <col min="6399" max="6399" width="16.140625" style="324" customWidth="1"/>
    <col min="6400" max="6400" width="12.85546875" style="324" bestFit="1" customWidth="1"/>
    <col min="6401" max="6401" width="19.140625" style="324" bestFit="1" customWidth="1"/>
    <col min="6402" max="6648" width="9.140625" style="324"/>
    <col min="6649" max="6649" width="13.7109375" style="324" bestFit="1" customWidth="1"/>
    <col min="6650" max="6650" width="15.42578125" style="324" bestFit="1" customWidth="1"/>
    <col min="6651" max="6651" width="17.28515625" style="324" customWidth="1"/>
    <col min="6652" max="6652" width="25" style="324" bestFit="1" customWidth="1"/>
    <col min="6653" max="6654" width="14.85546875" style="324" bestFit="1" customWidth="1"/>
    <col min="6655" max="6655" width="16.140625" style="324" customWidth="1"/>
    <col min="6656" max="6656" width="12.85546875" style="324" bestFit="1" customWidth="1"/>
    <col min="6657" max="6657" width="19.140625" style="324" bestFit="1" customWidth="1"/>
    <col min="6658" max="6904" width="9.140625" style="324"/>
    <col min="6905" max="6905" width="13.7109375" style="324" bestFit="1" customWidth="1"/>
    <col min="6906" max="6906" width="15.42578125" style="324" bestFit="1" customWidth="1"/>
    <col min="6907" max="6907" width="17.28515625" style="324" customWidth="1"/>
    <col min="6908" max="6908" width="25" style="324" bestFit="1" customWidth="1"/>
    <col min="6909" max="6910" width="14.85546875" style="324" bestFit="1" customWidth="1"/>
    <col min="6911" max="6911" width="16.140625" style="324" customWidth="1"/>
    <col min="6912" max="6912" width="12.85546875" style="324" bestFit="1" customWidth="1"/>
    <col min="6913" max="6913" width="19.140625" style="324" bestFit="1" customWidth="1"/>
    <col min="6914" max="7160" width="9.140625" style="324"/>
    <col min="7161" max="7161" width="13.7109375" style="324" bestFit="1" customWidth="1"/>
    <col min="7162" max="7162" width="15.42578125" style="324" bestFit="1" customWidth="1"/>
    <col min="7163" max="7163" width="17.28515625" style="324" customWidth="1"/>
    <col min="7164" max="7164" width="25" style="324" bestFit="1" customWidth="1"/>
    <col min="7165" max="7166" width="14.85546875" style="324" bestFit="1" customWidth="1"/>
    <col min="7167" max="7167" width="16.140625" style="324" customWidth="1"/>
    <col min="7168" max="7168" width="12.85546875" style="324" bestFit="1" customWidth="1"/>
    <col min="7169" max="7169" width="19.140625" style="324" bestFit="1" customWidth="1"/>
    <col min="7170" max="7416" width="9.140625" style="324"/>
    <col min="7417" max="7417" width="13.7109375" style="324" bestFit="1" customWidth="1"/>
    <col min="7418" max="7418" width="15.42578125" style="324" bestFit="1" customWidth="1"/>
    <col min="7419" max="7419" width="17.28515625" style="324" customWidth="1"/>
    <col min="7420" max="7420" width="25" style="324" bestFit="1" customWidth="1"/>
    <col min="7421" max="7422" width="14.85546875" style="324" bestFit="1" customWidth="1"/>
    <col min="7423" max="7423" width="16.140625" style="324" customWidth="1"/>
    <col min="7424" max="7424" width="12.85546875" style="324" bestFit="1" customWidth="1"/>
    <col min="7425" max="7425" width="19.140625" style="324" bestFit="1" customWidth="1"/>
    <col min="7426" max="7672" width="9.140625" style="324"/>
    <col min="7673" max="7673" width="13.7109375" style="324" bestFit="1" customWidth="1"/>
    <col min="7674" max="7674" width="15.42578125" style="324" bestFit="1" customWidth="1"/>
    <col min="7675" max="7675" width="17.28515625" style="324" customWidth="1"/>
    <col min="7676" max="7676" width="25" style="324" bestFit="1" customWidth="1"/>
    <col min="7677" max="7678" width="14.85546875" style="324" bestFit="1" customWidth="1"/>
    <col min="7679" max="7679" width="16.140625" style="324" customWidth="1"/>
    <col min="7680" max="7680" width="12.85546875" style="324" bestFit="1" customWidth="1"/>
    <col min="7681" max="7681" width="19.140625" style="324" bestFit="1" customWidth="1"/>
    <col min="7682" max="7928" width="9.140625" style="324"/>
    <col min="7929" max="7929" width="13.7109375" style="324" bestFit="1" customWidth="1"/>
    <col min="7930" max="7930" width="15.42578125" style="324" bestFit="1" customWidth="1"/>
    <col min="7931" max="7931" width="17.28515625" style="324" customWidth="1"/>
    <col min="7932" max="7932" width="25" style="324" bestFit="1" customWidth="1"/>
    <col min="7933" max="7934" width="14.85546875" style="324" bestFit="1" customWidth="1"/>
    <col min="7935" max="7935" width="16.140625" style="324" customWidth="1"/>
    <col min="7936" max="7936" width="12.85546875" style="324" bestFit="1" customWidth="1"/>
    <col min="7937" max="7937" width="19.140625" style="324" bestFit="1" customWidth="1"/>
    <col min="7938" max="8184" width="9.140625" style="324"/>
    <col min="8185" max="8185" width="13.7109375" style="324" bestFit="1" customWidth="1"/>
    <col min="8186" max="8186" width="15.42578125" style="324" bestFit="1" customWidth="1"/>
    <col min="8187" max="8187" width="17.28515625" style="324" customWidth="1"/>
    <col min="8188" max="8188" width="25" style="324" bestFit="1" customWidth="1"/>
    <col min="8189" max="8190" width="14.85546875" style="324" bestFit="1" customWidth="1"/>
    <col min="8191" max="8191" width="16.140625" style="324" customWidth="1"/>
    <col min="8192" max="8192" width="12.85546875" style="324" bestFit="1" customWidth="1"/>
    <col min="8193" max="8193" width="19.140625" style="324" bestFit="1" customWidth="1"/>
    <col min="8194" max="8440" width="9.140625" style="324"/>
    <col min="8441" max="8441" width="13.7109375" style="324" bestFit="1" customWidth="1"/>
    <col min="8442" max="8442" width="15.42578125" style="324" bestFit="1" customWidth="1"/>
    <col min="8443" max="8443" width="17.28515625" style="324" customWidth="1"/>
    <col min="8444" max="8444" width="25" style="324" bestFit="1" customWidth="1"/>
    <col min="8445" max="8446" width="14.85546875" style="324" bestFit="1" customWidth="1"/>
    <col min="8447" max="8447" width="16.140625" style="324" customWidth="1"/>
    <col min="8448" max="8448" width="12.85546875" style="324" bestFit="1" customWidth="1"/>
    <col min="8449" max="8449" width="19.140625" style="324" bestFit="1" customWidth="1"/>
    <col min="8450" max="8696" width="9.140625" style="324"/>
    <col min="8697" max="8697" width="13.7109375" style="324" bestFit="1" customWidth="1"/>
    <col min="8698" max="8698" width="15.42578125" style="324" bestFit="1" customWidth="1"/>
    <col min="8699" max="8699" width="17.28515625" style="324" customWidth="1"/>
    <col min="8700" max="8700" width="25" style="324" bestFit="1" customWidth="1"/>
    <col min="8701" max="8702" width="14.85546875" style="324" bestFit="1" customWidth="1"/>
    <col min="8703" max="8703" width="16.140625" style="324" customWidth="1"/>
    <col min="8704" max="8704" width="12.85546875" style="324" bestFit="1" customWidth="1"/>
    <col min="8705" max="8705" width="19.140625" style="324" bestFit="1" customWidth="1"/>
    <col min="8706" max="8952" width="9.140625" style="324"/>
    <col min="8953" max="8953" width="13.7109375" style="324" bestFit="1" customWidth="1"/>
    <col min="8954" max="8954" width="15.42578125" style="324" bestFit="1" customWidth="1"/>
    <col min="8955" max="8955" width="17.28515625" style="324" customWidth="1"/>
    <col min="8956" max="8956" width="25" style="324" bestFit="1" customWidth="1"/>
    <col min="8957" max="8958" width="14.85546875" style="324" bestFit="1" customWidth="1"/>
    <col min="8959" max="8959" width="16.140625" style="324" customWidth="1"/>
    <col min="8960" max="8960" width="12.85546875" style="324" bestFit="1" customWidth="1"/>
    <col min="8961" max="8961" width="19.140625" style="324" bestFit="1" customWidth="1"/>
    <col min="8962" max="9208" width="9.140625" style="324"/>
    <col min="9209" max="9209" width="13.7109375" style="324" bestFit="1" customWidth="1"/>
    <col min="9210" max="9210" width="15.42578125" style="324" bestFit="1" customWidth="1"/>
    <col min="9211" max="9211" width="17.28515625" style="324" customWidth="1"/>
    <col min="9212" max="9212" width="25" style="324" bestFit="1" customWidth="1"/>
    <col min="9213" max="9214" width="14.85546875" style="324" bestFit="1" customWidth="1"/>
    <col min="9215" max="9215" width="16.140625" style="324" customWidth="1"/>
    <col min="9216" max="9216" width="12.85546875" style="324" bestFit="1" customWidth="1"/>
    <col min="9217" max="9217" width="19.140625" style="324" bestFit="1" customWidth="1"/>
    <col min="9218" max="9464" width="9.140625" style="324"/>
    <col min="9465" max="9465" width="13.7109375" style="324" bestFit="1" customWidth="1"/>
    <col min="9466" max="9466" width="15.42578125" style="324" bestFit="1" customWidth="1"/>
    <col min="9467" max="9467" width="17.28515625" style="324" customWidth="1"/>
    <col min="9468" max="9468" width="25" style="324" bestFit="1" customWidth="1"/>
    <col min="9469" max="9470" width="14.85546875" style="324" bestFit="1" customWidth="1"/>
    <col min="9471" max="9471" width="16.140625" style="324" customWidth="1"/>
    <col min="9472" max="9472" width="12.85546875" style="324" bestFit="1" customWidth="1"/>
    <col min="9473" max="9473" width="19.140625" style="324" bestFit="1" customWidth="1"/>
    <col min="9474" max="9720" width="9.140625" style="324"/>
    <col min="9721" max="9721" width="13.7109375" style="324" bestFit="1" customWidth="1"/>
    <col min="9722" max="9722" width="15.42578125" style="324" bestFit="1" customWidth="1"/>
    <col min="9723" max="9723" width="17.28515625" style="324" customWidth="1"/>
    <col min="9724" max="9724" width="25" style="324" bestFit="1" customWidth="1"/>
    <col min="9725" max="9726" width="14.85546875" style="324" bestFit="1" customWidth="1"/>
    <col min="9727" max="9727" width="16.140625" style="324" customWidth="1"/>
    <col min="9728" max="9728" width="12.85546875" style="324" bestFit="1" customWidth="1"/>
    <col min="9729" max="9729" width="19.140625" style="324" bestFit="1" customWidth="1"/>
    <col min="9730" max="9976" width="9.140625" style="324"/>
    <col min="9977" max="9977" width="13.7109375" style="324" bestFit="1" customWidth="1"/>
    <col min="9978" max="9978" width="15.42578125" style="324" bestFit="1" customWidth="1"/>
    <col min="9979" max="9979" width="17.28515625" style="324" customWidth="1"/>
    <col min="9980" max="9980" width="25" style="324" bestFit="1" customWidth="1"/>
    <col min="9981" max="9982" width="14.85546875" style="324" bestFit="1" customWidth="1"/>
    <col min="9983" max="9983" width="16.140625" style="324" customWidth="1"/>
    <col min="9984" max="9984" width="12.85546875" style="324" bestFit="1" customWidth="1"/>
    <col min="9985" max="9985" width="19.140625" style="324" bestFit="1" customWidth="1"/>
    <col min="9986" max="10232" width="9.140625" style="324"/>
    <col min="10233" max="10233" width="13.7109375" style="324" bestFit="1" customWidth="1"/>
    <col min="10234" max="10234" width="15.42578125" style="324" bestFit="1" customWidth="1"/>
    <col min="10235" max="10235" width="17.28515625" style="324" customWidth="1"/>
    <col min="10236" max="10236" width="25" style="324" bestFit="1" customWidth="1"/>
    <col min="10237" max="10238" width="14.85546875" style="324" bestFit="1" customWidth="1"/>
    <col min="10239" max="10239" width="16.140625" style="324" customWidth="1"/>
    <col min="10240" max="10240" width="12.85546875" style="324" bestFit="1" customWidth="1"/>
    <col min="10241" max="10241" width="19.140625" style="324" bestFit="1" customWidth="1"/>
    <col min="10242" max="10488" width="9.140625" style="324"/>
    <col min="10489" max="10489" width="13.7109375" style="324" bestFit="1" customWidth="1"/>
    <col min="10490" max="10490" width="15.42578125" style="324" bestFit="1" customWidth="1"/>
    <col min="10491" max="10491" width="17.28515625" style="324" customWidth="1"/>
    <col min="10492" max="10492" width="25" style="324" bestFit="1" customWidth="1"/>
    <col min="10493" max="10494" width="14.85546875" style="324" bestFit="1" customWidth="1"/>
    <col min="10495" max="10495" width="16.140625" style="324" customWidth="1"/>
    <col min="10496" max="10496" width="12.85546875" style="324" bestFit="1" customWidth="1"/>
    <col min="10497" max="10497" width="19.140625" style="324" bestFit="1" customWidth="1"/>
    <col min="10498" max="10744" width="9.140625" style="324"/>
    <col min="10745" max="10745" width="13.7109375" style="324" bestFit="1" customWidth="1"/>
    <col min="10746" max="10746" width="15.42578125" style="324" bestFit="1" customWidth="1"/>
    <col min="10747" max="10747" width="17.28515625" style="324" customWidth="1"/>
    <col min="10748" max="10748" width="25" style="324" bestFit="1" customWidth="1"/>
    <col min="10749" max="10750" width="14.85546875" style="324" bestFit="1" customWidth="1"/>
    <col min="10751" max="10751" width="16.140625" style="324" customWidth="1"/>
    <col min="10752" max="10752" width="12.85546875" style="324" bestFit="1" customWidth="1"/>
    <col min="10753" max="10753" width="19.140625" style="324" bestFit="1" customWidth="1"/>
    <col min="10754" max="11000" width="9.140625" style="324"/>
    <col min="11001" max="11001" width="13.7109375" style="324" bestFit="1" customWidth="1"/>
    <col min="11002" max="11002" width="15.42578125" style="324" bestFit="1" customWidth="1"/>
    <col min="11003" max="11003" width="17.28515625" style="324" customWidth="1"/>
    <col min="11004" max="11004" width="25" style="324" bestFit="1" customWidth="1"/>
    <col min="11005" max="11006" width="14.85546875" style="324" bestFit="1" customWidth="1"/>
    <col min="11007" max="11007" width="16.140625" style="324" customWidth="1"/>
    <col min="11008" max="11008" width="12.85546875" style="324" bestFit="1" customWidth="1"/>
    <col min="11009" max="11009" width="19.140625" style="324" bestFit="1" customWidth="1"/>
    <col min="11010" max="11256" width="9.140625" style="324"/>
    <col min="11257" max="11257" width="13.7109375" style="324" bestFit="1" customWidth="1"/>
    <col min="11258" max="11258" width="15.42578125" style="324" bestFit="1" customWidth="1"/>
    <col min="11259" max="11259" width="17.28515625" style="324" customWidth="1"/>
    <col min="11260" max="11260" width="25" style="324" bestFit="1" customWidth="1"/>
    <col min="11261" max="11262" width="14.85546875" style="324" bestFit="1" customWidth="1"/>
    <col min="11263" max="11263" width="16.140625" style="324" customWidth="1"/>
    <col min="11264" max="11264" width="12.85546875" style="324" bestFit="1" customWidth="1"/>
    <col min="11265" max="11265" width="19.140625" style="324" bestFit="1" customWidth="1"/>
    <col min="11266" max="11512" width="9.140625" style="324"/>
    <col min="11513" max="11513" width="13.7109375" style="324" bestFit="1" customWidth="1"/>
    <col min="11514" max="11514" width="15.42578125" style="324" bestFit="1" customWidth="1"/>
    <col min="11515" max="11515" width="17.28515625" style="324" customWidth="1"/>
    <col min="11516" max="11516" width="25" style="324" bestFit="1" customWidth="1"/>
    <col min="11517" max="11518" width="14.85546875" style="324" bestFit="1" customWidth="1"/>
    <col min="11519" max="11519" width="16.140625" style="324" customWidth="1"/>
    <col min="11520" max="11520" width="12.85546875" style="324" bestFit="1" customWidth="1"/>
    <col min="11521" max="11521" width="19.140625" style="324" bestFit="1" customWidth="1"/>
    <col min="11522" max="11768" width="9.140625" style="324"/>
    <col min="11769" max="11769" width="13.7109375" style="324" bestFit="1" customWidth="1"/>
    <col min="11770" max="11770" width="15.42578125" style="324" bestFit="1" customWidth="1"/>
    <col min="11771" max="11771" width="17.28515625" style="324" customWidth="1"/>
    <col min="11772" max="11772" width="25" style="324" bestFit="1" customWidth="1"/>
    <col min="11773" max="11774" width="14.85546875" style="324" bestFit="1" customWidth="1"/>
    <col min="11775" max="11775" width="16.140625" style="324" customWidth="1"/>
    <col min="11776" max="11776" width="12.85546875" style="324" bestFit="1" customWidth="1"/>
    <col min="11777" max="11777" width="19.140625" style="324" bestFit="1" customWidth="1"/>
    <col min="11778" max="12024" width="9.140625" style="324"/>
    <col min="12025" max="12025" width="13.7109375" style="324" bestFit="1" customWidth="1"/>
    <col min="12026" max="12026" width="15.42578125" style="324" bestFit="1" customWidth="1"/>
    <col min="12027" max="12027" width="17.28515625" style="324" customWidth="1"/>
    <col min="12028" max="12028" width="25" style="324" bestFit="1" customWidth="1"/>
    <col min="12029" max="12030" width="14.85546875" style="324" bestFit="1" customWidth="1"/>
    <col min="12031" max="12031" width="16.140625" style="324" customWidth="1"/>
    <col min="12032" max="12032" width="12.85546875" style="324" bestFit="1" customWidth="1"/>
    <col min="12033" max="12033" width="19.140625" style="324" bestFit="1" customWidth="1"/>
    <col min="12034" max="12280" width="9.140625" style="324"/>
    <col min="12281" max="12281" width="13.7109375" style="324" bestFit="1" customWidth="1"/>
    <col min="12282" max="12282" width="15.42578125" style="324" bestFit="1" customWidth="1"/>
    <col min="12283" max="12283" width="17.28515625" style="324" customWidth="1"/>
    <col min="12284" max="12284" width="25" style="324" bestFit="1" customWidth="1"/>
    <col min="12285" max="12286" width="14.85546875" style="324" bestFit="1" customWidth="1"/>
    <col min="12287" max="12287" width="16.140625" style="324" customWidth="1"/>
    <col min="12288" max="12288" width="12.85546875" style="324" bestFit="1" customWidth="1"/>
    <col min="12289" max="12289" width="19.140625" style="324" bestFit="1" customWidth="1"/>
    <col min="12290" max="12536" width="9.140625" style="324"/>
    <col min="12537" max="12537" width="13.7109375" style="324" bestFit="1" customWidth="1"/>
    <col min="12538" max="12538" width="15.42578125" style="324" bestFit="1" customWidth="1"/>
    <col min="12539" max="12539" width="17.28515625" style="324" customWidth="1"/>
    <col min="12540" max="12540" width="25" style="324" bestFit="1" customWidth="1"/>
    <col min="12541" max="12542" width="14.85546875" style="324" bestFit="1" customWidth="1"/>
    <col min="12543" max="12543" width="16.140625" style="324" customWidth="1"/>
    <col min="12544" max="12544" width="12.85546875" style="324" bestFit="1" customWidth="1"/>
    <col min="12545" max="12545" width="19.140625" style="324" bestFit="1" customWidth="1"/>
    <col min="12546" max="12792" width="9.140625" style="324"/>
    <col min="12793" max="12793" width="13.7109375" style="324" bestFit="1" customWidth="1"/>
    <col min="12794" max="12794" width="15.42578125" style="324" bestFit="1" customWidth="1"/>
    <col min="12795" max="12795" width="17.28515625" style="324" customWidth="1"/>
    <col min="12796" max="12796" width="25" style="324" bestFit="1" customWidth="1"/>
    <col min="12797" max="12798" width="14.85546875" style="324" bestFit="1" customWidth="1"/>
    <col min="12799" max="12799" width="16.140625" style="324" customWidth="1"/>
    <col min="12800" max="12800" width="12.85546875" style="324" bestFit="1" customWidth="1"/>
    <col min="12801" max="12801" width="19.140625" style="324" bestFit="1" customWidth="1"/>
    <col min="12802" max="13048" width="9.140625" style="324"/>
    <col min="13049" max="13049" width="13.7109375" style="324" bestFit="1" customWidth="1"/>
    <col min="13050" max="13050" width="15.42578125" style="324" bestFit="1" customWidth="1"/>
    <col min="13051" max="13051" width="17.28515625" style="324" customWidth="1"/>
    <col min="13052" max="13052" width="25" style="324" bestFit="1" customWidth="1"/>
    <col min="13053" max="13054" width="14.85546875" style="324" bestFit="1" customWidth="1"/>
    <col min="13055" max="13055" width="16.140625" style="324" customWidth="1"/>
    <col min="13056" max="13056" width="12.85546875" style="324" bestFit="1" customWidth="1"/>
    <col min="13057" max="13057" width="19.140625" style="324" bestFit="1" customWidth="1"/>
    <col min="13058" max="13304" width="9.140625" style="324"/>
    <col min="13305" max="13305" width="13.7109375" style="324" bestFit="1" customWidth="1"/>
    <col min="13306" max="13306" width="15.42578125" style="324" bestFit="1" customWidth="1"/>
    <col min="13307" max="13307" width="17.28515625" style="324" customWidth="1"/>
    <col min="13308" max="13308" width="25" style="324" bestFit="1" customWidth="1"/>
    <col min="13309" max="13310" width="14.85546875" style="324" bestFit="1" customWidth="1"/>
    <col min="13311" max="13311" width="16.140625" style="324" customWidth="1"/>
    <col min="13312" max="13312" width="12.85546875" style="324" bestFit="1" customWidth="1"/>
    <col min="13313" max="13313" width="19.140625" style="324" bestFit="1" customWidth="1"/>
    <col min="13314" max="13560" width="9.140625" style="324"/>
    <col min="13561" max="13561" width="13.7109375" style="324" bestFit="1" customWidth="1"/>
    <col min="13562" max="13562" width="15.42578125" style="324" bestFit="1" customWidth="1"/>
    <col min="13563" max="13563" width="17.28515625" style="324" customWidth="1"/>
    <col min="13564" max="13564" width="25" style="324" bestFit="1" customWidth="1"/>
    <col min="13565" max="13566" width="14.85546875" style="324" bestFit="1" customWidth="1"/>
    <col min="13567" max="13567" width="16.140625" style="324" customWidth="1"/>
    <col min="13568" max="13568" width="12.85546875" style="324" bestFit="1" customWidth="1"/>
    <col min="13569" max="13569" width="19.140625" style="324" bestFit="1" customWidth="1"/>
    <col min="13570" max="13816" width="9.140625" style="324"/>
    <col min="13817" max="13817" width="13.7109375" style="324" bestFit="1" customWidth="1"/>
    <col min="13818" max="13818" width="15.42578125" style="324" bestFit="1" customWidth="1"/>
    <col min="13819" max="13819" width="17.28515625" style="324" customWidth="1"/>
    <col min="13820" max="13820" width="25" style="324" bestFit="1" customWidth="1"/>
    <col min="13821" max="13822" width="14.85546875" style="324" bestFit="1" customWidth="1"/>
    <col min="13823" max="13823" width="16.140625" style="324" customWidth="1"/>
    <col min="13824" max="13824" width="12.85546875" style="324" bestFit="1" customWidth="1"/>
    <col min="13825" max="13825" width="19.140625" style="324" bestFit="1" customWidth="1"/>
    <col min="13826" max="14072" width="9.140625" style="324"/>
    <col min="14073" max="14073" width="13.7109375" style="324" bestFit="1" customWidth="1"/>
    <col min="14074" max="14074" width="15.42578125" style="324" bestFit="1" customWidth="1"/>
    <col min="14075" max="14075" width="17.28515625" style="324" customWidth="1"/>
    <col min="14076" max="14076" width="25" style="324" bestFit="1" customWidth="1"/>
    <col min="14077" max="14078" width="14.85546875" style="324" bestFit="1" customWidth="1"/>
    <col min="14079" max="14079" width="16.140625" style="324" customWidth="1"/>
    <col min="14080" max="14080" width="12.85546875" style="324" bestFit="1" customWidth="1"/>
    <col min="14081" max="14081" width="19.140625" style="324" bestFit="1" customWidth="1"/>
    <col min="14082" max="14328" width="9.140625" style="324"/>
    <col min="14329" max="14329" width="13.7109375" style="324" bestFit="1" customWidth="1"/>
    <col min="14330" max="14330" width="15.42578125" style="324" bestFit="1" customWidth="1"/>
    <col min="14331" max="14331" width="17.28515625" style="324" customWidth="1"/>
    <col min="14332" max="14332" width="25" style="324" bestFit="1" customWidth="1"/>
    <col min="14333" max="14334" width="14.85546875" style="324" bestFit="1" customWidth="1"/>
    <col min="14335" max="14335" width="16.140625" style="324" customWidth="1"/>
    <col min="14336" max="14336" width="12.85546875" style="324" bestFit="1" customWidth="1"/>
    <col min="14337" max="14337" width="19.140625" style="324" bestFit="1" customWidth="1"/>
    <col min="14338" max="14584" width="9.140625" style="324"/>
    <col min="14585" max="14585" width="13.7109375" style="324" bestFit="1" customWidth="1"/>
    <col min="14586" max="14586" width="15.42578125" style="324" bestFit="1" customWidth="1"/>
    <col min="14587" max="14587" width="17.28515625" style="324" customWidth="1"/>
    <col min="14588" max="14588" width="25" style="324" bestFit="1" customWidth="1"/>
    <col min="14589" max="14590" width="14.85546875" style="324" bestFit="1" customWidth="1"/>
    <col min="14591" max="14591" width="16.140625" style="324" customWidth="1"/>
    <col min="14592" max="14592" width="12.85546875" style="324" bestFit="1" customWidth="1"/>
    <col min="14593" max="14593" width="19.140625" style="324" bestFit="1" customWidth="1"/>
    <col min="14594" max="14840" width="9.140625" style="324"/>
    <col min="14841" max="14841" width="13.7109375" style="324" bestFit="1" customWidth="1"/>
    <col min="14842" max="14842" width="15.42578125" style="324" bestFit="1" customWidth="1"/>
    <col min="14843" max="14843" width="17.28515625" style="324" customWidth="1"/>
    <col min="14844" max="14844" width="25" style="324" bestFit="1" customWidth="1"/>
    <col min="14845" max="14846" width="14.85546875" style="324" bestFit="1" customWidth="1"/>
    <col min="14847" max="14847" width="16.140625" style="324" customWidth="1"/>
    <col min="14848" max="14848" width="12.85546875" style="324" bestFit="1" customWidth="1"/>
    <col min="14849" max="14849" width="19.140625" style="324" bestFit="1" customWidth="1"/>
    <col min="14850" max="15096" width="9.140625" style="324"/>
    <col min="15097" max="15097" width="13.7109375" style="324" bestFit="1" customWidth="1"/>
    <col min="15098" max="15098" width="15.42578125" style="324" bestFit="1" customWidth="1"/>
    <col min="15099" max="15099" width="17.28515625" style="324" customWidth="1"/>
    <col min="15100" max="15100" width="25" style="324" bestFit="1" customWidth="1"/>
    <col min="15101" max="15102" width="14.85546875" style="324" bestFit="1" customWidth="1"/>
    <col min="15103" max="15103" width="16.140625" style="324" customWidth="1"/>
    <col min="15104" max="15104" width="12.85546875" style="324" bestFit="1" customWidth="1"/>
    <col min="15105" max="15105" width="19.140625" style="324" bestFit="1" customWidth="1"/>
    <col min="15106" max="15352" width="9.140625" style="324"/>
    <col min="15353" max="15353" width="13.7109375" style="324" bestFit="1" customWidth="1"/>
    <col min="15354" max="15354" width="15.42578125" style="324" bestFit="1" customWidth="1"/>
    <col min="15355" max="15355" width="17.28515625" style="324" customWidth="1"/>
    <col min="15356" max="15356" width="25" style="324" bestFit="1" customWidth="1"/>
    <col min="15357" max="15358" width="14.85546875" style="324" bestFit="1" customWidth="1"/>
    <col min="15359" max="15359" width="16.140625" style="324" customWidth="1"/>
    <col min="15360" max="15360" width="12.85546875" style="324" bestFit="1" customWidth="1"/>
    <col min="15361" max="15361" width="19.140625" style="324" bestFit="1" customWidth="1"/>
    <col min="15362" max="15608" width="9.140625" style="324"/>
    <col min="15609" max="15609" width="13.7109375" style="324" bestFit="1" customWidth="1"/>
    <col min="15610" max="15610" width="15.42578125" style="324" bestFit="1" customWidth="1"/>
    <col min="15611" max="15611" width="17.28515625" style="324" customWidth="1"/>
    <col min="15612" max="15612" width="25" style="324" bestFit="1" customWidth="1"/>
    <col min="15613" max="15614" width="14.85546875" style="324" bestFit="1" customWidth="1"/>
    <col min="15615" max="15615" width="16.140625" style="324" customWidth="1"/>
    <col min="15616" max="15616" width="12.85546875" style="324" bestFit="1" customWidth="1"/>
    <col min="15617" max="15617" width="19.140625" style="324" bestFit="1" customWidth="1"/>
    <col min="15618" max="15864" width="9.140625" style="324"/>
    <col min="15865" max="15865" width="13.7109375" style="324" bestFit="1" customWidth="1"/>
    <col min="15866" max="15866" width="15.42578125" style="324" bestFit="1" customWidth="1"/>
    <col min="15867" max="15867" width="17.28515625" style="324" customWidth="1"/>
    <col min="15868" max="15868" width="25" style="324" bestFit="1" customWidth="1"/>
    <col min="15869" max="15870" width="14.85546875" style="324" bestFit="1" customWidth="1"/>
    <col min="15871" max="15871" width="16.140625" style="324" customWidth="1"/>
    <col min="15872" max="15872" width="12.85546875" style="324" bestFit="1" customWidth="1"/>
    <col min="15873" max="15873" width="19.140625" style="324" bestFit="1" customWidth="1"/>
    <col min="15874" max="16120" width="9.140625" style="324"/>
    <col min="16121" max="16121" width="13.7109375" style="324" bestFit="1" customWidth="1"/>
    <col min="16122" max="16122" width="15.42578125" style="324" bestFit="1" customWidth="1"/>
    <col min="16123" max="16123" width="17.28515625" style="324" customWidth="1"/>
    <col min="16124" max="16124" width="25" style="324" bestFit="1" customWidth="1"/>
    <col min="16125" max="16126" width="14.85546875" style="324" bestFit="1" customWidth="1"/>
    <col min="16127" max="16127" width="16.140625" style="324" customWidth="1"/>
    <col min="16128" max="16128" width="12.85546875" style="324" bestFit="1" customWidth="1"/>
    <col min="16129" max="16129" width="19.140625" style="324" bestFit="1" customWidth="1"/>
    <col min="16130" max="16384" width="9.140625" style="324"/>
  </cols>
  <sheetData>
    <row r="1" spans="1:4" x14ac:dyDescent="0.25">
      <c r="A1" s="324" t="s">
        <v>891</v>
      </c>
      <c r="D1" s="326" t="s">
        <v>1376</v>
      </c>
    </row>
    <row r="2" spans="1:4" x14ac:dyDescent="0.25">
      <c r="A2" s="324" t="s">
        <v>912</v>
      </c>
    </row>
    <row r="3" spans="1:4" ht="25.5" customHeight="1" x14ac:dyDescent="0.25"/>
    <row r="4" spans="1:4" x14ac:dyDescent="0.25">
      <c r="A4" s="324" t="s">
        <v>913</v>
      </c>
    </row>
    <row r="6" spans="1:4" s="325" customFormat="1" x14ac:dyDescent="0.25">
      <c r="A6" s="328" t="s">
        <v>914</v>
      </c>
      <c r="B6" s="328" t="s">
        <v>915</v>
      </c>
      <c r="C6" s="328" t="s">
        <v>916</v>
      </c>
      <c r="D6" s="329" t="s">
        <v>917</v>
      </c>
    </row>
    <row r="7" spans="1:4" s="325" customFormat="1" x14ac:dyDescent="0.25">
      <c r="A7" s="330" t="s">
        <v>918</v>
      </c>
      <c r="B7" s="328"/>
      <c r="C7" s="328"/>
      <c r="D7" s="329"/>
    </row>
    <row r="8" spans="1:4" x14ac:dyDescent="0.25">
      <c r="A8" s="667" t="s">
        <v>919</v>
      </c>
      <c r="B8" s="331">
        <v>43620</v>
      </c>
      <c r="C8" s="328">
        <v>1395928</v>
      </c>
      <c r="D8" s="338">
        <v>1200</v>
      </c>
    </row>
    <row r="9" spans="1:4" x14ac:dyDescent="0.25">
      <c r="A9" s="667"/>
      <c r="B9" s="331">
        <v>44266</v>
      </c>
      <c r="C9" s="328">
        <v>1482772</v>
      </c>
      <c r="D9" s="338">
        <v>187500</v>
      </c>
    </row>
    <row r="10" spans="1:4" x14ac:dyDescent="0.25">
      <c r="A10" s="667"/>
      <c r="B10" s="331">
        <v>44460</v>
      </c>
      <c r="C10" s="328">
        <v>1514546</v>
      </c>
      <c r="D10" s="338">
        <v>2230</v>
      </c>
    </row>
    <row r="11" spans="1:4" x14ac:dyDescent="0.25">
      <c r="A11" s="667"/>
      <c r="B11" s="331">
        <v>44524</v>
      </c>
      <c r="C11" s="328">
        <v>1515374</v>
      </c>
      <c r="D11" s="338">
        <v>10000</v>
      </c>
    </row>
    <row r="12" spans="1:4" x14ac:dyDescent="0.25">
      <c r="A12" s="332" t="s">
        <v>920</v>
      </c>
      <c r="B12" s="331">
        <v>44524</v>
      </c>
      <c r="C12" s="328">
        <v>1506411</v>
      </c>
      <c r="D12" s="338">
        <v>46120</v>
      </c>
    </row>
    <row r="13" spans="1:4" x14ac:dyDescent="0.25">
      <c r="A13" s="332" t="s">
        <v>921</v>
      </c>
      <c r="B13" s="331">
        <v>44529</v>
      </c>
      <c r="C13" s="328">
        <v>1440965</v>
      </c>
      <c r="D13" s="338">
        <v>2200</v>
      </c>
    </row>
    <row r="14" spans="1:4" x14ac:dyDescent="0.25">
      <c r="A14" s="332" t="s">
        <v>922</v>
      </c>
      <c r="B14" s="331">
        <v>44494</v>
      </c>
      <c r="C14" s="328">
        <v>1459199</v>
      </c>
      <c r="D14" s="338">
        <v>35493</v>
      </c>
    </row>
    <row r="15" spans="1:4" x14ac:dyDescent="0.25">
      <c r="A15" s="668" t="s">
        <v>923</v>
      </c>
      <c r="B15" s="331">
        <v>44526</v>
      </c>
      <c r="C15" s="328">
        <v>1507048</v>
      </c>
      <c r="D15" s="338">
        <v>228006.7</v>
      </c>
    </row>
    <row r="16" spans="1:4" x14ac:dyDescent="0.25">
      <c r="A16" s="669"/>
      <c r="B16" s="331">
        <v>44518</v>
      </c>
      <c r="C16" s="328">
        <v>1507065</v>
      </c>
      <c r="D16" s="338">
        <v>4032.77</v>
      </c>
    </row>
    <row r="17" spans="1:4" x14ac:dyDescent="0.25">
      <c r="A17" s="669"/>
      <c r="B17" s="331">
        <v>44523</v>
      </c>
      <c r="C17" s="328">
        <v>1507082</v>
      </c>
      <c r="D17" s="338">
        <v>33692.85</v>
      </c>
    </row>
    <row r="18" spans="1:4" x14ac:dyDescent="0.25">
      <c r="A18" s="669"/>
      <c r="B18" s="331">
        <v>44525</v>
      </c>
      <c r="C18" s="328">
        <v>1507088</v>
      </c>
      <c r="D18" s="338">
        <v>122159</v>
      </c>
    </row>
    <row r="19" spans="1:4" x14ac:dyDescent="0.25">
      <c r="A19" s="669"/>
      <c r="B19" s="331">
        <v>44525</v>
      </c>
      <c r="C19" s="328">
        <v>1507089</v>
      </c>
      <c r="D19" s="338">
        <v>49144.97</v>
      </c>
    </row>
    <row r="20" spans="1:4" x14ac:dyDescent="0.25">
      <c r="A20" s="669"/>
      <c r="B20" s="331">
        <v>44526</v>
      </c>
      <c r="C20" s="328">
        <v>1507092</v>
      </c>
      <c r="D20" s="338">
        <v>2300</v>
      </c>
    </row>
    <row r="21" spans="1:4" x14ac:dyDescent="0.25">
      <c r="A21" s="669"/>
      <c r="B21" s="331">
        <v>44526</v>
      </c>
      <c r="C21" s="328">
        <v>1507093</v>
      </c>
      <c r="D21" s="338">
        <v>11600</v>
      </c>
    </row>
    <row r="22" spans="1:4" x14ac:dyDescent="0.25">
      <c r="A22" s="670"/>
      <c r="B22" s="331">
        <v>44529</v>
      </c>
      <c r="C22" s="328">
        <v>1507094</v>
      </c>
      <c r="D22" s="338">
        <v>17861.11</v>
      </c>
    </row>
    <row r="23" spans="1:4" x14ac:dyDescent="0.25">
      <c r="A23" s="668" t="s">
        <v>924</v>
      </c>
      <c r="B23" s="331">
        <v>44525</v>
      </c>
      <c r="C23" s="328">
        <v>1491872</v>
      </c>
      <c r="D23" s="338">
        <v>17458.36</v>
      </c>
    </row>
    <row r="24" spans="1:4" x14ac:dyDescent="0.25">
      <c r="A24" s="669"/>
      <c r="B24" s="331">
        <v>44525</v>
      </c>
      <c r="C24" s="328">
        <v>1491872</v>
      </c>
      <c r="D24" s="338">
        <v>31196</v>
      </c>
    </row>
    <row r="25" spans="1:4" x14ac:dyDescent="0.25">
      <c r="A25" s="669"/>
      <c r="B25" s="331">
        <v>44495</v>
      </c>
      <c r="C25" s="328">
        <v>1491840</v>
      </c>
      <c r="D25" s="338">
        <v>800</v>
      </c>
    </row>
    <row r="26" spans="1:4" x14ac:dyDescent="0.25">
      <c r="A26" s="670"/>
      <c r="B26" s="331">
        <v>44495</v>
      </c>
      <c r="C26" s="328">
        <v>1491841</v>
      </c>
      <c r="D26" s="338">
        <v>200</v>
      </c>
    </row>
    <row r="27" spans="1:4" x14ac:dyDescent="0.25">
      <c r="A27" s="332" t="s">
        <v>925</v>
      </c>
      <c r="B27" s="331">
        <v>44524</v>
      </c>
      <c r="C27" s="328">
        <v>1406994</v>
      </c>
      <c r="D27" s="338">
        <v>2286744.3199999998</v>
      </c>
    </row>
    <row r="28" spans="1:4" s="337" customFormat="1" ht="15.75" customHeight="1" x14ac:dyDescent="0.2">
      <c r="A28" s="333"/>
      <c r="B28" s="334" t="s">
        <v>926</v>
      </c>
      <c r="C28" s="335"/>
      <c r="D28" s="336">
        <f>SUM(D8:D27)</f>
        <v>3089939.08</v>
      </c>
    </row>
  </sheetData>
  <sheetProtection algorithmName="SHA-512" hashValue="t7JjD66hkx9vKUtT2uoZ7Yrnz7O6637FA7wzqW9hoVvRheWOgkWqg2NpMoxEboymgB9PtYSrQWB6oHKI4QsD+w==" saltValue="o5O7AErStuINSpiwXTSvuA==" spinCount="100000" sheet="1" objects="1" scenarios="1" selectLockedCells="1" selectUnlockedCells="1"/>
  <mergeCells count="3">
    <mergeCell ref="A8:A11"/>
    <mergeCell ref="A15:A22"/>
    <mergeCell ref="A23:A26"/>
  </mergeCells>
  <pageMargins left="1.29" right="1" top="1.38" bottom="1" header="0.84" footer="0.3"/>
  <pageSetup orientation="landscape" horizontalDpi="360" verticalDpi="360" r:id="rId1"/>
  <headerFooter>
    <oddHeader>&amp;R&amp;"Times New Roman,Regular"&amp;12Annex F
AAR page  134</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8"/>
  <sheetViews>
    <sheetView zoomScaleNormal="100" workbookViewId="0"/>
  </sheetViews>
  <sheetFormatPr defaultRowHeight="15" x14ac:dyDescent="0.25"/>
  <cols>
    <col min="1" max="1" width="29" style="324" customWidth="1"/>
    <col min="2" max="2" width="51.28515625" style="325" customWidth="1"/>
    <col min="3" max="3" width="15.7109375" style="327" bestFit="1" customWidth="1"/>
    <col min="4" max="4" width="10.42578125" style="324" bestFit="1" customWidth="1"/>
    <col min="5" max="250" width="9.140625" style="324"/>
    <col min="251" max="251" width="13.7109375" style="324" bestFit="1" customWidth="1"/>
    <col min="252" max="252" width="15.42578125" style="324" bestFit="1" customWidth="1"/>
    <col min="253" max="253" width="17.28515625" style="324" customWidth="1"/>
    <col min="254" max="254" width="25" style="324" bestFit="1" customWidth="1"/>
    <col min="255" max="256" width="14.85546875" style="324" bestFit="1" customWidth="1"/>
    <col min="257" max="257" width="16.140625" style="324" customWidth="1"/>
    <col min="258" max="258" width="12.85546875" style="324" bestFit="1" customWidth="1"/>
    <col min="259" max="259" width="19.140625" style="324" bestFit="1" customWidth="1"/>
    <col min="260" max="506" width="9.140625" style="324"/>
    <col min="507" max="507" width="13.7109375" style="324" bestFit="1" customWidth="1"/>
    <col min="508" max="508" width="15.42578125" style="324" bestFit="1" customWidth="1"/>
    <col min="509" max="509" width="17.28515625" style="324" customWidth="1"/>
    <col min="510" max="510" width="25" style="324" bestFit="1" customWidth="1"/>
    <col min="511" max="512" width="14.85546875" style="324" bestFit="1" customWidth="1"/>
    <col min="513" max="513" width="16.140625" style="324" customWidth="1"/>
    <col min="514" max="514" width="12.85546875" style="324" bestFit="1" customWidth="1"/>
    <col min="515" max="515" width="19.140625" style="324" bestFit="1" customWidth="1"/>
    <col min="516" max="762" width="9.140625" style="324"/>
    <col min="763" max="763" width="13.7109375" style="324" bestFit="1" customWidth="1"/>
    <col min="764" max="764" width="15.42578125" style="324" bestFit="1" customWidth="1"/>
    <col min="765" max="765" width="17.28515625" style="324" customWidth="1"/>
    <col min="766" max="766" width="25" style="324" bestFit="1" customWidth="1"/>
    <col min="767" max="768" width="14.85546875" style="324" bestFit="1" customWidth="1"/>
    <col min="769" max="769" width="16.140625" style="324" customWidth="1"/>
    <col min="770" max="770" width="12.85546875" style="324" bestFit="1" customWidth="1"/>
    <col min="771" max="771" width="19.140625" style="324" bestFit="1" customWidth="1"/>
    <col min="772" max="1018" width="9.140625" style="324"/>
    <col min="1019" max="1019" width="13.7109375" style="324" bestFit="1" customWidth="1"/>
    <col min="1020" max="1020" width="15.42578125" style="324" bestFit="1" customWidth="1"/>
    <col min="1021" max="1021" width="17.28515625" style="324" customWidth="1"/>
    <col min="1022" max="1022" width="25" style="324" bestFit="1" customWidth="1"/>
    <col min="1023" max="1024" width="14.85546875" style="324" bestFit="1" customWidth="1"/>
    <col min="1025" max="1025" width="16.140625" style="324" customWidth="1"/>
    <col min="1026" max="1026" width="12.85546875" style="324" bestFit="1" customWidth="1"/>
    <col min="1027" max="1027" width="19.140625" style="324" bestFit="1" customWidth="1"/>
    <col min="1028" max="1274" width="9.140625" style="324"/>
    <col min="1275" max="1275" width="13.7109375" style="324" bestFit="1" customWidth="1"/>
    <col min="1276" max="1276" width="15.42578125" style="324" bestFit="1" customWidth="1"/>
    <col min="1277" max="1277" width="17.28515625" style="324" customWidth="1"/>
    <col min="1278" max="1278" width="25" style="324" bestFit="1" customWidth="1"/>
    <col min="1279" max="1280" width="14.85546875" style="324" bestFit="1" customWidth="1"/>
    <col min="1281" max="1281" width="16.140625" style="324" customWidth="1"/>
    <col min="1282" max="1282" width="12.85546875" style="324" bestFit="1" customWidth="1"/>
    <col min="1283" max="1283" width="19.140625" style="324" bestFit="1" customWidth="1"/>
    <col min="1284" max="1530" width="9.140625" style="324"/>
    <col min="1531" max="1531" width="13.7109375" style="324" bestFit="1" customWidth="1"/>
    <col min="1532" max="1532" width="15.42578125" style="324" bestFit="1" customWidth="1"/>
    <col min="1533" max="1533" width="17.28515625" style="324" customWidth="1"/>
    <col min="1534" max="1534" width="25" style="324" bestFit="1" customWidth="1"/>
    <col min="1535" max="1536" width="14.85546875" style="324" bestFit="1" customWidth="1"/>
    <col min="1537" max="1537" width="16.140625" style="324" customWidth="1"/>
    <col min="1538" max="1538" width="12.85546875" style="324" bestFit="1" customWidth="1"/>
    <col min="1539" max="1539" width="19.140625" style="324" bestFit="1" customWidth="1"/>
    <col min="1540" max="1786" width="9.140625" style="324"/>
    <col min="1787" max="1787" width="13.7109375" style="324" bestFit="1" customWidth="1"/>
    <col min="1788" max="1788" width="15.42578125" style="324" bestFit="1" customWidth="1"/>
    <col min="1789" max="1789" width="17.28515625" style="324" customWidth="1"/>
    <col min="1790" max="1790" width="25" style="324" bestFit="1" customWidth="1"/>
    <col min="1791" max="1792" width="14.85546875" style="324" bestFit="1" customWidth="1"/>
    <col min="1793" max="1793" width="16.140625" style="324" customWidth="1"/>
    <col min="1794" max="1794" width="12.85546875" style="324" bestFit="1" customWidth="1"/>
    <col min="1795" max="1795" width="19.140625" style="324" bestFit="1" customWidth="1"/>
    <col min="1796" max="2042" width="9.140625" style="324"/>
    <col min="2043" max="2043" width="13.7109375" style="324" bestFit="1" customWidth="1"/>
    <col min="2044" max="2044" width="15.42578125" style="324" bestFit="1" customWidth="1"/>
    <col min="2045" max="2045" width="17.28515625" style="324" customWidth="1"/>
    <col min="2046" max="2046" width="25" style="324" bestFit="1" customWidth="1"/>
    <col min="2047" max="2048" width="14.85546875" style="324" bestFit="1" customWidth="1"/>
    <col min="2049" max="2049" width="16.140625" style="324" customWidth="1"/>
    <col min="2050" max="2050" width="12.85546875" style="324" bestFit="1" customWidth="1"/>
    <col min="2051" max="2051" width="19.140625" style="324" bestFit="1" customWidth="1"/>
    <col min="2052" max="2298" width="9.140625" style="324"/>
    <col min="2299" max="2299" width="13.7109375" style="324" bestFit="1" customWidth="1"/>
    <col min="2300" max="2300" width="15.42578125" style="324" bestFit="1" customWidth="1"/>
    <col min="2301" max="2301" width="17.28515625" style="324" customWidth="1"/>
    <col min="2302" max="2302" width="25" style="324" bestFit="1" customWidth="1"/>
    <col min="2303" max="2304" width="14.85546875" style="324" bestFit="1" customWidth="1"/>
    <col min="2305" max="2305" width="16.140625" style="324" customWidth="1"/>
    <col min="2306" max="2306" width="12.85546875" style="324" bestFit="1" customWidth="1"/>
    <col min="2307" max="2307" width="19.140625" style="324" bestFit="1" customWidth="1"/>
    <col min="2308" max="2554" width="9.140625" style="324"/>
    <col min="2555" max="2555" width="13.7109375" style="324" bestFit="1" customWidth="1"/>
    <col min="2556" max="2556" width="15.42578125" style="324" bestFit="1" customWidth="1"/>
    <col min="2557" max="2557" width="17.28515625" style="324" customWidth="1"/>
    <col min="2558" max="2558" width="25" style="324" bestFit="1" customWidth="1"/>
    <col min="2559" max="2560" width="14.85546875" style="324" bestFit="1" customWidth="1"/>
    <col min="2561" max="2561" width="16.140625" style="324" customWidth="1"/>
    <col min="2562" max="2562" width="12.85546875" style="324" bestFit="1" customWidth="1"/>
    <col min="2563" max="2563" width="19.140625" style="324" bestFit="1" customWidth="1"/>
    <col min="2564" max="2810" width="9.140625" style="324"/>
    <col min="2811" max="2811" width="13.7109375" style="324" bestFit="1" customWidth="1"/>
    <col min="2812" max="2812" width="15.42578125" style="324" bestFit="1" customWidth="1"/>
    <col min="2813" max="2813" width="17.28515625" style="324" customWidth="1"/>
    <col min="2814" max="2814" width="25" style="324" bestFit="1" customWidth="1"/>
    <col min="2815" max="2816" width="14.85546875" style="324" bestFit="1" customWidth="1"/>
    <col min="2817" max="2817" width="16.140625" style="324" customWidth="1"/>
    <col min="2818" max="2818" width="12.85546875" style="324" bestFit="1" customWidth="1"/>
    <col min="2819" max="2819" width="19.140625" style="324" bestFit="1" customWidth="1"/>
    <col min="2820" max="3066" width="9.140625" style="324"/>
    <col min="3067" max="3067" width="13.7109375" style="324" bestFit="1" customWidth="1"/>
    <col min="3068" max="3068" width="15.42578125" style="324" bestFit="1" customWidth="1"/>
    <col min="3069" max="3069" width="17.28515625" style="324" customWidth="1"/>
    <col min="3070" max="3070" width="25" style="324" bestFit="1" customWidth="1"/>
    <col min="3071" max="3072" width="14.85546875" style="324" bestFit="1" customWidth="1"/>
    <col min="3073" max="3073" width="16.140625" style="324" customWidth="1"/>
    <col min="3074" max="3074" width="12.85546875" style="324" bestFit="1" customWidth="1"/>
    <col min="3075" max="3075" width="19.140625" style="324" bestFit="1" customWidth="1"/>
    <col min="3076" max="3322" width="9.140625" style="324"/>
    <col min="3323" max="3323" width="13.7109375" style="324" bestFit="1" customWidth="1"/>
    <col min="3324" max="3324" width="15.42578125" style="324" bestFit="1" customWidth="1"/>
    <col min="3325" max="3325" width="17.28515625" style="324" customWidth="1"/>
    <col min="3326" max="3326" width="25" style="324" bestFit="1" customWidth="1"/>
    <col min="3327" max="3328" width="14.85546875" style="324" bestFit="1" customWidth="1"/>
    <col min="3329" max="3329" width="16.140625" style="324" customWidth="1"/>
    <col min="3330" max="3330" width="12.85546875" style="324" bestFit="1" customWidth="1"/>
    <col min="3331" max="3331" width="19.140625" style="324" bestFit="1" customWidth="1"/>
    <col min="3332" max="3578" width="9.140625" style="324"/>
    <col min="3579" max="3579" width="13.7109375" style="324" bestFit="1" customWidth="1"/>
    <col min="3580" max="3580" width="15.42578125" style="324" bestFit="1" customWidth="1"/>
    <col min="3581" max="3581" width="17.28515625" style="324" customWidth="1"/>
    <col min="3582" max="3582" width="25" style="324" bestFit="1" customWidth="1"/>
    <col min="3583" max="3584" width="14.85546875" style="324" bestFit="1" customWidth="1"/>
    <col min="3585" max="3585" width="16.140625" style="324" customWidth="1"/>
    <col min="3586" max="3586" width="12.85546875" style="324" bestFit="1" customWidth="1"/>
    <col min="3587" max="3587" width="19.140625" style="324" bestFit="1" customWidth="1"/>
    <col min="3588" max="3834" width="9.140625" style="324"/>
    <col min="3835" max="3835" width="13.7109375" style="324" bestFit="1" customWidth="1"/>
    <col min="3836" max="3836" width="15.42578125" style="324" bestFit="1" customWidth="1"/>
    <col min="3837" max="3837" width="17.28515625" style="324" customWidth="1"/>
    <col min="3838" max="3838" width="25" style="324" bestFit="1" customWidth="1"/>
    <col min="3839" max="3840" width="14.85546875" style="324" bestFit="1" customWidth="1"/>
    <col min="3841" max="3841" width="16.140625" style="324" customWidth="1"/>
    <col min="3842" max="3842" width="12.85546875" style="324" bestFit="1" customWidth="1"/>
    <col min="3843" max="3843" width="19.140625" style="324" bestFit="1" customWidth="1"/>
    <col min="3844" max="4090" width="9.140625" style="324"/>
    <col min="4091" max="4091" width="13.7109375" style="324" bestFit="1" customWidth="1"/>
    <col min="4092" max="4092" width="15.42578125" style="324" bestFit="1" customWidth="1"/>
    <col min="4093" max="4093" width="17.28515625" style="324" customWidth="1"/>
    <col min="4094" max="4094" width="25" style="324" bestFit="1" customWidth="1"/>
    <col min="4095" max="4096" width="14.85546875" style="324" bestFit="1" customWidth="1"/>
    <col min="4097" max="4097" width="16.140625" style="324" customWidth="1"/>
    <col min="4098" max="4098" width="12.85546875" style="324" bestFit="1" customWidth="1"/>
    <col min="4099" max="4099" width="19.140625" style="324" bestFit="1" customWidth="1"/>
    <col min="4100" max="4346" width="9.140625" style="324"/>
    <col min="4347" max="4347" width="13.7109375" style="324" bestFit="1" customWidth="1"/>
    <col min="4348" max="4348" width="15.42578125" style="324" bestFit="1" customWidth="1"/>
    <col min="4349" max="4349" width="17.28515625" style="324" customWidth="1"/>
    <col min="4350" max="4350" width="25" style="324" bestFit="1" customWidth="1"/>
    <col min="4351" max="4352" width="14.85546875" style="324" bestFit="1" customWidth="1"/>
    <col min="4353" max="4353" width="16.140625" style="324" customWidth="1"/>
    <col min="4354" max="4354" width="12.85546875" style="324" bestFit="1" customWidth="1"/>
    <col min="4355" max="4355" width="19.140625" style="324" bestFit="1" customWidth="1"/>
    <col min="4356" max="4602" width="9.140625" style="324"/>
    <col min="4603" max="4603" width="13.7109375" style="324" bestFit="1" customWidth="1"/>
    <col min="4604" max="4604" width="15.42578125" style="324" bestFit="1" customWidth="1"/>
    <col min="4605" max="4605" width="17.28515625" style="324" customWidth="1"/>
    <col min="4606" max="4606" width="25" style="324" bestFit="1" customWidth="1"/>
    <col min="4607" max="4608" width="14.85546875" style="324" bestFit="1" customWidth="1"/>
    <col min="4609" max="4609" width="16.140625" style="324" customWidth="1"/>
    <col min="4610" max="4610" width="12.85546875" style="324" bestFit="1" customWidth="1"/>
    <col min="4611" max="4611" width="19.140625" style="324" bestFit="1" customWidth="1"/>
    <col min="4612" max="4858" width="9.140625" style="324"/>
    <col min="4859" max="4859" width="13.7109375" style="324" bestFit="1" customWidth="1"/>
    <col min="4860" max="4860" width="15.42578125" style="324" bestFit="1" customWidth="1"/>
    <col min="4861" max="4861" width="17.28515625" style="324" customWidth="1"/>
    <col min="4862" max="4862" width="25" style="324" bestFit="1" customWidth="1"/>
    <col min="4863" max="4864" width="14.85546875" style="324" bestFit="1" customWidth="1"/>
    <col min="4865" max="4865" width="16.140625" style="324" customWidth="1"/>
    <col min="4866" max="4866" width="12.85546875" style="324" bestFit="1" customWidth="1"/>
    <col min="4867" max="4867" width="19.140625" style="324" bestFit="1" customWidth="1"/>
    <col min="4868" max="5114" width="9.140625" style="324"/>
    <col min="5115" max="5115" width="13.7109375" style="324" bestFit="1" customWidth="1"/>
    <col min="5116" max="5116" width="15.42578125" style="324" bestFit="1" customWidth="1"/>
    <col min="5117" max="5117" width="17.28515625" style="324" customWidth="1"/>
    <col min="5118" max="5118" width="25" style="324" bestFit="1" customWidth="1"/>
    <col min="5119" max="5120" width="14.85546875" style="324" bestFit="1" customWidth="1"/>
    <col min="5121" max="5121" width="16.140625" style="324" customWidth="1"/>
    <col min="5122" max="5122" width="12.85546875" style="324" bestFit="1" customWidth="1"/>
    <col min="5123" max="5123" width="19.140625" style="324" bestFit="1" customWidth="1"/>
    <col min="5124" max="5370" width="9.140625" style="324"/>
    <col min="5371" max="5371" width="13.7109375" style="324" bestFit="1" customWidth="1"/>
    <col min="5372" max="5372" width="15.42578125" style="324" bestFit="1" customWidth="1"/>
    <col min="5373" max="5373" width="17.28515625" style="324" customWidth="1"/>
    <col min="5374" max="5374" width="25" style="324" bestFit="1" customWidth="1"/>
    <col min="5375" max="5376" width="14.85546875" style="324" bestFit="1" customWidth="1"/>
    <col min="5377" max="5377" width="16.140625" style="324" customWidth="1"/>
    <col min="5378" max="5378" width="12.85546875" style="324" bestFit="1" customWidth="1"/>
    <col min="5379" max="5379" width="19.140625" style="324" bestFit="1" customWidth="1"/>
    <col min="5380" max="5626" width="9.140625" style="324"/>
    <col min="5627" max="5627" width="13.7109375" style="324" bestFit="1" customWidth="1"/>
    <col min="5628" max="5628" width="15.42578125" style="324" bestFit="1" customWidth="1"/>
    <col min="5629" max="5629" width="17.28515625" style="324" customWidth="1"/>
    <col min="5630" max="5630" width="25" style="324" bestFit="1" customWidth="1"/>
    <col min="5631" max="5632" width="14.85546875" style="324" bestFit="1" customWidth="1"/>
    <col min="5633" max="5633" width="16.140625" style="324" customWidth="1"/>
    <col min="5634" max="5634" width="12.85546875" style="324" bestFit="1" customWidth="1"/>
    <col min="5635" max="5635" width="19.140625" style="324" bestFit="1" customWidth="1"/>
    <col min="5636" max="5882" width="9.140625" style="324"/>
    <col min="5883" max="5883" width="13.7109375" style="324" bestFit="1" customWidth="1"/>
    <col min="5884" max="5884" width="15.42578125" style="324" bestFit="1" customWidth="1"/>
    <col min="5885" max="5885" width="17.28515625" style="324" customWidth="1"/>
    <col min="5886" max="5886" width="25" style="324" bestFit="1" customWidth="1"/>
    <col min="5887" max="5888" width="14.85546875" style="324" bestFit="1" customWidth="1"/>
    <col min="5889" max="5889" width="16.140625" style="324" customWidth="1"/>
    <col min="5890" max="5890" width="12.85546875" style="324" bestFit="1" customWidth="1"/>
    <col min="5891" max="5891" width="19.140625" style="324" bestFit="1" customWidth="1"/>
    <col min="5892" max="6138" width="9.140625" style="324"/>
    <col min="6139" max="6139" width="13.7109375" style="324" bestFit="1" customWidth="1"/>
    <col min="6140" max="6140" width="15.42578125" style="324" bestFit="1" customWidth="1"/>
    <col min="6141" max="6141" width="17.28515625" style="324" customWidth="1"/>
    <col min="6142" max="6142" width="25" style="324" bestFit="1" customWidth="1"/>
    <col min="6143" max="6144" width="14.85546875" style="324" bestFit="1" customWidth="1"/>
    <col min="6145" max="6145" width="16.140625" style="324" customWidth="1"/>
    <col min="6146" max="6146" width="12.85546875" style="324" bestFit="1" customWidth="1"/>
    <col min="6147" max="6147" width="19.140625" style="324" bestFit="1" customWidth="1"/>
    <col min="6148" max="6394" width="9.140625" style="324"/>
    <col min="6395" max="6395" width="13.7109375" style="324" bestFit="1" customWidth="1"/>
    <col min="6396" max="6396" width="15.42578125" style="324" bestFit="1" customWidth="1"/>
    <col min="6397" max="6397" width="17.28515625" style="324" customWidth="1"/>
    <col min="6398" max="6398" width="25" style="324" bestFit="1" customWidth="1"/>
    <col min="6399" max="6400" width="14.85546875" style="324" bestFit="1" customWidth="1"/>
    <col min="6401" max="6401" width="16.140625" style="324" customWidth="1"/>
    <col min="6402" max="6402" width="12.85546875" style="324" bestFit="1" customWidth="1"/>
    <col min="6403" max="6403" width="19.140625" style="324" bestFit="1" customWidth="1"/>
    <col min="6404" max="6650" width="9.140625" style="324"/>
    <col min="6651" max="6651" width="13.7109375" style="324" bestFit="1" customWidth="1"/>
    <col min="6652" max="6652" width="15.42578125" style="324" bestFit="1" customWidth="1"/>
    <col min="6653" max="6653" width="17.28515625" style="324" customWidth="1"/>
    <col min="6654" max="6654" width="25" style="324" bestFit="1" customWidth="1"/>
    <col min="6655" max="6656" width="14.85546875" style="324" bestFit="1" customWidth="1"/>
    <col min="6657" max="6657" width="16.140625" style="324" customWidth="1"/>
    <col min="6658" max="6658" width="12.85546875" style="324" bestFit="1" customWidth="1"/>
    <col min="6659" max="6659" width="19.140625" style="324" bestFit="1" customWidth="1"/>
    <col min="6660" max="6906" width="9.140625" style="324"/>
    <col min="6907" max="6907" width="13.7109375" style="324" bestFit="1" customWidth="1"/>
    <col min="6908" max="6908" width="15.42578125" style="324" bestFit="1" customWidth="1"/>
    <col min="6909" max="6909" width="17.28515625" style="324" customWidth="1"/>
    <col min="6910" max="6910" width="25" style="324" bestFit="1" customWidth="1"/>
    <col min="6911" max="6912" width="14.85546875" style="324" bestFit="1" customWidth="1"/>
    <col min="6913" max="6913" width="16.140625" style="324" customWidth="1"/>
    <col min="6914" max="6914" width="12.85546875" style="324" bestFit="1" customWidth="1"/>
    <col min="6915" max="6915" width="19.140625" style="324" bestFit="1" customWidth="1"/>
    <col min="6916" max="7162" width="9.140625" style="324"/>
    <col min="7163" max="7163" width="13.7109375" style="324" bestFit="1" customWidth="1"/>
    <col min="7164" max="7164" width="15.42578125" style="324" bestFit="1" customWidth="1"/>
    <col min="7165" max="7165" width="17.28515625" style="324" customWidth="1"/>
    <col min="7166" max="7166" width="25" style="324" bestFit="1" customWidth="1"/>
    <col min="7167" max="7168" width="14.85546875" style="324" bestFit="1" customWidth="1"/>
    <col min="7169" max="7169" width="16.140625" style="324" customWidth="1"/>
    <col min="7170" max="7170" width="12.85546875" style="324" bestFit="1" customWidth="1"/>
    <col min="7171" max="7171" width="19.140625" style="324" bestFit="1" customWidth="1"/>
    <col min="7172" max="7418" width="9.140625" style="324"/>
    <col min="7419" max="7419" width="13.7109375" style="324" bestFit="1" customWidth="1"/>
    <col min="7420" max="7420" width="15.42578125" style="324" bestFit="1" customWidth="1"/>
    <col min="7421" max="7421" width="17.28515625" style="324" customWidth="1"/>
    <col min="7422" max="7422" width="25" style="324" bestFit="1" customWidth="1"/>
    <col min="7423" max="7424" width="14.85546875" style="324" bestFit="1" customWidth="1"/>
    <col min="7425" max="7425" width="16.140625" style="324" customWidth="1"/>
    <col min="7426" max="7426" width="12.85546875" style="324" bestFit="1" customWidth="1"/>
    <col min="7427" max="7427" width="19.140625" style="324" bestFit="1" customWidth="1"/>
    <col min="7428" max="7674" width="9.140625" style="324"/>
    <col min="7675" max="7675" width="13.7109375" style="324" bestFit="1" customWidth="1"/>
    <col min="7676" max="7676" width="15.42578125" style="324" bestFit="1" customWidth="1"/>
    <col min="7677" max="7677" width="17.28515625" style="324" customWidth="1"/>
    <col min="7678" max="7678" width="25" style="324" bestFit="1" customWidth="1"/>
    <col min="7679" max="7680" width="14.85546875" style="324" bestFit="1" customWidth="1"/>
    <col min="7681" max="7681" width="16.140625" style="324" customWidth="1"/>
    <col min="7682" max="7682" width="12.85546875" style="324" bestFit="1" customWidth="1"/>
    <col min="7683" max="7683" width="19.140625" style="324" bestFit="1" customWidth="1"/>
    <col min="7684" max="7930" width="9.140625" style="324"/>
    <col min="7931" max="7931" width="13.7109375" style="324" bestFit="1" customWidth="1"/>
    <col min="7932" max="7932" width="15.42578125" style="324" bestFit="1" customWidth="1"/>
    <col min="7933" max="7933" width="17.28515625" style="324" customWidth="1"/>
    <col min="7934" max="7934" width="25" style="324" bestFit="1" customWidth="1"/>
    <col min="7935" max="7936" width="14.85546875" style="324" bestFit="1" customWidth="1"/>
    <col min="7937" max="7937" width="16.140625" style="324" customWidth="1"/>
    <col min="7938" max="7938" width="12.85546875" style="324" bestFit="1" customWidth="1"/>
    <col min="7939" max="7939" width="19.140625" style="324" bestFit="1" customWidth="1"/>
    <col min="7940" max="8186" width="9.140625" style="324"/>
    <col min="8187" max="8187" width="13.7109375" style="324" bestFit="1" customWidth="1"/>
    <col min="8188" max="8188" width="15.42578125" style="324" bestFit="1" customWidth="1"/>
    <col min="8189" max="8189" width="17.28515625" style="324" customWidth="1"/>
    <col min="8190" max="8190" width="25" style="324" bestFit="1" customWidth="1"/>
    <col min="8191" max="8192" width="14.85546875" style="324" bestFit="1" customWidth="1"/>
    <col min="8193" max="8193" width="16.140625" style="324" customWidth="1"/>
    <col min="8194" max="8194" width="12.85546875" style="324" bestFit="1" customWidth="1"/>
    <col min="8195" max="8195" width="19.140625" style="324" bestFit="1" customWidth="1"/>
    <col min="8196" max="8442" width="9.140625" style="324"/>
    <col min="8443" max="8443" width="13.7109375" style="324" bestFit="1" customWidth="1"/>
    <col min="8444" max="8444" width="15.42578125" style="324" bestFit="1" customWidth="1"/>
    <col min="8445" max="8445" width="17.28515625" style="324" customWidth="1"/>
    <col min="8446" max="8446" width="25" style="324" bestFit="1" customWidth="1"/>
    <col min="8447" max="8448" width="14.85546875" style="324" bestFit="1" customWidth="1"/>
    <col min="8449" max="8449" width="16.140625" style="324" customWidth="1"/>
    <col min="8450" max="8450" width="12.85546875" style="324" bestFit="1" customWidth="1"/>
    <col min="8451" max="8451" width="19.140625" style="324" bestFit="1" customWidth="1"/>
    <col min="8452" max="8698" width="9.140625" style="324"/>
    <col min="8699" max="8699" width="13.7109375" style="324" bestFit="1" customWidth="1"/>
    <col min="8700" max="8700" width="15.42578125" style="324" bestFit="1" customWidth="1"/>
    <col min="8701" max="8701" width="17.28515625" style="324" customWidth="1"/>
    <col min="8702" max="8702" width="25" style="324" bestFit="1" customWidth="1"/>
    <col min="8703" max="8704" width="14.85546875" style="324" bestFit="1" customWidth="1"/>
    <col min="8705" max="8705" width="16.140625" style="324" customWidth="1"/>
    <col min="8706" max="8706" width="12.85546875" style="324" bestFit="1" customWidth="1"/>
    <col min="8707" max="8707" width="19.140625" style="324" bestFit="1" customWidth="1"/>
    <col min="8708" max="8954" width="9.140625" style="324"/>
    <col min="8955" max="8955" width="13.7109375" style="324" bestFit="1" customWidth="1"/>
    <col min="8956" max="8956" width="15.42578125" style="324" bestFit="1" customWidth="1"/>
    <col min="8957" max="8957" width="17.28515625" style="324" customWidth="1"/>
    <col min="8958" max="8958" width="25" style="324" bestFit="1" customWidth="1"/>
    <col min="8959" max="8960" width="14.85546875" style="324" bestFit="1" customWidth="1"/>
    <col min="8961" max="8961" width="16.140625" style="324" customWidth="1"/>
    <col min="8962" max="8962" width="12.85546875" style="324" bestFit="1" customWidth="1"/>
    <col min="8963" max="8963" width="19.140625" style="324" bestFit="1" customWidth="1"/>
    <col min="8964" max="9210" width="9.140625" style="324"/>
    <col min="9211" max="9211" width="13.7109375" style="324" bestFit="1" customWidth="1"/>
    <col min="9212" max="9212" width="15.42578125" style="324" bestFit="1" customWidth="1"/>
    <col min="9213" max="9213" width="17.28515625" style="324" customWidth="1"/>
    <col min="9214" max="9214" width="25" style="324" bestFit="1" customWidth="1"/>
    <col min="9215" max="9216" width="14.85546875" style="324" bestFit="1" customWidth="1"/>
    <col min="9217" max="9217" width="16.140625" style="324" customWidth="1"/>
    <col min="9218" max="9218" width="12.85546875" style="324" bestFit="1" customWidth="1"/>
    <col min="9219" max="9219" width="19.140625" style="324" bestFit="1" customWidth="1"/>
    <col min="9220" max="9466" width="9.140625" style="324"/>
    <col min="9467" max="9467" width="13.7109375" style="324" bestFit="1" customWidth="1"/>
    <col min="9468" max="9468" width="15.42578125" style="324" bestFit="1" customWidth="1"/>
    <col min="9469" max="9469" width="17.28515625" style="324" customWidth="1"/>
    <col min="9470" max="9470" width="25" style="324" bestFit="1" customWidth="1"/>
    <col min="9471" max="9472" width="14.85546875" style="324" bestFit="1" customWidth="1"/>
    <col min="9473" max="9473" width="16.140625" style="324" customWidth="1"/>
    <col min="9474" max="9474" width="12.85546875" style="324" bestFit="1" customWidth="1"/>
    <col min="9475" max="9475" width="19.140625" style="324" bestFit="1" customWidth="1"/>
    <col min="9476" max="9722" width="9.140625" style="324"/>
    <col min="9723" max="9723" width="13.7109375" style="324" bestFit="1" customWidth="1"/>
    <col min="9724" max="9724" width="15.42578125" style="324" bestFit="1" customWidth="1"/>
    <col min="9725" max="9725" width="17.28515625" style="324" customWidth="1"/>
    <col min="9726" max="9726" width="25" style="324" bestFit="1" customWidth="1"/>
    <col min="9727" max="9728" width="14.85546875" style="324" bestFit="1" customWidth="1"/>
    <col min="9729" max="9729" width="16.140625" style="324" customWidth="1"/>
    <col min="9730" max="9730" width="12.85546875" style="324" bestFit="1" customWidth="1"/>
    <col min="9731" max="9731" width="19.140625" style="324" bestFit="1" customWidth="1"/>
    <col min="9732" max="9978" width="9.140625" style="324"/>
    <col min="9979" max="9979" width="13.7109375" style="324" bestFit="1" customWidth="1"/>
    <col min="9980" max="9980" width="15.42578125" style="324" bestFit="1" customWidth="1"/>
    <col min="9981" max="9981" width="17.28515625" style="324" customWidth="1"/>
    <col min="9982" max="9982" width="25" style="324" bestFit="1" customWidth="1"/>
    <col min="9983" max="9984" width="14.85546875" style="324" bestFit="1" customWidth="1"/>
    <col min="9985" max="9985" width="16.140625" style="324" customWidth="1"/>
    <col min="9986" max="9986" width="12.85546875" style="324" bestFit="1" customWidth="1"/>
    <col min="9987" max="9987" width="19.140625" style="324" bestFit="1" customWidth="1"/>
    <col min="9988" max="10234" width="9.140625" style="324"/>
    <col min="10235" max="10235" width="13.7109375" style="324" bestFit="1" customWidth="1"/>
    <col min="10236" max="10236" width="15.42578125" style="324" bestFit="1" customWidth="1"/>
    <col min="10237" max="10237" width="17.28515625" style="324" customWidth="1"/>
    <col min="10238" max="10238" width="25" style="324" bestFit="1" customWidth="1"/>
    <col min="10239" max="10240" width="14.85546875" style="324" bestFit="1" customWidth="1"/>
    <col min="10241" max="10241" width="16.140625" style="324" customWidth="1"/>
    <col min="10242" max="10242" width="12.85546875" style="324" bestFit="1" customWidth="1"/>
    <col min="10243" max="10243" width="19.140625" style="324" bestFit="1" customWidth="1"/>
    <col min="10244" max="10490" width="9.140625" style="324"/>
    <col min="10491" max="10491" width="13.7109375" style="324" bestFit="1" customWidth="1"/>
    <col min="10492" max="10492" width="15.42578125" style="324" bestFit="1" customWidth="1"/>
    <col min="10493" max="10493" width="17.28515625" style="324" customWidth="1"/>
    <col min="10494" max="10494" width="25" style="324" bestFit="1" customWidth="1"/>
    <col min="10495" max="10496" width="14.85546875" style="324" bestFit="1" customWidth="1"/>
    <col min="10497" max="10497" width="16.140625" style="324" customWidth="1"/>
    <col min="10498" max="10498" width="12.85546875" style="324" bestFit="1" customWidth="1"/>
    <col min="10499" max="10499" width="19.140625" style="324" bestFit="1" customWidth="1"/>
    <col min="10500" max="10746" width="9.140625" style="324"/>
    <col min="10747" max="10747" width="13.7109375" style="324" bestFit="1" customWidth="1"/>
    <col min="10748" max="10748" width="15.42578125" style="324" bestFit="1" customWidth="1"/>
    <col min="10749" max="10749" width="17.28515625" style="324" customWidth="1"/>
    <col min="10750" max="10750" width="25" style="324" bestFit="1" customWidth="1"/>
    <col min="10751" max="10752" width="14.85546875" style="324" bestFit="1" customWidth="1"/>
    <col min="10753" max="10753" width="16.140625" style="324" customWidth="1"/>
    <col min="10754" max="10754" width="12.85546875" style="324" bestFit="1" customWidth="1"/>
    <col min="10755" max="10755" width="19.140625" style="324" bestFit="1" customWidth="1"/>
    <col min="10756" max="11002" width="9.140625" style="324"/>
    <col min="11003" max="11003" width="13.7109375" style="324" bestFit="1" customWidth="1"/>
    <col min="11004" max="11004" width="15.42578125" style="324" bestFit="1" customWidth="1"/>
    <col min="11005" max="11005" width="17.28515625" style="324" customWidth="1"/>
    <col min="11006" max="11006" width="25" style="324" bestFit="1" customWidth="1"/>
    <col min="11007" max="11008" width="14.85546875" style="324" bestFit="1" customWidth="1"/>
    <col min="11009" max="11009" width="16.140625" style="324" customWidth="1"/>
    <col min="11010" max="11010" width="12.85546875" style="324" bestFit="1" customWidth="1"/>
    <col min="11011" max="11011" width="19.140625" style="324" bestFit="1" customWidth="1"/>
    <col min="11012" max="11258" width="9.140625" style="324"/>
    <col min="11259" max="11259" width="13.7109375" style="324" bestFit="1" customWidth="1"/>
    <col min="11260" max="11260" width="15.42578125" style="324" bestFit="1" customWidth="1"/>
    <col min="11261" max="11261" width="17.28515625" style="324" customWidth="1"/>
    <col min="11262" max="11262" width="25" style="324" bestFit="1" customWidth="1"/>
    <col min="11263" max="11264" width="14.85546875" style="324" bestFit="1" customWidth="1"/>
    <col min="11265" max="11265" width="16.140625" style="324" customWidth="1"/>
    <col min="11266" max="11266" width="12.85546875" style="324" bestFit="1" customWidth="1"/>
    <col min="11267" max="11267" width="19.140625" style="324" bestFit="1" customWidth="1"/>
    <col min="11268" max="11514" width="9.140625" style="324"/>
    <col min="11515" max="11515" width="13.7109375" style="324" bestFit="1" customWidth="1"/>
    <col min="11516" max="11516" width="15.42578125" style="324" bestFit="1" customWidth="1"/>
    <col min="11517" max="11517" width="17.28515625" style="324" customWidth="1"/>
    <col min="11518" max="11518" width="25" style="324" bestFit="1" customWidth="1"/>
    <col min="11519" max="11520" width="14.85546875" style="324" bestFit="1" customWidth="1"/>
    <col min="11521" max="11521" width="16.140625" style="324" customWidth="1"/>
    <col min="11522" max="11522" width="12.85546875" style="324" bestFit="1" customWidth="1"/>
    <col min="11523" max="11523" width="19.140625" style="324" bestFit="1" customWidth="1"/>
    <col min="11524" max="11770" width="9.140625" style="324"/>
    <col min="11771" max="11771" width="13.7109375" style="324" bestFit="1" customWidth="1"/>
    <col min="11772" max="11772" width="15.42578125" style="324" bestFit="1" customWidth="1"/>
    <col min="11773" max="11773" width="17.28515625" style="324" customWidth="1"/>
    <col min="11774" max="11774" width="25" style="324" bestFit="1" customWidth="1"/>
    <col min="11775" max="11776" width="14.85546875" style="324" bestFit="1" customWidth="1"/>
    <col min="11777" max="11777" width="16.140625" style="324" customWidth="1"/>
    <col min="11778" max="11778" width="12.85546875" style="324" bestFit="1" customWidth="1"/>
    <col min="11779" max="11779" width="19.140625" style="324" bestFit="1" customWidth="1"/>
    <col min="11780" max="12026" width="9.140625" style="324"/>
    <col min="12027" max="12027" width="13.7109375" style="324" bestFit="1" customWidth="1"/>
    <col min="12028" max="12028" width="15.42578125" style="324" bestFit="1" customWidth="1"/>
    <col min="12029" max="12029" width="17.28515625" style="324" customWidth="1"/>
    <col min="12030" max="12030" width="25" style="324" bestFit="1" customWidth="1"/>
    <col min="12031" max="12032" width="14.85546875" style="324" bestFit="1" customWidth="1"/>
    <col min="12033" max="12033" width="16.140625" style="324" customWidth="1"/>
    <col min="12034" max="12034" width="12.85546875" style="324" bestFit="1" customWidth="1"/>
    <col min="12035" max="12035" width="19.140625" style="324" bestFit="1" customWidth="1"/>
    <col min="12036" max="12282" width="9.140625" style="324"/>
    <col min="12283" max="12283" width="13.7109375" style="324" bestFit="1" customWidth="1"/>
    <col min="12284" max="12284" width="15.42578125" style="324" bestFit="1" customWidth="1"/>
    <col min="12285" max="12285" width="17.28515625" style="324" customWidth="1"/>
    <col min="12286" max="12286" width="25" style="324" bestFit="1" customWidth="1"/>
    <col min="12287" max="12288" width="14.85546875" style="324" bestFit="1" customWidth="1"/>
    <col min="12289" max="12289" width="16.140625" style="324" customWidth="1"/>
    <col min="12290" max="12290" width="12.85546875" style="324" bestFit="1" customWidth="1"/>
    <col min="12291" max="12291" width="19.140625" style="324" bestFit="1" customWidth="1"/>
    <col min="12292" max="12538" width="9.140625" style="324"/>
    <col min="12539" max="12539" width="13.7109375" style="324" bestFit="1" customWidth="1"/>
    <col min="12540" max="12540" width="15.42578125" style="324" bestFit="1" customWidth="1"/>
    <col min="12541" max="12541" width="17.28515625" style="324" customWidth="1"/>
    <col min="12542" max="12542" width="25" style="324" bestFit="1" customWidth="1"/>
    <col min="12543" max="12544" width="14.85546875" style="324" bestFit="1" customWidth="1"/>
    <col min="12545" max="12545" width="16.140625" style="324" customWidth="1"/>
    <col min="12546" max="12546" width="12.85546875" style="324" bestFit="1" customWidth="1"/>
    <col min="12547" max="12547" width="19.140625" style="324" bestFit="1" customWidth="1"/>
    <col min="12548" max="12794" width="9.140625" style="324"/>
    <col min="12795" max="12795" width="13.7109375" style="324" bestFit="1" customWidth="1"/>
    <col min="12796" max="12796" width="15.42578125" style="324" bestFit="1" customWidth="1"/>
    <col min="12797" max="12797" width="17.28515625" style="324" customWidth="1"/>
    <col min="12798" max="12798" width="25" style="324" bestFit="1" customWidth="1"/>
    <col min="12799" max="12800" width="14.85546875" style="324" bestFit="1" customWidth="1"/>
    <col min="12801" max="12801" width="16.140625" style="324" customWidth="1"/>
    <col min="12802" max="12802" width="12.85546875" style="324" bestFit="1" customWidth="1"/>
    <col min="12803" max="12803" width="19.140625" style="324" bestFit="1" customWidth="1"/>
    <col min="12804" max="13050" width="9.140625" style="324"/>
    <col min="13051" max="13051" width="13.7109375" style="324" bestFit="1" customWidth="1"/>
    <col min="13052" max="13052" width="15.42578125" style="324" bestFit="1" customWidth="1"/>
    <col min="13053" max="13053" width="17.28515625" style="324" customWidth="1"/>
    <col min="13054" max="13054" width="25" style="324" bestFit="1" customWidth="1"/>
    <col min="13055" max="13056" width="14.85546875" style="324" bestFit="1" customWidth="1"/>
    <col min="13057" max="13057" width="16.140625" style="324" customWidth="1"/>
    <col min="13058" max="13058" width="12.85546875" style="324" bestFit="1" customWidth="1"/>
    <col min="13059" max="13059" width="19.140625" style="324" bestFit="1" customWidth="1"/>
    <col min="13060" max="13306" width="9.140625" style="324"/>
    <col min="13307" max="13307" width="13.7109375" style="324" bestFit="1" customWidth="1"/>
    <col min="13308" max="13308" width="15.42578125" style="324" bestFit="1" customWidth="1"/>
    <col min="13309" max="13309" width="17.28515625" style="324" customWidth="1"/>
    <col min="13310" max="13310" width="25" style="324" bestFit="1" customWidth="1"/>
    <col min="13311" max="13312" width="14.85546875" style="324" bestFit="1" customWidth="1"/>
    <col min="13313" max="13313" width="16.140625" style="324" customWidth="1"/>
    <col min="13314" max="13314" width="12.85546875" style="324" bestFit="1" customWidth="1"/>
    <col min="13315" max="13315" width="19.140625" style="324" bestFit="1" customWidth="1"/>
    <col min="13316" max="13562" width="9.140625" style="324"/>
    <col min="13563" max="13563" width="13.7109375" style="324" bestFit="1" customWidth="1"/>
    <col min="13564" max="13564" width="15.42578125" style="324" bestFit="1" customWidth="1"/>
    <col min="13565" max="13565" width="17.28515625" style="324" customWidth="1"/>
    <col min="13566" max="13566" width="25" style="324" bestFit="1" customWidth="1"/>
    <col min="13567" max="13568" width="14.85546875" style="324" bestFit="1" customWidth="1"/>
    <col min="13569" max="13569" width="16.140625" style="324" customWidth="1"/>
    <col min="13570" max="13570" width="12.85546875" style="324" bestFit="1" customWidth="1"/>
    <col min="13571" max="13571" width="19.140625" style="324" bestFit="1" customWidth="1"/>
    <col min="13572" max="13818" width="9.140625" style="324"/>
    <col min="13819" max="13819" width="13.7109375" style="324" bestFit="1" customWidth="1"/>
    <col min="13820" max="13820" width="15.42578125" style="324" bestFit="1" customWidth="1"/>
    <col min="13821" max="13821" width="17.28515625" style="324" customWidth="1"/>
    <col min="13822" max="13822" width="25" style="324" bestFit="1" customWidth="1"/>
    <col min="13823" max="13824" width="14.85546875" style="324" bestFit="1" customWidth="1"/>
    <col min="13825" max="13825" width="16.140625" style="324" customWidth="1"/>
    <col min="13826" max="13826" width="12.85546875" style="324" bestFit="1" customWidth="1"/>
    <col min="13827" max="13827" width="19.140625" style="324" bestFit="1" customWidth="1"/>
    <col min="13828" max="14074" width="9.140625" style="324"/>
    <col min="14075" max="14075" width="13.7109375" style="324" bestFit="1" customWidth="1"/>
    <col min="14076" max="14076" width="15.42578125" style="324" bestFit="1" customWidth="1"/>
    <col min="14077" max="14077" width="17.28515625" style="324" customWidth="1"/>
    <col min="14078" max="14078" width="25" style="324" bestFit="1" customWidth="1"/>
    <col min="14079" max="14080" width="14.85546875" style="324" bestFit="1" customWidth="1"/>
    <col min="14081" max="14081" width="16.140625" style="324" customWidth="1"/>
    <col min="14082" max="14082" width="12.85546875" style="324" bestFit="1" customWidth="1"/>
    <col min="14083" max="14083" width="19.140625" style="324" bestFit="1" customWidth="1"/>
    <col min="14084" max="14330" width="9.140625" style="324"/>
    <col min="14331" max="14331" width="13.7109375" style="324" bestFit="1" customWidth="1"/>
    <col min="14332" max="14332" width="15.42578125" style="324" bestFit="1" customWidth="1"/>
    <col min="14333" max="14333" width="17.28515625" style="324" customWidth="1"/>
    <col min="14334" max="14334" width="25" style="324" bestFit="1" customWidth="1"/>
    <col min="14335" max="14336" width="14.85546875" style="324" bestFit="1" customWidth="1"/>
    <col min="14337" max="14337" width="16.140625" style="324" customWidth="1"/>
    <col min="14338" max="14338" width="12.85546875" style="324" bestFit="1" customWidth="1"/>
    <col min="14339" max="14339" width="19.140625" style="324" bestFit="1" customWidth="1"/>
    <col min="14340" max="14586" width="9.140625" style="324"/>
    <col min="14587" max="14587" width="13.7109375" style="324" bestFit="1" customWidth="1"/>
    <col min="14588" max="14588" width="15.42578125" style="324" bestFit="1" customWidth="1"/>
    <col min="14589" max="14589" width="17.28515625" style="324" customWidth="1"/>
    <col min="14590" max="14590" width="25" style="324" bestFit="1" customWidth="1"/>
    <col min="14591" max="14592" width="14.85546875" style="324" bestFit="1" customWidth="1"/>
    <col min="14593" max="14593" width="16.140625" style="324" customWidth="1"/>
    <col min="14594" max="14594" width="12.85546875" style="324" bestFit="1" customWidth="1"/>
    <col min="14595" max="14595" width="19.140625" style="324" bestFit="1" customWidth="1"/>
    <col min="14596" max="14842" width="9.140625" style="324"/>
    <col min="14843" max="14843" width="13.7109375" style="324" bestFit="1" customWidth="1"/>
    <col min="14844" max="14844" width="15.42578125" style="324" bestFit="1" customWidth="1"/>
    <col min="14845" max="14845" width="17.28515625" style="324" customWidth="1"/>
    <col min="14846" max="14846" width="25" style="324" bestFit="1" customWidth="1"/>
    <col min="14847" max="14848" width="14.85546875" style="324" bestFit="1" customWidth="1"/>
    <col min="14849" max="14849" width="16.140625" style="324" customWidth="1"/>
    <col min="14850" max="14850" width="12.85546875" style="324" bestFit="1" customWidth="1"/>
    <col min="14851" max="14851" width="19.140625" style="324" bestFit="1" customWidth="1"/>
    <col min="14852" max="15098" width="9.140625" style="324"/>
    <col min="15099" max="15099" width="13.7109375" style="324" bestFit="1" customWidth="1"/>
    <col min="15100" max="15100" width="15.42578125" style="324" bestFit="1" customWidth="1"/>
    <col min="15101" max="15101" width="17.28515625" style="324" customWidth="1"/>
    <col min="15102" max="15102" width="25" style="324" bestFit="1" customWidth="1"/>
    <col min="15103" max="15104" width="14.85546875" style="324" bestFit="1" customWidth="1"/>
    <col min="15105" max="15105" width="16.140625" style="324" customWidth="1"/>
    <col min="15106" max="15106" width="12.85546875" style="324" bestFit="1" customWidth="1"/>
    <col min="15107" max="15107" width="19.140625" style="324" bestFit="1" customWidth="1"/>
    <col min="15108" max="15354" width="9.140625" style="324"/>
    <col min="15355" max="15355" width="13.7109375" style="324" bestFit="1" customWidth="1"/>
    <col min="15356" max="15356" width="15.42578125" style="324" bestFit="1" customWidth="1"/>
    <col min="15357" max="15357" width="17.28515625" style="324" customWidth="1"/>
    <col min="15358" max="15358" width="25" style="324" bestFit="1" customWidth="1"/>
    <col min="15359" max="15360" width="14.85546875" style="324" bestFit="1" customWidth="1"/>
    <col min="15361" max="15361" width="16.140625" style="324" customWidth="1"/>
    <col min="15362" max="15362" width="12.85546875" style="324" bestFit="1" customWidth="1"/>
    <col min="15363" max="15363" width="19.140625" style="324" bestFit="1" customWidth="1"/>
    <col min="15364" max="15610" width="9.140625" style="324"/>
    <col min="15611" max="15611" width="13.7109375" style="324" bestFit="1" customWidth="1"/>
    <col min="15612" max="15612" width="15.42578125" style="324" bestFit="1" customWidth="1"/>
    <col min="15613" max="15613" width="17.28515625" style="324" customWidth="1"/>
    <col min="15614" max="15614" width="25" style="324" bestFit="1" customWidth="1"/>
    <col min="15615" max="15616" width="14.85546875" style="324" bestFit="1" customWidth="1"/>
    <col min="15617" max="15617" width="16.140625" style="324" customWidth="1"/>
    <col min="15618" max="15618" width="12.85546875" style="324" bestFit="1" customWidth="1"/>
    <col min="15619" max="15619" width="19.140625" style="324" bestFit="1" customWidth="1"/>
    <col min="15620" max="15866" width="9.140625" style="324"/>
    <col min="15867" max="15867" width="13.7109375" style="324" bestFit="1" customWidth="1"/>
    <col min="15868" max="15868" width="15.42578125" style="324" bestFit="1" customWidth="1"/>
    <col min="15869" max="15869" width="17.28515625" style="324" customWidth="1"/>
    <col min="15870" max="15870" width="25" style="324" bestFit="1" customWidth="1"/>
    <col min="15871" max="15872" width="14.85546875" style="324" bestFit="1" customWidth="1"/>
    <col min="15873" max="15873" width="16.140625" style="324" customWidth="1"/>
    <col min="15874" max="15874" width="12.85546875" style="324" bestFit="1" customWidth="1"/>
    <col min="15875" max="15875" width="19.140625" style="324" bestFit="1" customWidth="1"/>
    <col min="15876" max="16122" width="9.140625" style="324"/>
    <col min="16123" max="16123" width="13.7109375" style="324" bestFit="1" customWidth="1"/>
    <col min="16124" max="16124" width="15.42578125" style="324" bestFit="1" customWidth="1"/>
    <col min="16125" max="16125" width="17.28515625" style="324" customWidth="1"/>
    <col min="16126" max="16126" width="25" style="324" bestFit="1" customWidth="1"/>
    <col min="16127" max="16128" width="14.85546875" style="324" bestFit="1" customWidth="1"/>
    <col min="16129" max="16129" width="16.140625" style="324" customWidth="1"/>
    <col min="16130" max="16130" width="12.85546875" style="324" bestFit="1" customWidth="1"/>
    <col min="16131" max="16131" width="19.140625" style="324" bestFit="1" customWidth="1"/>
    <col min="16132" max="16384" width="9.140625" style="324"/>
  </cols>
  <sheetData>
    <row r="1" spans="1:3" x14ac:dyDescent="0.25">
      <c r="A1" s="324" t="s">
        <v>891</v>
      </c>
      <c r="C1" s="326" t="s">
        <v>1377</v>
      </c>
    </row>
    <row r="2" spans="1:3" x14ac:dyDescent="0.25">
      <c r="A2" s="324" t="s">
        <v>927</v>
      </c>
    </row>
    <row r="4" spans="1:3" x14ac:dyDescent="0.25">
      <c r="A4" s="324" t="s">
        <v>913</v>
      </c>
    </row>
    <row r="6" spans="1:3" s="325" customFormat="1" x14ac:dyDescent="0.25">
      <c r="A6" s="328" t="s">
        <v>914</v>
      </c>
      <c r="B6" s="328" t="s">
        <v>915</v>
      </c>
      <c r="C6" s="329" t="s">
        <v>917</v>
      </c>
    </row>
    <row r="7" spans="1:3" x14ac:dyDescent="0.25">
      <c r="A7" s="339" t="s">
        <v>928</v>
      </c>
      <c r="B7" s="328"/>
      <c r="C7" s="338"/>
    </row>
    <row r="8" spans="1:3" x14ac:dyDescent="0.25">
      <c r="A8" s="668" t="s">
        <v>919</v>
      </c>
      <c r="B8" s="340" t="s">
        <v>929</v>
      </c>
      <c r="C8" s="338">
        <v>40000</v>
      </c>
    </row>
    <row r="9" spans="1:3" x14ac:dyDescent="0.25">
      <c r="A9" s="669"/>
      <c r="B9" s="340" t="s">
        <v>930</v>
      </c>
      <c r="C9" s="338">
        <v>6145</v>
      </c>
    </row>
    <row r="10" spans="1:3" x14ac:dyDescent="0.25">
      <c r="A10" s="669"/>
      <c r="B10" s="340" t="s">
        <v>931</v>
      </c>
      <c r="C10" s="338">
        <v>200</v>
      </c>
    </row>
    <row r="11" spans="1:3" x14ac:dyDescent="0.25">
      <c r="A11" s="669"/>
      <c r="B11" s="340" t="s">
        <v>932</v>
      </c>
      <c r="C11" s="338">
        <v>150</v>
      </c>
    </row>
    <row r="12" spans="1:3" x14ac:dyDescent="0.25">
      <c r="A12" s="670"/>
      <c r="B12" s="340" t="s">
        <v>933</v>
      </c>
      <c r="C12" s="338">
        <v>11</v>
      </c>
    </row>
    <row r="13" spans="1:3" x14ac:dyDescent="0.25">
      <c r="A13" s="332" t="s">
        <v>920</v>
      </c>
      <c r="B13" s="340" t="s">
        <v>934</v>
      </c>
      <c r="C13" s="338">
        <v>30000</v>
      </c>
    </row>
    <row r="14" spans="1:3" s="325" customFormat="1" x14ac:dyDescent="0.25">
      <c r="A14" s="328" t="s">
        <v>935</v>
      </c>
      <c r="B14" s="341" t="s">
        <v>936</v>
      </c>
      <c r="C14" s="342">
        <v>750</v>
      </c>
    </row>
    <row r="15" spans="1:3" x14ac:dyDescent="0.25">
      <c r="A15" s="328" t="s">
        <v>922</v>
      </c>
      <c r="B15" s="340" t="s">
        <v>937</v>
      </c>
      <c r="C15" s="338">
        <v>750</v>
      </c>
    </row>
    <row r="16" spans="1:3" x14ac:dyDescent="0.25">
      <c r="A16" s="328" t="s">
        <v>938</v>
      </c>
      <c r="B16" s="340" t="s">
        <v>939</v>
      </c>
      <c r="C16" s="338">
        <v>100</v>
      </c>
    </row>
    <row r="17" spans="1:3" x14ac:dyDescent="0.25">
      <c r="A17" s="328" t="s">
        <v>940</v>
      </c>
      <c r="B17" s="340" t="s">
        <v>941</v>
      </c>
      <c r="C17" s="338">
        <v>50000</v>
      </c>
    </row>
    <row r="18" spans="1:3" x14ac:dyDescent="0.25">
      <c r="A18" s="671" t="s">
        <v>942</v>
      </c>
      <c r="B18" s="340" t="s">
        <v>943</v>
      </c>
      <c r="C18" s="338">
        <v>20000</v>
      </c>
    </row>
    <row r="19" spans="1:3" x14ac:dyDescent="0.25">
      <c r="A19" s="671"/>
      <c r="B19" s="340" t="s">
        <v>944</v>
      </c>
      <c r="C19" s="338">
        <v>2800</v>
      </c>
    </row>
    <row r="20" spans="1:3" x14ac:dyDescent="0.25">
      <c r="A20" s="333"/>
      <c r="B20" s="333" t="s">
        <v>945</v>
      </c>
      <c r="C20" s="336">
        <f>SUM(C8:C19)</f>
        <v>150906</v>
      </c>
    </row>
    <row r="21" spans="1:3" x14ac:dyDescent="0.25">
      <c r="A21" s="340" t="s">
        <v>946</v>
      </c>
      <c r="B21" s="328"/>
      <c r="C21" s="338"/>
    </row>
    <row r="22" spans="1:3" x14ac:dyDescent="0.25">
      <c r="A22" s="667" t="s">
        <v>919</v>
      </c>
      <c r="B22" s="343" t="s">
        <v>947</v>
      </c>
      <c r="C22" s="338">
        <v>2564</v>
      </c>
    </row>
    <row r="23" spans="1:3" x14ac:dyDescent="0.25">
      <c r="A23" s="667"/>
      <c r="B23" s="343" t="s">
        <v>948</v>
      </c>
      <c r="C23" s="338">
        <v>2995</v>
      </c>
    </row>
    <row r="24" spans="1:3" x14ac:dyDescent="0.25">
      <c r="A24" s="667"/>
      <c r="B24" s="343" t="s">
        <v>949</v>
      </c>
      <c r="C24" s="338">
        <v>1515</v>
      </c>
    </row>
    <row r="25" spans="1:3" x14ac:dyDescent="0.25">
      <c r="A25" s="667"/>
      <c r="B25" s="343" t="s">
        <v>950</v>
      </c>
      <c r="C25" s="338">
        <v>2256</v>
      </c>
    </row>
    <row r="26" spans="1:3" x14ac:dyDescent="0.25">
      <c r="A26" s="667"/>
      <c r="B26" s="343" t="s">
        <v>951</v>
      </c>
      <c r="C26" s="338">
        <v>1995</v>
      </c>
    </row>
    <row r="27" spans="1:3" x14ac:dyDescent="0.25">
      <c r="A27" s="667"/>
      <c r="B27" s="343" t="s">
        <v>952</v>
      </c>
      <c r="C27" s="338">
        <v>2258</v>
      </c>
    </row>
    <row r="28" spans="1:3" x14ac:dyDescent="0.25">
      <c r="A28" s="667"/>
      <c r="B28" s="343" t="s">
        <v>953</v>
      </c>
      <c r="C28" s="338">
        <v>2250</v>
      </c>
    </row>
    <row r="29" spans="1:3" x14ac:dyDescent="0.25">
      <c r="A29" s="667"/>
      <c r="B29" s="343" t="s">
        <v>954</v>
      </c>
      <c r="C29" s="338">
        <v>2251</v>
      </c>
    </row>
    <row r="30" spans="1:3" x14ac:dyDescent="0.25">
      <c r="A30" s="667"/>
      <c r="B30" s="343" t="s">
        <v>955</v>
      </c>
      <c r="C30" s="338">
        <v>27812.959999999999</v>
      </c>
    </row>
    <row r="31" spans="1:3" x14ac:dyDescent="0.25">
      <c r="A31" s="667"/>
      <c r="B31" s="343" t="s">
        <v>956</v>
      </c>
      <c r="C31" s="338">
        <v>6855</v>
      </c>
    </row>
    <row r="32" spans="1:3" x14ac:dyDescent="0.25">
      <c r="A32" s="667"/>
      <c r="B32" s="343" t="s">
        <v>957</v>
      </c>
      <c r="C32" s="338">
        <v>20000</v>
      </c>
    </row>
    <row r="33" spans="1:4" x14ac:dyDescent="0.25">
      <c r="A33" s="667"/>
      <c r="B33" s="343" t="s">
        <v>958</v>
      </c>
      <c r="C33" s="338">
        <v>46579.98</v>
      </c>
    </row>
    <row r="34" spans="1:4" x14ac:dyDescent="0.25">
      <c r="A34" s="667" t="s">
        <v>921</v>
      </c>
      <c r="B34" s="343" t="s">
        <v>959</v>
      </c>
      <c r="C34" s="338">
        <v>3000</v>
      </c>
      <c r="D34" s="344"/>
    </row>
    <row r="35" spans="1:4" x14ac:dyDescent="0.25">
      <c r="A35" s="667"/>
      <c r="B35" s="343" t="s">
        <v>960</v>
      </c>
      <c r="C35" s="338">
        <v>246277.89</v>
      </c>
      <c r="D35" s="344"/>
    </row>
    <row r="36" spans="1:4" x14ac:dyDescent="0.25">
      <c r="A36" s="667" t="s">
        <v>920</v>
      </c>
      <c r="B36" s="343" t="s">
        <v>961</v>
      </c>
      <c r="C36" s="338">
        <v>1800</v>
      </c>
      <c r="D36" s="344"/>
    </row>
    <row r="37" spans="1:4" x14ac:dyDescent="0.25">
      <c r="A37" s="667"/>
      <c r="B37" s="343" t="s">
        <v>962</v>
      </c>
      <c r="C37" s="338">
        <v>81000</v>
      </c>
      <c r="D37" s="344"/>
    </row>
    <row r="38" spans="1:4" x14ac:dyDescent="0.25">
      <c r="A38" s="667" t="s">
        <v>935</v>
      </c>
      <c r="B38" s="343" t="s">
        <v>963</v>
      </c>
      <c r="C38" s="338">
        <v>1800</v>
      </c>
      <c r="D38" s="344"/>
    </row>
    <row r="39" spans="1:4" x14ac:dyDescent="0.25">
      <c r="A39" s="667"/>
      <c r="B39" s="343" t="s">
        <v>964</v>
      </c>
      <c r="C39" s="338">
        <v>1800</v>
      </c>
      <c r="D39" s="344"/>
    </row>
    <row r="40" spans="1:4" x14ac:dyDescent="0.25">
      <c r="A40" s="328" t="s">
        <v>922</v>
      </c>
      <c r="B40" s="343" t="s">
        <v>965</v>
      </c>
      <c r="C40" s="338">
        <v>1800</v>
      </c>
      <c r="D40" s="344"/>
    </row>
    <row r="41" spans="1:4" x14ac:dyDescent="0.25">
      <c r="A41" s="667" t="s">
        <v>923</v>
      </c>
      <c r="B41" s="343" t="s">
        <v>966</v>
      </c>
      <c r="C41" s="338">
        <v>1080</v>
      </c>
      <c r="D41" s="344"/>
    </row>
    <row r="42" spans="1:4" x14ac:dyDescent="0.25">
      <c r="A42" s="667"/>
      <c r="B42" s="343" t="s">
        <v>967</v>
      </c>
      <c r="C42" s="338">
        <v>3000</v>
      </c>
      <c r="D42" s="344"/>
    </row>
    <row r="43" spans="1:4" x14ac:dyDescent="0.25">
      <c r="A43" s="667" t="s">
        <v>924</v>
      </c>
      <c r="B43" s="343" t="s">
        <v>968</v>
      </c>
      <c r="C43" s="338">
        <v>1800</v>
      </c>
      <c r="D43" s="344"/>
    </row>
    <row r="44" spans="1:4" x14ac:dyDescent="0.25">
      <c r="A44" s="667"/>
      <c r="B44" s="343" t="s">
        <v>969</v>
      </c>
      <c r="C44" s="338">
        <v>1800</v>
      </c>
      <c r="D44" s="344"/>
    </row>
    <row r="45" spans="1:4" x14ac:dyDescent="0.25">
      <c r="A45" s="345" t="s">
        <v>925</v>
      </c>
      <c r="B45" s="343" t="s">
        <v>970</v>
      </c>
      <c r="C45" s="338">
        <v>1800</v>
      </c>
      <c r="D45" s="344"/>
    </row>
    <row r="46" spans="1:4" x14ac:dyDescent="0.25">
      <c r="A46" s="328" t="s">
        <v>971</v>
      </c>
      <c r="B46" s="343" t="s">
        <v>972</v>
      </c>
      <c r="C46" s="338">
        <v>600</v>
      </c>
      <c r="D46" s="344"/>
    </row>
    <row r="47" spans="1:4" x14ac:dyDescent="0.25">
      <c r="A47" s="328" t="s">
        <v>942</v>
      </c>
      <c r="B47" s="343" t="s">
        <v>973</v>
      </c>
      <c r="C47" s="338">
        <v>600</v>
      </c>
      <c r="D47" s="344"/>
    </row>
    <row r="48" spans="1:4" x14ac:dyDescent="0.25">
      <c r="A48" s="333"/>
      <c r="B48" s="346" t="s">
        <v>945</v>
      </c>
      <c r="C48" s="336">
        <f>SUM(C22:C47)</f>
        <v>467489.83</v>
      </c>
    </row>
    <row r="49" spans="1:4" x14ac:dyDescent="0.25">
      <c r="A49" s="339" t="s">
        <v>974</v>
      </c>
      <c r="B49" s="328"/>
      <c r="C49" s="338"/>
    </row>
    <row r="50" spans="1:4" ht="45" x14ac:dyDescent="0.25">
      <c r="A50" s="667" t="s">
        <v>919</v>
      </c>
      <c r="B50" s="343" t="s">
        <v>975</v>
      </c>
      <c r="C50" s="338">
        <v>39551.879999999997</v>
      </c>
      <c r="D50" s="344"/>
    </row>
    <row r="51" spans="1:4" ht="30" x14ac:dyDescent="0.25">
      <c r="A51" s="667"/>
      <c r="B51" s="343" t="s">
        <v>976</v>
      </c>
      <c r="C51" s="338">
        <v>30000</v>
      </c>
      <c r="D51" s="344"/>
    </row>
    <row r="52" spans="1:4" ht="30" x14ac:dyDescent="0.25">
      <c r="A52" s="667"/>
      <c r="B52" s="343" t="s">
        <v>977</v>
      </c>
      <c r="C52" s="338">
        <v>20</v>
      </c>
      <c r="D52" s="344"/>
    </row>
    <row r="53" spans="1:4" ht="30" x14ac:dyDescent="0.25">
      <c r="A53" s="667"/>
      <c r="B53" s="343" t="s">
        <v>978</v>
      </c>
      <c r="C53" s="338">
        <v>0.08</v>
      </c>
      <c r="D53" s="344"/>
    </row>
    <row r="54" spans="1:4" ht="30" x14ac:dyDescent="0.25">
      <c r="A54" s="667"/>
      <c r="B54" s="343" t="s">
        <v>979</v>
      </c>
      <c r="C54" s="338">
        <v>0.61</v>
      </c>
      <c r="D54" s="344"/>
    </row>
    <row r="55" spans="1:4" x14ac:dyDescent="0.25">
      <c r="A55" s="333"/>
      <c r="B55" s="333" t="s">
        <v>945</v>
      </c>
      <c r="C55" s="336">
        <f>SUM(C50:C54)</f>
        <v>69572.570000000007</v>
      </c>
    </row>
    <row r="56" spans="1:4" x14ac:dyDescent="0.25">
      <c r="A56" s="339" t="s">
        <v>980</v>
      </c>
      <c r="B56" s="328"/>
      <c r="C56" s="338"/>
    </row>
    <row r="57" spans="1:4" x14ac:dyDescent="0.25">
      <c r="A57" s="667" t="s">
        <v>921</v>
      </c>
      <c r="B57" s="343" t="s">
        <v>981</v>
      </c>
      <c r="C57" s="338">
        <v>0.28000000000000003</v>
      </c>
    </row>
    <row r="58" spans="1:4" x14ac:dyDescent="0.25">
      <c r="A58" s="667"/>
      <c r="B58" s="343" t="s">
        <v>982</v>
      </c>
      <c r="C58" s="338">
        <v>269103.27</v>
      </c>
    </row>
    <row r="59" spans="1:4" x14ac:dyDescent="0.25">
      <c r="A59" s="667"/>
      <c r="B59" s="343" t="s">
        <v>983</v>
      </c>
      <c r="C59" s="338">
        <v>720820.62</v>
      </c>
    </row>
    <row r="60" spans="1:4" x14ac:dyDescent="0.25">
      <c r="A60" s="328" t="s">
        <v>984</v>
      </c>
      <c r="B60" s="343" t="s">
        <v>985</v>
      </c>
      <c r="C60" s="338">
        <v>10</v>
      </c>
    </row>
    <row r="61" spans="1:4" x14ac:dyDescent="0.25">
      <c r="A61" s="340" t="s">
        <v>919</v>
      </c>
      <c r="B61" s="341" t="s">
        <v>986</v>
      </c>
      <c r="C61" s="338">
        <v>39156.480000000003</v>
      </c>
    </row>
    <row r="62" spans="1:4" x14ac:dyDescent="0.25">
      <c r="A62" s="333"/>
      <c r="B62" s="333" t="s">
        <v>945</v>
      </c>
      <c r="C62" s="336">
        <f>SUM(C57:C61)</f>
        <v>1029090.65</v>
      </c>
    </row>
    <row r="63" spans="1:4" x14ac:dyDescent="0.25">
      <c r="A63" s="340"/>
      <c r="B63" s="328"/>
      <c r="C63" s="338"/>
    </row>
    <row r="64" spans="1:4" x14ac:dyDescent="0.25">
      <c r="A64" s="339" t="s">
        <v>987</v>
      </c>
      <c r="B64" s="341"/>
      <c r="C64" s="338"/>
    </row>
    <row r="65" spans="1:4" x14ac:dyDescent="0.25">
      <c r="A65" s="672" t="s">
        <v>942</v>
      </c>
      <c r="B65" s="341" t="s">
        <v>988</v>
      </c>
      <c r="C65" s="338">
        <v>400</v>
      </c>
      <c r="D65" s="344"/>
    </row>
    <row r="66" spans="1:4" x14ac:dyDescent="0.25">
      <c r="A66" s="672"/>
      <c r="B66" s="341" t="s">
        <v>989</v>
      </c>
      <c r="C66" s="338">
        <v>200</v>
      </c>
      <c r="D66" s="344"/>
    </row>
    <row r="67" spans="1:4" x14ac:dyDescent="0.25">
      <c r="A67" s="672"/>
      <c r="B67" s="341" t="s">
        <v>990</v>
      </c>
      <c r="C67" s="338">
        <v>200</v>
      </c>
      <c r="D67" s="344"/>
    </row>
    <row r="68" spans="1:4" x14ac:dyDescent="0.25">
      <c r="A68" s="672"/>
      <c r="B68" s="341" t="s">
        <v>991</v>
      </c>
      <c r="C68" s="338">
        <v>200</v>
      </c>
      <c r="D68" s="344"/>
    </row>
    <row r="69" spans="1:4" x14ac:dyDescent="0.25">
      <c r="A69" s="672"/>
      <c r="B69" s="341" t="s">
        <v>992</v>
      </c>
      <c r="C69" s="338">
        <v>200</v>
      </c>
      <c r="D69" s="344"/>
    </row>
    <row r="70" spans="1:4" x14ac:dyDescent="0.25">
      <c r="A70" s="672"/>
      <c r="B70" s="341" t="s">
        <v>993</v>
      </c>
      <c r="C70" s="338">
        <v>200</v>
      </c>
      <c r="D70" s="344"/>
    </row>
    <row r="71" spans="1:4" x14ac:dyDescent="0.25">
      <c r="A71" s="672"/>
      <c r="B71" s="341" t="s">
        <v>994</v>
      </c>
      <c r="C71" s="338">
        <v>200</v>
      </c>
      <c r="D71" s="344"/>
    </row>
    <row r="72" spans="1:4" x14ac:dyDescent="0.25">
      <c r="A72" s="672"/>
      <c r="B72" s="341" t="s">
        <v>995</v>
      </c>
      <c r="C72" s="338">
        <v>200</v>
      </c>
      <c r="D72" s="344"/>
    </row>
    <row r="73" spans="1:4" x14ac:dyDescent="0.25">
      <c r="A73" s="672"/>
      <c r="B73" s="341" t="s">
        <v>996</v>
      </c>
      <c r="C73" s="338">
        <v>200</v>
      </c>
      <c r="D73" s="344"/>
    </row>
    <row r="74" spans="1:4" x14ac:dyDescent="0.25">
      <c r="A74" s="672"/>
      <c r="B74" s="341" t="s">
        <v>997</v>
      </c>
      <c r="C74" s="338">
        <v>200</v>
      </c>
      <c r="D74" s="344"/>
    </row>
    <row r="75" spans="1:4" x14ac:dyDescent="0.25">
      <c r="A75" s="672"/>
      <c r="B75" s="341" t="s">
        <v>998</v>
      </c>
      <c r="C75" s="338">
        <v>200</v>
      </c>
      <c r="D75" s="344"/>
    </row>
    <row r="76" spans="1:4" x14ac:dyDescent="0.25">
      <c r="A76" s="672"/>
      <c r="B76" s="341" t="s">
        <v>999</v>
      </c>
      <c r="C76" s="338">
        <v>200</v>
      </c>
      <c r="D76" s="344"/>
    </row>
    <row r="77" spans="1:4" x14ac:dyDescent="0.25">
      <c r="A77" s="672"/>
      <c r="B77" s="341" t="s">
        <v>1000</v>
      </c>
      <c r="C77" s="338">
        <v>200</v>
      </c>
      <c r="D77" s="344"/>
    </row>
    <row r="78" spans="1:4" x14ac:dyDescent="0.25">
      <c r="A78" s="672"/>
      <c r="B78" s="341" t="s">
        <v>1001</v>
      </c>
      <c r="C78" s="338">
        <v>3.84</v>
      </c>
      <c r="D78" s="344"/>
    </row>
    <row r="79" spans="1:4" x14ac:dyDescent="0.25">
      <c r="A79" s="672"/>
      <c r="B79" s="341" t="s">
        <v>1002</v>
      </c>
      <c r="C79" s="338">
        <v>3.75</v>
      </c>
      <c r="D79" s="344"/>
    </row>
    <row r="80" spans="1:4" x14ac:dyDescent="0.25">
      <c r="A80" s="672"/>
      <c r="B80" s="341" t="s">
        <v>1003</v>
      </c>
      <c r="C80" s="338">
        <v>3.79</v>
      </c>
      <c r="D80" s="344"/>
    </row>
    <row r="81" spans="1:4" x14ac:dyDescent="0.25">
      <c r="A81" s="672"/>
      <c r="B81" s="341" t="s">
        <v>1004</v>
      </c>
      <c r="C81" s="338">
        <v>3.83</v>
      </c>
      <c r="D81" s="344"/>
    </row>
    <row r="82" spans="1:4" x14ac:dyDescent="0.25">
      <c r="A82" s="672"/>
      <c r="B82" s="341" t="s">
        <v>1005</v>
      </c>
      <c r="C82" s="338">
        <v>0.77</v>
      </c>
      <c r="D82" s="344"/>
    </row>
    <row r="83" spans="1:4" x14ac:dyDescent="0.25">
      <c r="A83" s="672"/>
      <c r="B83" s="341" t="s">
        <v>1006</v>
      </c>
      <c r="C83" s="338">
        <v>0.75</v>
      </c>
      <c r="D83" s="344"/>
    </row>
    <row r="84" spans="1:4" x14ac:dyDescent="0.25">
      <c r="A84" s="672"/>
      <c r="B84" s="341" t="s">
        <v>1007</v>
      </c>
      <c r="C84" s="338">
        <v>0.76</v>
      </c>
      <c r="D84" s="344"/>
    </row>
    <row r="85" spans="1:4" x14ac:dyDescent="0.25">
      <c r="A85" s="672"/>
      <c r="B85" s="341" t="s">
        <v>1008</v>
      </c>
      <c r="C85" s="338">
        <v>0.77</v>
      </c>
      <c r="D85" s="344"/>
    </row>
    <row r="86" spans="1:4" s="348" customFormat="1" ht="14.25" x14ac:dyDescent="0.2">
      <c r="A86" s="339"/>
      <c r="B86" s="333" t="s">
        <v>945</v>
      </c>
      <c r="C86" s="347">
        <f>SUM(C65:C85)</f>
        <v>2818.26</v>
      </c>
    </row>
    <row r="87" spans="1:4" x14ac:dyDescent="0.25">
      <c r="A87" s="340"/>
      <c r="B87" s="328"/>
      <c r="C87" s="338"/>
    </row>
    <row r="88" spans="1:4" s="348" customFormat="1" ht="14.25" x14ac:dyDescent="0.2">
      <c r="A88" s="339"/>
      <c r="B88" s="330" t="s">
        <v>1009</v>
      </c>
      <c r="C88" s="347">
        <f>C20+C48+C55+C62+C86</f>
        <v>1719877.3100000003</v>
      </c>
    </row>
  </sheetData>
  <sheetProtection algorithmName="SHA-512" hashValue="xC7TBLE9V6DM9B+C3qiXwc2xYLHqbjmob+jNxSHRdGTTw6eSvUFwRWmLUT1uzPkd6zwrj6LFon9IbSQ1TW1eHw==" saltValue="NeemEj9QWQ99C2HHyopxIw==" spinCount="100000" sheet="1" objects="1" scenarios="1" selectLockedCells="1" selectUnlockedCells="1"/>
  <mergeCells count="11">
    <mergeCell ref="A41:A42"/>
    <mergeCell ref="A43:A44"/>
    <mergeCell ref="A50:A54"/>
    <mergeCell ref="A57:A59"/>
    <mergeCell ref="A65:A85"/>
    <mergeCell ref="A38:A39"/>
    <mergeCell ref="A8:A12"/>
    <mergeCell ref="A18:A19"/>
    <mergeCell ref="A22:A33"/>
    <mergeCell ref="A34:A35"/>
    <mergeCell ref="A36:A37"/>
  </mergeCells>
  <pageMargins left="1.2204724409448819" right="0.70866141732283472" top="0.74803149606299213" bottom="0.64" header="0.31496062992125984" footer="0.31496062992125984"/>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893"/>
  <sheetViews>
    <sheetView zoomScaleNormal="100" workbookViewId="0"/>
  </sheetViews>
  <sheetFormatPr defaultRowHeight="15" x14ac:dyDescent="0.25"/>
  <cols>
    <col min="7" max="7" width="11.42578125" customWidth="1"/>
    <col min="10" max="10" width="12.28515625" customWidth="1"/>
    <col min="12" max="12" width="11.85546875" customWidth="1"/>
  </cols>
  <sheetData>
    <row r="1" spans="1:13" x14ac:dyDescent="0.25">
      <c r="A1" s="379" t="s">
        <v>1217</v>
      </c>
      <c r="B1" s="378"/>
      <c r="C1" s="378"/>
      <c r="D1" s="378"/>
      <c r="E1" s="378"/>
      <c r="F1" s="378"/>
      <c r="G1" s="378"/>
      <c r="H1" s="378"/>
      <c r="I1" s="378"/>
      <c r="J1" s="378"/>
      <c r="K1" s="378"/>
      <c r="L1" s="378"/>
      <c r="M1" s="476" t="s">
        <v>1346</v>
      </c>
    </row>
    <row r="2" spans="1:13" x14ac:dyDescent="0.25">
      <c r="A2" s="379" t="s">
        <v>1218</v>
      </c>
      <c r="B2" s="378"/>
      <c r="C2" s="378"/>
      <c r="D2" s="378"/>
      <c r="E2" s="378"/>
      <c r="F2" s="378"/>
      <c r="G2" s="378"/>
      <c r="H2" s="378"/>
      <c r="I2" s="378"/>
      <c r="J2" s="378"/>
      <c r="K2" s="378"/>
      <c r="L2" s="378"/>
      <c r="M2" s="378"/>
    </row>
    <row r="3" spans="1:13" x14ac:dyDescent="0.25">
      <c r="A3" s="379"/>
      <c r="B3" s="379"/>
      <c r="C3" s="379"/>
      <c r="D3" s="379"/>
      <c r="E3" s="679" t="s">
        <v>1219</v>
      </c>
      <c r="F3" s="679"/>
      <c r="G3" s="679"/>
      <c r="H3" s="680" t="s">
        <v>1220</v>
      </c>
      <c r="I3" s="681"/>
      <c r="J3" s="681"/>
      <c r="K3" s="681"/>
      <c r="L3" s="682"/>
      <c r="M3" s="683" t="s">
        <v>1221</v>
      </c>
    </row>
    <row r="4" spans="1:13" x14ac:dyDescent="0.25">
      <c r="A4" s="379"/>
      <c r="B4" s="379"/>
      <c r="C4" s="379"/>
      <c r="D4" s="379"/>
      <c r="E4" s="685" t="s">
        <v>1222</v>
      </c>
      <c r="F4" s="686"/>
      <c r="G4" s="687"/>
      <c r="H4" s="685" t="s">
        <v>1222</v>
      </c>
      <c r="I4" s="686"/>
      <c r="J4" s="686"/>
      <c r="K4" s="688" t="s">
        <v>1223</v>
      </c>
      <c r="L4" s="688"/>
      <c r="M4" s="684"/>
    </row>
    <row r="5" spans="1:13" x14ac:dyDescent="0.25">
      <c r="A5" s="673" t="s">
        <v>1224</v>
      </c>
      <c r="B5" s="673" t="s">
        <v>1225</v>
      </c>
      <c r="C5" s="675" t="s">
        <v>1226</v>
      </c>
      <c r="D5" s="677" t="s">
        <v>1227</v>
      </c>
      <c r="E5" s="462" t="s">
        <v>1228</v>
      </c>
      <c r="F5" s="463" t="s">
        <v>1229</v>
      </c>
      <c r="G5" s="464" t="s">
        <v>926</v>
      </c>
      <c r="H5" s="462" t="s">
        <v>1228</v>
      </c>
      <c r="I5" s="465" t="s">
        <v>1229</v>
      </c>
      <c r="J5" s="464" t="s">
        <v>926</v>
      </c>
      <c r="K5" s="466" t="s">
        <v>1228</v>
      </c>
      <c r="L5" s="467" t="s">
        <v>926</v>
      </c>
      <c r="M5" s="684"/>
    </row>
    <row r="6" spans="1:13" x14ac:dyDescent="0.25">
      <c r="A6" s="674"/>
      <c r="B6" s="674"/>
      <c r="C6" s="676"/>
      <c r="D6" s="678"/>
      <c r="E6" s="468" t="s">
        <v>1230</v>
      </c>
      <c r="F6" s="469" t="s">
        <v>1231</v>
      </c>
      <c r="G6" s="467" t="s">
        <v>1232</v>
      </c>
      <c r="H6" s="468" t="s">
        <v>1230</v>
      </c>
      <c r="I6" s="470" t="s">
        <v>1231</v>
      </c>
      <c r="J6" s="467" t="s">
        <v>1232</v>
      </c>
      <c r="K6" s="463" t="s">
        <v>1233</v>
      </c>
      <c r="L6" s="463" t="s">
        <v>1234</v>
      </c>
      <c r="M6" s="684"/>
    </row>
    <row r="7" spans="1:13" x14ac:dyDescent="0.25">
      <c r="A7" s="380" t="s">
        <v>1235</v>
      </c>
      <c r="B7" s="381"/>
      <c r="C7" s="382"/>
      <c r="D7" s="383"/>
      <c r="E7" s="381"/>
      <c r="F7" s="381"/>
      <c r="G7" s="381"/>
      <c r="H7" s="381"/>
      <c r="I7" s="471"/>
      <c r="J7" s="381"/>
      <c r="K7" s="381"/>
      <c r="L7" s="381"/>
      <c r="M7" s="384"/>
    </row>
    <row r="8" spans="1:13" x14ac:dyDescent="0.25">
      <c r="A8" s="385">
        <v>44266</v>
      </c>
      <c r="B8" s="386" t="s">
        <v>1236</v>
      </c>
      <c r="C8" s="387" t="s">
        <v>1237</v>
      </c>
      <c r="D8" s="388" t="s">
        <v>1238</v>
      </c>
      <c r="E8" s="389">
        <v>22</v>
      </c>
      <c r="F8" s="390">
        <v>1942.8</v>
      </c>
      <c r="G8" s="391">
        <v>42741.599999999999</v>
      </c>
      <c r="H8" s="392">
        <v>22</v>
      </c>
      <c r="I8" s="393">
        <v>1942.8</v>
      </c>
      <c r="J8" s="394">
        <v>42741.599999999999</v>
      </c>
      <c r="K8" s="394"/>
      <c r="L8" s="395">
        <v>0</v>
      </c>
      <c r="M8" s="396"/>
    </row>
    <row r="9" spans="1:13" ht="135.75" x14ac:dyDescent="0.25">
      <c r="A9" s="398">
        <v>44266</v>
      </c>
      <c r="B9" s="399" t="s">
        <v>1236</v>
      </c>
      <c r="C9" s="400" t="s">
        <v>1239</v>
      </c>
      <c r="D9" s="388" t="s">
        <v>1238</v>
      </c>
      <c r="E9" s="402"/>
      <c r="F9" s="403"/>
      <c r="G9" s="404"/>
      <c r="H9" s="405">
        <v>600</v>
      </c>
      <c r="I9" s="406">
        <v>714.37</v>
      </c>
      <c r="J9" s="407">
        <v>428622</v>
      </c>
      <c r="K9" s="407"/>
      <c r="L9" s="395">
        <v>0</v>
      </c>
      <c r="M9" s="408" t="s">
        <v>1240</v>
      </c>
    </row>
    <row r="10" spans="1:13" x14ac:dyDescent="0.25">
      <c r="A10" s="398">
        <v>44271</v>
      </c>
      <c r="B10" s="399" t="s">
        <v>1241</v>
      </c>
      <c r="C10" s="400" t="s">
        <v>1239</v>
      </c>
      <c r="D10" s="388" t="s">
        <v>1238</v>
      </c>
      <c r="E10" s="399">
        <v>64</v>
      </c>
      <c r="F10" s="403">
        <v>714.37</v>
      </c>
      <c r="G10" s="404">
        <v>45719.68</v>
      </c>
      <c r="H10" s="405">
        <v>64</v>
      </c>
      <c r="I10" s="406">
        <v>714.37</v>
      </c>
      <c r="J10" s="407">
        <v>45719.68</v>
      </c>
      <c r="K10" s="407"/>
      <c r="L10" s="395">
        <v>0</v>
      </c>
      <c r="M10" s="408"/>
    </row>
    <row r="11" spans="1:13" x14ac:dyDescent="0.25">
      <c r="A11" s="398">
        <v>44277</v>
      </c>
      <c r="B11" s="399" t="s">
        <v>1242</v>
      </c>
      <c r="C11" s="400" t="s">
        <v>1237</v>
      </c>
      <c r="D11" s="388" t="s">
        <v>1238</v>
      </c>
      <c r="E11" s="399">
        <v>70</v>
      </c>
      <c r="F11" s="403">
        <v>1942.8</v>
      </c>
      <c r="G11" s="404">
        <v>135996</v>
      </c>
      <c r="H11" s="405">
        <v>70</v>
      </c>
      <c r="I11" s="406">
        <v>1942.8</v>
      </c>
      <c r="J11" s="407">
        <v>135996</v>
      </c>
      <c r="K11" s="407"/>
      <c r="L11" s="395">
        <v>0</v>
      </c>
      <c r="M11" s="408"/>
    </row>
    <row r="12" spans="1:13" x14ac:dyDescent="0.25">
      <c r="A12" s="398">
        <v>44292</v>
      </c>
      <c r="B12" s="399" t="s">
        <v>1243</v>
      </c>
      <c r="C12" s="400" t="s">
        <v>1239</v>
      </c>
      <c r="D12" s="388" t="s">
        <v>1238</v>
      </c>
      <c r="E12" s="399">
        <v>150</v>
      </c>
      <c r="F12" s="403">
        <v>715.55</v>
      </c>
      <c r="G12" s="404">
        <v>107332.5</v>
      </c>
      <c r="H12" s="405">
        <v>150</v>
      </c>
      <c r="I12" s="406">
        <v>715.55</v>
      </c>
      <c r="J12" s="407">
        <v>107332.5</v>
      </c>
      <c r="K12" s="407"/>
      <c r="L12" s="395">
        <v>0</v>
      </c>
      <c r="M12" s="408"/>
    </row>
    <row r="13" spans="1:13" x14ac:dyDescent="0.25">
      <c r="A13" s="398">
        <v>44298</v>
      </c>
      <c r="B13" s="399" t="s">
        <v>1244</v>
      </c>
      <c r="C13" s="400" t="s">
        <v>1239</v>
      </c>
      <c r="D13" s="388" t="s">
        <v>1238</v>
      </c>
      <c r="E13" s="402">
        <v>303</v>
      </c>
      <c r="F13" s="403">
        <v>700</v>
      </c>
      <c r="G13" s="404">
        <v>212100</v>
      </c>
      <c r="H13" s="405">
        <v>303</v>
      </c>
      <c r="I13" s="406">
        <v>700</v>
      </c>
      <c r="J13" s="407">
        <v>212100</v>
      </c>
      <c r="K13" s="407"/>
      <c r="L13" s="395">
        <v>0</v>
      </c>
      <c r="M13" s="408"/>
    </row>
    <row r="14" spans="1:13" x14ac:dyDescent="0.25">
      <c r="A14" s="398">
        <v>44306</v>
      </c>
      <c r="B14" s="399" t="s">
        <v>1245</v>
      </c>
      <c r="C14" s="400" t="s">
        <v>1239</v>
      </c>
      <c r="D14" s="388" t="s">
        <v>1238</v>
      </c>
      <c r="E14" s="399">
        <v>527</v>
      </c>
      <c r="F14" s="406">
        <v>683.2</v>
      </c>
      <c r="G14" s="404">
        <v>360046.4</v>
      </c>
      <c r="H14" s="405">
        <v>527</v>
      </c>
      <c r="I14" s="406">
        <v>683.2</v>
      </c>
      <c r="J14" s="407">
        <v>360046.4</v>
      </c>
      <c r="K14" s="407"/>
      <c r="L14" s="395">
        <v>0</v>
      </c>
      <c r="M14" s="408"/>
    </row>
    <row r="15" spans="1:13" x14ac:dyDescent="0.25">
      <c r="A15" s="398">
        <v>44327</v>
      </c>
      <c r="B15" s="399" t="s">
        <v>1246</v>
      </c>
      <c r="C15" s="400" t="s">
        <v>1239</v>
      </c>
      <c r="D15" s="388" t="s">
        <v>1238</v>
      </c>
      <c r="E15" s="399">
        <v>700</v>
      </c>
      <c r="F15" s="406">
        <v>683.2</v>
      </c>
      <c r="G15" s="404">
        <v>478240.00000000006</v>
      </c>
      <c r="H15" s="405">
        <v>700</v>
      </c>
      <c r="I15" s="406">
        <v>683.2</v>
      </c>
      <c r="J15" s="407">
        <v>478240.00000000006</v>
      </c>
      <c r="K15" s="407"/>
      <c r="L15" s="395">
        <v>0</v>
      </c>
      <c r="M15" s="408"/>
    </row>
    <row r="16" spans="1:13" x14ac:dyDescent="0.25">
      <c r="A16" s="398">
        <v>44328</v>
      </c>
      <c r="B16" s="399" t="s">
        <v>1247</v>
      </c>
      <c r="C16" s="410" t="s">
        <v>1237</v>
      </c>
      <c r="D16" s="388" t="s">
        <v>1238</v>
      </c>
      <c r="E16" s="399">
        <v>190</v>
      </c>
      <c r="F16" s="406">
        <v>1911.2</v>
      </c>
      <c r="G16" s="404">
        <v>363128</v>
      </c>
      <c r="H16" s="405">
        <v>190</v>
      </c>
      <c r="I16" s="406">
        <v>1911.2</v>
      </c>
      <c r="J16" s="407">
        <v>363128</v>
      </c>
      <c r="K16" s="407"/>
      <c r="L16" s="395">
        <v>0</v>
      </c>
      <c r="M16" s="408"/>
    </row>
    <row r="17" spans="1:13" x14ac:dyDescent="0.25">
      <c r="A17" s="398">
        <v>44337</v>
      </c>
      <c r="B17" s="399" t="s">
        <v>1248</v>
      </c>
      <c r="C17" s="400" t="s">
        <v>1239</v>
      </c>
      <c r="D17" s="388" t="s">
        <v>1238</v>
      </c>
      <c r="E17" s="402">
        <v>1000</v>
      </c>
      <c r="F17" s="406">
        <v>683.2</v>
      </c>
      <c r="G17" s="404">
        <v>683200</v>
      </c>
      <c r="H17" s="405">
        <v>1000</v>
      </c>
      <c r="I17" s="406">
        <v>683.2</v>
      </c>
      <c r="J17" s="407">
        <v>683200</v>
      </c>
      <c r="K17" s="407"/>
      <c r="L17" s="395">
        <v>0</v>
      </c>
      <c r="M17" s="408"/>
    </row>
    <row r="18" spans="1:13" x14ac:dyDescent="0.25">
      <c r="A18" s="398">
        <v>44337</v>
      </c>
      <c r="B18" s="399" t="s">
        <v>1249</v>
      </c>
      <c r="C18" s="410" t="s">
        <v>1237</v>
      </c>
      <c r="D18" s="388" t="s">
        <v>1238</v>
      </c>
      <c r="E18" s="399">
        <v>200</v>
      </c>
      <c r="F18" s="406">
        <v>1911.2</v>
      </c>
      <c r="G18" s="404">
        <v>382240</v>
      </c>
      <c r="H18" s="405">
        <v>200</v>
      </c>
      <c r="I18" s="406">
        <v>1911.2</v>
      </c>
      <c r="J18" s="407">
        <v>382240</v>
      </c>
      <c r="K18" s="407"/>
      <c r="L18" s="395">
        <v>0</v>
      </c>
      <c r="M18" s="408"/>
    </row>
    <row r="19" spans="1:13" x14ac:dyDescent="0.25">
      <c r="A19" s="398">
        <v>44375</v>
      </c>
      <c r="B19" s="399" t="s">
        <v>1250</v>
      </c>
      <c r="C19" s="400" t="s">
        <v>1239</v>
      </c>
      <c r="D19" s="388" t="s">
        <v>1238</v>
      </c>
      <c r="E19" s="402">
        <v>1500</v>
      </c>
      <c r="F19" s="406">
        <v>669.41</v>
      </c>
      <c r="G19" s="404">
        <v>1004115</v>
      </c>
      <c r="H19" s="405">
        <v>1500</v>
      </c>
      <c r="I19" s="406">
        <v>669.41</v>
      </c>
      <c r="J19" s="407">
        <v>1004115</v>
      </c>
      <c r="K19" s="407"/>
      <c r="L19" s="395">
        <v>0</v>
      </c>
      <c r="M19" s="408"/>
    </row>
    <row r="20" spans="1:13" x14ac:dyDescent="0.25">
      <c r="A20" s="398">
        <v>44379</v>
      </c>
      <c r="B20" s="399" t="s">
        <v>1251</v>
      </c>
      <c r="C20" s="400" t="s">
        <v>1239</v>
      </c>
      <c r="D20" s="388" t="s">
        <v>1238</v>
      </c>
      <c r="E20" s="402">
        <v>1000</v>
      </c>
      <c r="F20" s="406">
        <v>669.41</v>
      </c>
      <c r="G20" s="404">
        <v>669410</v>
      </c>
      <c r="H20" s="405">
        <v>1000</v>
      </c>
      <c r="I20" s="406">
        <v>669.41</v>
      </c>
      <c r="J20" s="407">
        <v>669410</v>
      </c>
      <c r="K20" s="407"/>
      <c r="L20" s="395">
        <v>0</v>
      </c>
      <c r="M20" s="408"/>
    </row>
    <row r="21" spans="1:13" x14ac:dyDescent="0.25">
      <c r="A21" s="398">
        <v>44396</v>
      </c>
      <c r="B21" s="399" t="s">
        <v>1252</v>
      </c>
      <c r="C21" s="400" t="s">
        <v>1239</v>
      </c>
      <c r="D21" s="388" t="s">
        <v>1238</v>
      </c>
      <c r="E21" s="402">
        <v>1500</v>
      </c>
      <c r="F21" s="406">
        <v>669.41</v>
      </c>
      <c r="G21" s="404">
        <v>1004115</v>
      </c>
      <c r="H21" s="405">
        <v>1500</v>
      </c>
      <c r="I21" s="406">
        <v>669.41</v>
      </c>
      <c r="J21" s="407">
        <v>1004115</v>
      </c>
      <c r="K21" s="407"/>
      <c r="L21" s="395">
        <v>0</v>
      </c>
      <c r="M21" s="408"/>
    </row>
    <row r="22" spans="1:13" x14ac:dyDescent="0.25">
      <c r="A22" s="398">
        <v>44410</v>
      </c>
      <c r="B22" s="399" t="s">
        <v>1253</v>
      </c>
      <c r="C22" s="400" t="s">
        <v>1239</v>
      </c>
      <c r="D22" s="388" t="s">
        <v>1238</v>
      </c>
      <c r="E22" s="402">
        <v>1100</v>
      </c>
      <c r="F22" s="406">
        <v>669.41</v>
      </c>
      <c r="G22" s="404">
        <v>736351</v>
      </c>
      <c r="H22" s="405">
        <v>1100</v>
      </c>
      <c r="I22" s="406">
        <v>669.41</v>
      </c>
      <c r="J22" s="407">
        <v>736351</v>
      </c>
      <c r="K22" s="407"/>
      <c r="L22" s="395">
        <v>0</v>
      </c>
      <c r="M22" s="408"/>
    </row>
    <row r="23" spans="1:13" x14ac:dyDescent="0.25">
      <c r="A23" s="398">
        <v>44413</v>
      </c>
      <c r="B23" s="399" t="s">
        <v>1254</v>
      </c>
      <c r="C23" s="410" t="s">
        <v>1255</v>
      </c>
      <c r="D23" s="388" t="s">
        <v>1238</v>
      </c>
      <c r="E23" s="399">
        <v>12</v>
      </c>
      <c r="F23" s="406">
        <v>2098.23</v>
      </c>
      <c r="G23" s="404">
        <v>25178.760000000002</v>
      </c>
      <c r="H23" s="405">
        <v>12</v>
      </c>
      <c r="I23" s="406">
        <v>2098.23</v>
      </c>
      <c r="J23" s="407">
        <v>25178.760000000002</v>
      </c>
      <c r="K23" s="407"/>
      <c r="L23" s="395">
        <v>0</v>
      </c>
      <c r="M23" s="408"/>
    </row>
    <row r="24" spans="1:13" x14ac:dyDescent="0.25">
      <c r="A24" s="398">
        <v>44417</v>
      </c>
      <c r="B24" s="399" t="s">
        <v>1256</v>
      </c>
      <c r="C24" s="400" t="s">
        <v>1239</v>
      </c>
      <c r="D24" s="388" t="s">
        <v>1238</v>
      </c>
      <c r="E24" s="402">
        <v>2000</v>
      </c>
      <c r="F24" s="406">
        <v>669.41</v>
      </c>
      <c r="G24" s="404">
        <v>1338820</v>
      </c>
      <c r="H24" s="405">
        <v>2000</v>
      </c>
      <c r="I24" s="406">
        <v>669.41</v>
      </c>
      <c r="J24" s="407">
        <v>1338820</v>
      </c>
      <c r="K24" s="407"/>
      <c r="L24" s="395">
        <v>0</v>
      </c>
      <c r="M24" s="408"/>
    </row>
    <row r="25" spans="1:13" x14ac:dyDescent="0.25">
      <c r="A25" s="398">
        <v>44419</v>
      </c>
      <c r="B25" s="399" t="s">
        <v>1257</v>
      </c>
      <c r="C25" s="410" t="s">
        <v>1255</v>
      </c>
      <c r="D25" s="388" t="s">
        <v>1238</v>
      </c>
      <c r="E25" s="399">
        <v>13</v>
      </c>
      <c r="F25" s="406">
        <v>568.49</v>
      </c>
      <c r="G25" s="404">
        <v>7390.37</v>
      </c>
      <c r="H25" s="405">
        <v>13</v>
      </c>
      <c r="I25" s="406">
        <v>568.49</v>
      </c>
      <c r="J25" s="407">
        <v>7390.37</v>
      </c>
      <c r="K25" s="407"/>
      <c r="L25" s="395">
        <v>0</v>
      </c>
      <c r="M25" s="408"/>
    </row>
    <row r="26" spans="1:13" x14ac:dyDescent="0.25">
      <c r="A26" s="398">
        <v>44420</v>
      </c>
      <c r="B26" s="399" t="s">
        <v>1258</v>
      </c>
      <c r="C26" s="400" t="s">
        <v>1239</v>
      </c>
      <c r="D26" s="388" t="s">
        <v>1238</v>
      </c>
      <c r="E26" s="399">
        <v>800</v>
      </c>
      <c r="F26" s="406">
        <v>669.41</v>
      </c>
      <c r="G26" s="404">
        <v>535528</v>
      </c>
      <c r="H26" s="405">
        <v>800</v>
      </c>
      <c r="I26" s="406">
        <v>669.41</v>
      </c>
      <c r="J26" s="407">
        <v>535528</v>
      </c>
      <c r="K26" s="407"/>
      <c r="L26" s="395">
        <v>0</v>
      </c>
      <c r="M26" s="408"/>
    </row>
    <row r="27" spans="1:13" x14ac:dyDescent="0.25">
      <c r="A27" s="398">
        <v>44424</v>
      </c>
      <c r="B27" s="399" t="s">
        <v>1259</v>
      </c>
      <c r="C27" s="410" t="s">
        <v>1260</v>
      </c>
      <c r="D27" s="388" t="s">
        <v>1238</v>
      </c>
      <c r="E27" s="399">
        <v>250</v>
      </c>
      <c r="F27" s="406">
        <v>1958.82</v>
      </c>
      <c r="G27" s="404">
        <v>489705</v>
      </c>
      <c r="H27" s="405">
        <v>250</v>
      </c>
      <c r="I27" s="406">
        <v>1958.82</v>
      </c>
      <c r="J27" s="407">
        <v>489705</v>
      </c>
      <c r="K27" s="407"/>
      <c r="L27" s="395">
        <v>0</v>
      </c>
      <c r="M27" s="408"/>
    </row>
    <row r="28" spans="1:13" x14ac:dyDescent="0.25">
      <c r="A28" s="398">
        <v>44426</v>
      </c>
      <c r="B28" s="399" t="s">
        <v>1261</v>
      </c>
      <c r="C28" s="410" t="s">
        <v>1260</v>
      </c>
      <c r="D28" s="388" t="s">
        <v>1238</v>
      </c>
      <c r="E28" s="399">
        <v>420</v>
      </c>
      <c r="F28" s="406">
        <v>1958.82</v>
      </c>
      <c r="G28" s="404">
        <v>822704.4</v>
      </c>
      <c r="H28" s="405">
        <v>420</v>
      </c>
      <c r="I28" s="406">
        <v>1958.82</v>
      </c>
      <c r="J28" s="407">
        <v>822704.4</v>
      </c>
      <c r="K28" s="407"/>
      <c r="L28" s="395">
        <v>0</v>
      </c>
      <c r="M28" s="408"/>
    </row>
    <row r="29" spans="1:13" x14ac:dyDescent="0.25">
      <c r="A29" s="398">
        <v>44432</v>
      </c>
      <c r="B29" s="399" t="s">
        <v>1262</v>
      </c>
      <c r="C29" s="400" t="s">
        <v>1239</v>
      </c>
      <c r="D29" s="388" t="s">
        <v>1238</v>
      </c>
      <c r="E29" s="402">
        <v>3000</v>
      </c>
      <c r="F29" s="406">
        <v>669.41</v>
      </c>
      <c r="G29" s="404">
        <v>2008230</v>
      </c>
      <c r="H29" s="405">
        <v>3000</v>
      </c>
      <c r="I29" s="406">
        <v>669.41</v>
      </c>
      <c r="J29" s="407">
        <v>2008230</v>
      </c>
      <c r="K29" s="407"/>
      <c r="L29" s="395">
        <v>0</v>
      </c>
      <c r="M29" s="408"/>
    </row>
    <row r="30" spans="1:13" x14ac:dyDescent="0.25">
      <c r="A30" s="398">
        <v>44434</v>
      </c>
      <c r="B30" s="399" t="s">
        <v>1263</v>
      </c>
      <c r="C30" s="410" t="s">
        <v>1260</v>
      </c>
      <c r="D30" s="388" t="s">
        <v>1238</v>
      </c>
      <c r="E30" s="399">
        <v>250</v>
      </c>
      <c r="F30" s="406">
        <v>1958.82</v>
      </c>
      <c r="G30" s="404">
        <v>489705</v>
      </c>
      <c r="H30" s="405">
        <v>250</v>
      </c>
      <c r="I30" s="406">
        <v>1958.82</v>
      </c>
      <c r="J30" s="407">
        <v>489705</v>
      </c>
      <c r="K30" s="407"/>
      <c r="L30" s="395">
        <v>0</v>
      </c>
      <c r="M30" s="408"/>
    </row>
    <row r="31" spans="1:13" x14ac:dyDescent="0.25">
      <c r="A31" s="398">
        <v>44440</v>
      </c>
      <c r="B31" s="399" t="s">
        <v>1264</v>
      </c>
      <c r="C31" s="410" t="s">
        <v>1255</v>
      </c>
      <c r="D31" s="388" t="s">
        <v>1238</v>
      </c>
      <c r="E31" s="399">
        <v>80</v>
      </c>
      <c r="F31" s="406">
        <v>2098.23</v>
      </c>
      <c r="G31" s="404">
        <v>167858.4</v>
      </c>
      <c r="H31" s="405">
        <v>80</v>
      </c>
      <c r="I31" s="406">
        <v>2098.23</v>
      </c>
      <c r="J31" s="407">
        <v>167858.4</v>
      </c>
      <c r="K31" s="407"/>
      <c r="L31" s="395">
        <v>0</v>
      </c>
      <c r="M31" s="408"/>
    </row>
    <row r="32" spans="1:13" x14ac:dyDescent="0.25">
      <c r="A32" s="398">
        <v>44446</v>
      </c>
      <c r="B32" s="399" t="s">
        <v>1265</v>
      </c>
      <c r="C32" s="400" t="s">
        <v>1266</v>
      </c>
      <c r="D32" s="388" t="s">
        <v>1238</v>
      </c>
      <c r="E32" s="402">
        <v>3500</v>
      </c>
      <c r="F32" s="403">
        <v>251.21</v>
      </c>
      <c r="G32" s="404">
        <v>879235</v>
      </c>
      <c r="H32" s="405">
        <v>3500</v>
      </c>
      <c r="I32" s="406">
        <v>251.21</v>
      </c>
      <c r="J32" s="407">
        <v>879235</v>
      </c>
      <c r="K32" s="407"/>
      <c r="L32" s="395">
        <v>0</v>
      </c>
      <c r="M32" s="408"/>
    </row>
    <row r="33" spans="1:13" x14ac:dyDescent="0.25">
      <c r="A33" s="398">
        <v>44453</v>
      </c>
      <c r="B33" s="399" t="s">
        <v>1267</v>
      </c>
      <c r="C33" s="410" t="s">
        <v>1260</v>
      </c>
      <c r="D33" s="388" t="s">
        <v>1238</v>
      </c>
      <c r="E33" s="399">
        <v>170</v>
      </c>
      <c r="F33" s="406">
        <v>1958.82</v>
      </c>
      <c r="G33" s="404">
        <v>332999.39999999997</v>
      </c>
      <c r="H33" s="405">
        <v>170</v>
      </c>
      <c r="I33" s="406">
        <v>1958.82</v>
      </c>
      <c r="J33" s="407">
        <v>332999.39999999997</v>
      </c>
      <c r="K33" s="407"/>
      <c r="L33" s="395">
        <v>0</v>
      </c>
      <c r="M33" s="408"/>
    </row>
    <row r="34" spans="1:13" x14ac:dyDescent="0.25">
      <c r="A34" s="399"/>
      <c r="B34" s="399"/>
      <c r="C34" s="410" t="s">
        <v>1260</v>
      </c>
      <c r="D34" s="388" t="s">
        <v>1238</v>
      </c>
      <c r="E34" s="399">
        <v>230</v>
      </c>
      <c r="F34" s="406">
        <v>1958.82</v>
      </c>
      <c r="G34" s="404">
        <v>450528.6</v>
      </c>
      <c r="H34" s="405">
        <v>230</v>
      </c>
      <c r="I34" s="406">
        <v>1958.82</v>
      </c>
      <c r="J34" s="407">
        <v>450528.6</v>
      </c>
      <c r="K34" s="407"/>
      <c r="L34" s="395">
        <v>0</v>
      </c>
      <c r="M34" s="408"/>
    </row>
    <row r="35" spans="1:13" x14ac:dyDescent="0.25">
      <c r="A35" s="398">
        <v>44460</v>
      </c>
      <c r="B35" s="399" t="s">
        <v>1268</v>
      </c>
      <c r="C35" s="400" t="s">
        <v>1239</v>
      </c>
      <c r="D35" s="388" t="s">
        <v>1238</v>
      </c>
      <c r="E35" s="402">
        <v>3500</v>
      </c>
      <c r="F35" s="406">
        <v>669.41</v>
      </c>
      <c r="G35" s="404">
        <v>2342935</v>
      </c>
      <c r="H35" s="405">
        <v>3500</v>
      </c>
      <c r="I35" s="406">
        <v>669.41</v>
      </c>
      <c r="J35" s="407">
        <v>2342935</v>
      </c>
      <c r="K35" s="407"/>
      <c r="L35" s="395">
        <v>0</v>
      </c>
      <c r="M35" s="408"/>
    </row>
    <row r="36" spans="1:13" x14ac:dyDescent="0.25">
      <c r="A36" s="398">
        <v>44468</v>
      </c>
      <c r="B36" s="399" t="s">
        <v>1269</v>
      </c>
      <c r="C36" s="410" t="s">
        <v>1260</v>
      </c>
      <c r="D36" s="388" t="s">
        <v>1238</v>
      </c>
      <c r="E36" s="399">
        <v>450</v>
      </c>
      <c r="F36" s="406">
        <v>1958.82</v>
      </c>
      <c r="G36" s="404">
        <v>881469</v>
      </c>
      <c r="H36" s="405">
        <v>450</v>
      </c>
      <c r="I36" s="406">
        <v>1958.82</v>
      </c>
      <c r="J36" s="407">
        <v>881469</v>
      </c>
      <c r="K36" s="407"/>
      <c r="L36" s="395">
        <v>0</v>
      </c>
      <c r="M36" s="408"/>
    </row>
    <row r="37" spans="1:13" x14ac:dyDescent="0.25">
      <c r="A37" s="398">
        <v>44474</v>
      </c>
      <c r="B37" s="399" t="s">
        <v>1270</v>
      </c>
      <c r="C37" s="400" t="s">
        <v>1239</v>
      </c>
      <c r="D37" s="388" t="s">
        <v>1238</v>
      </c>
      <c r="E37" s="402">
        <v>2000</v>
      </c>
      <c r="F37" s="406">
        <v>669.41</v>
      </c>
      <c r="G37" s="404">
        <v>1338820</v>
      </c>
      <c r="H37" s="405">
        <v>2000</v>
      </c>
      <c r="I37" s="406">
        <v>669.41</v>
      </c>
      <c r="J37" s="407">
        <v>1338820</v>
      </c>
      <c r="K37" s="407"/>
      <c r="L37" s="395">
        <v>0</v>
      </c>
      <c r="M37" s="408"/>
    </row>
    <row r="38" spans="1:13" x14ac:dyDescent="0.25">
      <c r="A38" s="398">
        <v>44477</v>
      </c>
      <c r="B38" s="399" t="s">
        <v>1271</v>
      </c>
      <c r="C38" s="410" t="s">
        <v>1260</v>
      </c>
      <c r="D38" s="388" t="s">
        <v>1238</v>
      </c>
      <c r="E38" s="399">
        <v>350</v>
      </c>
      <c r="F38" s="406">
        <v>1958.82</v>
      </c>
      <c r="G38" s="404">
        <v>685587</v>
      </c>
      <c r="H38" s="405">
        <v>350</v>
      </c>
      <c r="I38" s="406">
        <v>2017.3</v>
      </c>
      <c r="J38" s="407">
        <v>706055</v>
      </c>
      <c r="K38" s="407"/>
      <c r="L38" s="395">
        <v>0</v>
      </c>
      <c r="M38" s="408"/>
    </row>
    <row r="39" spans="1:13" x14ac:dyDescent="0.25">
      <c r="A39" s="398">
        <v>44487</v>
      </c>
      <c r="B39" s="399" t="s">
        <v>1272</v>
      </c>
      <c r="C39" s="410" t="s">
        <v>1260</v>
      </c>
      <c r="D39" s="388" t="s">
        <v>1238</v>
      </c>
      <c r="E39" s="399">
        <v>350</v>
      </c>
      <c r="F39" s="406">
        <v>1958.82</v>
      </c>
      <c r="G39" s="404">
        <v>685587</v>
      </c>
      <c r="H39" s="405">
        <v>1200</v>
      </c>
      <c r="I39" s="406">
        <v>2017.3</v>
      </c>
      <c r="J39" s="407">
        <v>2420760</v>
      </c>
      <c r="K39" s="407"/>
      <c r="L39" s="395">
        <v>0</v>
      </c>
      <c r="M39" s="408"/>
    </row>
    <row r="40" spans="1:13" x14ac:dyDescent="0.25">
      <c r="A40" s="398">
        <v>44494</v>
      </c>
      <c r="B40" s="399" t="s">
        <v>1273</v>
      </c>
      <c r="C40" s="400" t="s">
        <v>1239</v>
      </c>
      <c r="D40" s="388" t="s">
        <v>1238</v>
      </c>
      <c r="E40" s="402">
        <v>1000</v>
      </c>
      <c r="F40" s="406">
        <v>669.41</v>
      </c>
      <c r="G40" s="404">
        <v>669410</v>
      </c>
      <c r="H40" s="405">
        <v>1000</v>
      </c>
      <c r="I40" s="406">
        <v>669.41</v>
      </c>
      <c r="J40" s="407">
        <v>669410</v>
      </c>
      <c r="K40" s="407"/>
      <c r="L40" s="395">
        <v>0</v>
      </c>
      <c r="M40" s="408"/>
    </row>
    <row r="41" spans="1:13" x14ac:dyDescent="0.25">
      <c r="A41" s="398">
        <v>44494</v>
      </c>
      <c r="B41" s="399" t="s">
        <v>1274</v>
      </c>
      <c r="C41" s="400" t="s">
        <v>1239</v>
      </c>
      <c r="D41" s="388" t="s">
        <v>1238</v>
      </c>
      <c r="E41" s="402">
        <v>2500</v>
      </c>
      <c r="F41" s="406">
        <v>669.41</v>
      </c>
      <c r="G41" s="404">
        <v>1673525</v>
      </c>
      <c r="H41" s="405">
        <v>2500</v>
      </c>
      <c r="I41" s="406">
        <v>669.41</v>
      </c>
      <c r="J41" s="407">
        <v>1673525</v>
      </c>
      <c r="K41" s="407"/>
      <c r="L41" s="395">
        <v>0</v>
      </c>
      <c r="M41" s="408"/>
    </row>
    <row r="42" spans="1:13" x14ac:dyDescent="0.25">
      <c r="A42" s="398">
        <v>44495</v>
      </c>
      <c r="B42" s="399" t="s">
        <v>1275</v>
      </c>
      <c r="C42" s="410" t="s">
        <v>1255</v>
      </c>
      <c r="D42" s="388" t="s">
        <v>1238</v>
      </c>
      <c r="E42" s="399">
        <v>44</v>
      </c>
      <c r="F42" s="406">
        <v>2098.23</v>
      </c>
      <c r="G42" s="404">
        <v>92322.12</v>
      </c>
      <c r="H42" s="405">
        <v>44</v>
      </c>
      <c r="I42" s="406">
        <v>2098.23</v>
      </c>
      <c r="J42" s="407">
        <v>92322.12</v>
      </c>
      <c r="K42" s="407"/>
      <c r="L42" s="395">
        <v>0</v>
      </c>
      <c r="M42" s="408"/>
    </row>
    <row r="43" spans="1:13" x14ac:dyDescent="0.25">
      <c r="A43" s="398">
        <v>44495</v>
      </c>
      <c r="B43" s="399" t="s">
        <v>1276</v>
      </c>
      <c r="C43" s="410" t="s">
        <v>1260</v>
      </c>
      <c r="D43" s="388" t="s">
        <v>1238</v>
      </c>
      <c r="E43" s="402">
        <v>1365</v>
      </c>
      <c r="F43" s="406">
        <v>2017.3</v>
      </c>
      <c r="G43" s="404">
        <v>2753614.5</v>
      </c>
      <c r="H43" s="405">
        <v>1365</v>
      </c>
      <c r="I43" s="406">
        <v>2017.3</v>
      </c>
      <c r="J43" s="407">
        <v>2753614.5</v>
      </c>
      <c r="K43" s="407"/>
      <c r="L43" s="395">
        <v>0</v>
      </c>
      <c r="M43" s="408"/>
    </row>
    <row r="44" spans="1:13" x14ac:dyDescent="0.25">
      <c r="A44" s="399" t="s">
        <v>1277</v>
      </c>
      <c r="B44" s="399" t="s">
        <v>1278</v>
      </c>
      <c r="C44" s="410" t="s">
        <v>1237</v>
      </c>
      <c r="D44" s="411" t="s">
        <v>1279</v>
      </c>
      <c r="E44" s="399">
        <v>170</v>
      </c>
      <c r="F44" s="406">
        <v>2021.24</v>
      </c>
      <c r="G44" s="404">
        <v>343610.8</v>
      </c>
      <c r="H44" s="405">
        <v>170</v>
      </c>
      <c r="I44" s="406">
        <v>2021.24</v>
      </c>
      <c r="J44" s="407">
        <v>343610.8</v>
      </c>
      <c r="K44" s="407"/>
      <c r="L44" s="395">
        <v>0</v>
      </c>
      <c r="M44" s="408"/>
    </row>
    <row r="45" spans="1:13" x14ac:dyDescent="0.25">
      <c r="A45" s="398">
        <v>44502</v>
      </c>
      <c r="B45" s="399" t="s">
        <v>1280</v>
      </c>
      <c r="C45" s="410" t="s">
        <v>1260</v>
      </c>
      <c r="D45" s="388" t="s">
        <v>1238</v>
      </c>
      <c r="E45" s="402">
        <v>1335</v>
      </c>
      <c r="F45" s="406">
        <v>2017.3</v>
      </c>
      <c r="G45" s="404">
        <v>2693095.5</v>
      </c>
      <c r="H45" s="405">
        <v>1335</v>
      </c>
      <c r="I45" s="406">
        <v>2017.3</v>
      </c>
      <c r="J45" s="407">
        <v>2693095.5</v>
      </c>
      <c r="K45" s="407"/>
      <c r="L45" s="395">
        <v>0</v>
      </c>
      <c r="M45" s="408"/>
    </row>
    <row r="46" spans="1:13" x14ac:dyDescent="0.25">
      <c r="A46" s="398">
        <v>44512</v>
      </c>
      <c r="B46" s="399" t="s">
        <v>1281</v>
      </c>
      <c r="C46" s="410" t="s">
        <v>1260</v>
      </c>
      <c r="D46" s="388" t="s">
        <v>1238</v>
      </c>
      <c r="E46" s="402">
        <v>1000</v>
      </c>
      <c r="F46" s="406">
        <v>2017.3</v>
      </c>
      <c r="G46" s="404">
        <v>2017300</v>
      </c>
      <c r="H46" s="405">
        <v>1000</v>
      </c>
      <c r="I46" s="406">
        <v>2017.3</v>
      </c>
      <c r="J46" s="407">
        <v>2017300</v>
      </c>
      <c r="K46" s="407"/>
      <c r="L46" s="395">
        <v>0</v>
      </c>
      <c r="M46" s="408"/>
    </row>
    <row r="47" spans="1:13" x14ac:dyDescent="0.25">
      <c r="A47" s="398">
        <v>44518</v>
      </c>
      <c r="B47" s="399" t="s">
        <v>1282</v>
      </c>
      <c r="C47" s="400" t="s">
        <v>1239</v>
      </c>
      <c r="D47" s="388" t="s">
        <v>1238</v>
      </c>
      <c r="E47" s="402">
        <v>2000</v>
      </c>
      <c r="F47" s="406">
        <v>669.41</v>
      </c>
      <c r="G47" s="404">
        <v>1338820</v>
      </c>
      <c r="H47" s="405">
        <v>2000</v>
      </c>
      <c r="I47" s="406">
        <v>669.41</v>
      </c>
      <c r="J47" s="407">
        <v>1338820</v>
      </c>
      <c r="K47" s="407"/>
      <c r="L47" s="395">
        <v>0</v>
      </c>
      <c r="M47" s="408"/>
    </row>
    <row r="48" spans="1:13" x14ac:dyDescent="0.25">
      <c r="A48" s="398">
        <v>44518</v>
      </c>
      <c r="B48" s="399" t="s">
        <v>1283</v>
      </c>
      <c r="C48" s="410" t="s">
        <v>1255</v>
      </c>
      <c r="D48" s="388" t="s">
        <v>1238</v>
      </c>
      <c r="E48" s="399">
        <v>30</v>
      </c>
      <c r="F48" s="406">
        <v>2098.23</v>
      </c>
      <c r="G48" s="404">
        <v>62946.9</v>
      </c>
      <c r="H48" s="405">
        <v>30</v>
      </c>
      <c r="I48" s="406">
        <v>2098.23</v>
      </c>
      <c r="J48" s="407">
        <v>62946.9</v>
      </c>
      <c r="K48" s="407"/>
      <c r="L48" s="395">
        <v>0</v>
      </c>
      <c r="M48" s="408"/>
    </row>
    <row r="49" spans="1:13" x14ac:dyDescent="0.25">
      <c r="A49" s="398">
        <v>44524</v>
      </c>
      <c r="B49" s="399" t="s">
        <v>1284</v>
      </c>
      <c r="C49" s="400" t="s">
        <v>1239</v>
      </c>
      <c r="D49" s="388" t="s">
        <v>1238</v>
      </c>
      <c r="E49" s="402">
        <v>3000</v>
      </c>
      <c r="F49" s="406">
        <v>334.54</v>
      </c>
      <c r="G49" s="404">
        <v>1003620.0000000001</v>
      </c>
      <c r="H49" s="405">
        <v>3000</v>
      </c>
      <c r="I49" s="406">
        <v>334.54</v>
      </c>
      <c r="J49" s="407">
        <v>1003620.0000000001</v>
      </c>
      <c r="K49" s="407"/>
      <c r="L49" s="395">
        <v>0</v>
      </c>
      <c r="M49" s="408"/>
    </row>
    <row r="50" spans="1:13" x14ac:dyDescent="0.25">
      <c r="A50" s="398">
        <v>44529</v>
      </c>
      <c r="B50" s="399" t="s">
        <v>1285</v>
      </c>
      <c r="C50" s="410" t="s">
        <v>1255</v>
      </c>
      <c r="D50" s="388" t="s">
        <v>1238</v>
      </c>
      <c r="E50" s="399">
        <v>200</v>
      </c>
      <c r="F50" s="406">
        <v>2098.23</v>
      </c>
      <c r="G50" s="404">
        <v>419646</v>
      </c>
      <c r="H50" s="405">
        <v>200</v>
      </c>
      <c r="I50" s="406">
        <v>2098.23</v>
      </c>
      <c r="J50" s="407">
        <v>419646</v>
      </c>
      <c r="K50" s="407"/>
      <c r="L50" s="395">
        <v>0</v>
      </c>
      <c r="M50" s="408"/>
    </row>
    <row r="51" spans="1:13" x14ac:dyDescent="0.25">
      <c r="A51" s="398">
        <v>44529</v>
      </c>
      <c r="B51" s="399" t="s">
        <v>1286</v>
      </c>
      <c r="C51" s="410" t="s">
        <v>1237</v>
      </c>
      <c r="D51" s="388" t="s">
        <v>1238</v>
      </c>
      <c r="E51" s="402">
        <v>50</v>
      </c>
      <c r="F51" s="406">
        <v>2021.24</v>
      </c>
      <c r="G51" s="404">
        <v>101062</v>
      </c>
      <c r="H51" s="405">
        <v>50</v>
      </c>
      <c r="I51" s="406">
        <v>2021.24</v>
      </c>
      <c r="J51" s="407">
        <v>101062</v>
      </c>
      <c r="K51" s="407"/>
      <c r="L51" s="395">
        <v>0</v>
      </c>
      <c r="M51" s="408"/>
    </row>
    <row r="52" spans="1:13" x14ac:dyDescent="0.25">
      <c r="A52" s="398">
        <v>44529</v>
      </c>
      <c r="B52" s="399" t="s">
        <v>1287</v>
      </c>
      <c r="C52" s="410" t="s">
        <v>1260</v>
      </c>
      <c r="D52" s="388" t="s">
        <v>1238</v>
      </c>
      <c r="E52" s="399">
        <v>250</v>
      </c>
      <c r="F52" s="406">
        <v>2017.3</v>
      </c>
      <c r="G52" s="404">
        <v>504325</v>
      </c>
      <c r="H52" s="405">
        <v>250</v>
      </c>
      <c r="I52" s="406">
        <v>2017.3</v>
      </c>
      <c r="J52" s="407">
        <v>504325</v>
      </c>
      <c r="K52" s="407"/>
      <c r="L52" s="395">
        <v>0</v>
      </c>
      <c r="M52" s="408"/>
    </row>
    <row r="53" spans="1:13" ht="34.5" x14ac:dyDescent="0.25">
      <c r="A53" s="453" t="s">
        <v>1277</v>
      </c>
      <c r="B53" s="454" t="s">
        <v>1288</v>
      </c>
      <c r="C53" s="455" t="s">
        <v>1237</v>
      </c>
      <c r="D53" s="456" t="s">
        <v>1279</v>
      </c>
      <c r="E53" s="457">
        <v>300</v>
      </c>
      <c r="F53" s="458">
        <v>2021.24</v>
      </c>
      <c r="G53" s="458">
        <v>606372</v>
      </c>
      <c r="H53" s="459">
        <v>300</v>
      </c>
      <c r="I53" s="460">
        <v>2021.24</v>
      </c>
      <c r="J53" s="461">
        <v>606372</v>
      </c>
      <c r="K53" s="461"/>
      <c r="L53" s="395">
        <v>0</v>
      </c>
      <c r="M53" s="408" t="s">
        <v>1289</v>
      </c>
    </row>
    <row r="54" spans="1:13" ht="34.5" x14ac:dyDescent="0.25">
      <c r="A54" s="453" t="s">
        <v>1277</v>
      </c>
      <c r="B54" s="454" t="s">
        <v>1290</v>
      </c>
      <c r="C54" s="455" t="s">
        <v>1291</v>
      </c>
      <c r="D54" s="456" t="s">
        <v>1279</v>
      </c>
      <c r="E54" s="454">
        <v>487</v>
      </c>
      <c r="F54" s="458">
        <v>2017.3</v>
      </c>
      <c r="G54" s="458">
        <v>982425.1</v>
      </c>
      <c r="H54" s="459">
        <v>487</v>
      </c>
      <c r="I54" s="460">
        <v>2017.3</v>
      </c>
      <c r="J54" s="461">
        <v>982425.1</v>
      </c>
      <c r="K54" s="461"/>
      <c r="L54" s="395">
        <v>0</v>
      </c>
      <c r="M54" s="408" t="s">
        <v>1289</v>
      </c>
    </row>
    <row r="55" spans="1:13" ht="168.75" x14ac:dyDescent="0.25">
      <c r="A55" s="459" t="s">
        <v>1292</v>
      </c>
      <c r="B55" s="454" t="s">
        <v>1293</v>
      </c>
      <c r="C55" s="459" t="s">
        <v>1239</v>
      </c>
      <c r="D55" s="456" t="s">
        <v>1279</v>
      </c>
      <c r="E55" s="457">
        <v>14570</v>
      </c>
      <c r="F55" s="458">
        <v>611.36</v>
      </c>
      <c r="G55" s="458">
        <v>8907515.2000000011</v>
      </c>
      <c r="H55" s="459">
        <v>2480</v>
      </c>
      <c r="I55" s="460">
        <v>611.36</v>
      </c>
      <c r="J55" s="461">
        <v>1516172.8</v>
      </c>
      <c r="K55" s="461"/>
      <c r="L55" s="395">
        <v>0</v>
      </c>
      <c r="M55" s="452" t="s">
        <v>1294</v>
      </c>
    </row>
    <row r="56" spans="1:13" x14ac:dyDescent="0.25">
      <c r="A56" s="405" t="s">
        <v>1292</v>
      </c>
      <c r="B56" s="399" t="s">
        <v>1295</v>
      </c>
      <c r="C56" s="405" t="s">
        <v>1260</v>
      </c>
      <c r="D56" s="388" t="s">
        <v>1238</v>
      </c>
      <c r="E56" s="399">
        <v>218</v>
      </c>
      <c r="F56" s="406">
        <v>2017.3</v>
      </c>
      <c r="G56" s="404">
        <v>439771.39999999997</v>
      </c>
      <c r="H56" s="405">
        <v>218</v>
      </c>
      <c r="I56" s="406">
        <v>2017.3</v>
      </c>
      <c r="J56" s="407">
        <v>439771.39999999997</v>
      </c>
      <c r="K56" s="413"/>
      <c r="L56" s="395">
        <v>0</v>
      </c>
      <c r="M56" s="412"/>
    </row>
    <row r="57" spans="1:13" x14ac:dyDescent="0.25">
      <c r="A57" s="398">
        <v>44533</v>
      </c>
      <c r="B57" s="399" t="s">
        <v>1296</v>
      </c>
      <c r="C57" s="410" t="s">
        <v>1255</v>
      </c>
      <c r="D57" s="388" t="s">
        <v>1238</v>
      </c>
      <c r="E57" s="399">
        <v>10</v>
      </c>
      <c r="F57" s="406">
        <v>2098.23</v>
      </c>
      <c r="G57" s="404">
        <v>20982.3</v>
      </c>
      <c r="H57" s="405">
        <v>10</v>
      </c>
      <c r="I57" s="406">
        <v>2098.23</v>
      </c>
      <c r="J57" s="407">
        <v>20982.3</v>
      </c>
      <c r="K57" s="413"/>
      <c r="L57" s="395">
        <v>0</v>
      </c>
      <c r="M57" s="408"/>
    </row>
    <row r="58" spans="1:13" x14ac:dyDescent="0.25">
      <c r="A58" s="398">
        <v>44536</v>
      </c>
      <c r="B58" s="399" t="s">
        <v>1297</v>
      </c>
      <c r="C58" s="400" t="s">
        <v>1237</v>
      </c>
      <c r="D58" s="388" t="s">
        <v>1238</v>
      </c>
      <c r="E58" s="402">
        <v>90</v>
      </c>
      <c r="F58" s="403">
        <v>2021.24</v>
      </c>
      <c r="G58" s="404">
        <v>181911.6</v>
      </c>
      <c r="H58" s="405">
        <v>90</v>
      </c>
      <c r="I58" s="406">
        <v>2021.24</v>
      </c>
      <c r="J58" s="407">
        <v>181911.6</v>
      </c>
      <c r="K58" s="413"/>
      <c r="L58" s="395">
        <v>0</v>
      </c>
      <c r="M58" s="408"/>
    </row>
    <row r="59" spans="1:13" x14ac:dyDescent="0.25">
      <c r="A59" s="398">
        <v>44544</v>
      </c>
      <c r="B59" s="399" t="s">
        <v>1298</v>
      </c>
      <c r="C59" s="400" t="s">
        <v>1237</v>
      </c>
      <c r="D59" s="388" t="s">
        <v>1238</v>
      </c>
      <c r="E59" s="402">
        <v>85</v>
      </c>
      <c r="F59" s="403">
        <v>2021.24</v>
      </c>
      <c r="G59" s="404">
        <v>171805.4</v>
      </c>
      <c r="H59" s="405">
        <v>85</v>
      </c>
      <c r="I59" s="406">
        <v>2021.24</v>
      </c>
      <c r="J59" s="407">
        <v>171805.4</v>
      </c>
      <c r="K59" s="413"/>
      <c r="L59" s="395">
        <v>0</v>
      </c>
      <c r="M59" s="408"/>
    </row>
    <row r="60" spans="1:13" x14ac:dyDescent="0.25">
      <c r="A60" s="414">
        <v>44544</v>
      </c>
      <c r="B60" s="415" t="s">
        <v>1299</v>
      </c>
      <c r="C60" s="416" t="s">
        <v>1239</v>
      </c>
      <c r="D60" s="388" t="s">
        <v>1238</v>
      </c>
      <c r="E60" s="417">
        <v>3000</v>
      </c>
      <c r="F60" s="418">
        <v>334.54</v>
      </c>
      <c r="G60" s="419">
        <v>1003620.0000000001</v>
      </c>
      <c r="H60" s="420">
        <v>3000</v>
      </c>
      <c r="I60" s="418">
        <v>334.54</v>
      </c>
      <c r="J60" s="421">
        <v>1003620.0000000001</v>
      </c>
      <c r="K60" s="422">
        <v>3000</v>
      </c>
      <c r="L60" s="395">
        <v>1003620.0000000001</v>
      </c>
      <c r="M60" s="408"/>
    </row>
    <row r="61" spans="1:13" x14ac:dyDescent="0.25">
      <c r="A61" s="398">
        <v>44545</v>
      </c>
      <c r="B61" s="399" t="s">
        <v>1300</v>
      </c>
      <c r="C61" s="400" t="s">
        <v>1237</v>
      </c>
      <c r="D61" s="388" t="s">
        <v>1238</v>
      </c>
      <c r="E61" s="402">
        <v>150</v>
      </c>
      <c r="F61" s="403">
        <v>2021.24</v>
      </c>
      <c r="G61" s="404">
        <v>303186</v>
      </c>
      <c r="H61" s="405">
        <v>150</v>
      </c>
      <c r="I61" s="406">
        <v>2021.24</v>
      </c>
      <c r="J61" s="407">
        <v>303186</v>
      </c>
      <c r="K61" s="413"/>
      <c r="L61" s="395">
        <v>0</v>
      </c>
      <c r="M61" s="408"/>
    </row>
    <row r="62" spans="1:13" x14ac:dyDescent="0.25">
      <c r="A62" s="414">
        <v>44550</v>
      </c>
      <c r="B62" s="415" t="s">
        <v>1301</v>
      </c>
      <c r="C62" s="423" t="s">
        <v>1302</v>
      </c>
      <c r="D62" s="388" t="s">
        <v>1238</v>
      </c>
      <c r="E62" s="415"/>
      <c r="F62" s="418">
        <v>2017.3</v>
      </c>
      <c r="G62" s="419">
        <v>0</v>
      </c>
      <c r="H62" s="420">
        <v>1000</v>
      </c>
      <c r="I62" s="418">
        <v>2017.3</v>
      </c>
      <c r="J62" s="421">
        <v>2017300</v>
      </c>
      <c r="K62" s="422">
        <v>994</v>
      </c>
      <c r="L62" s="395">
        <v>2005196.2</v>
      </c>
      <c r="M62" s="408"/>
    </row>
    <row r="63" spans="1:13" x14ac:dyDescent="0.25">
      <c r="A63" s="424" t="s">
        <v>1303</v>
      </c>
      <c r="B63" s="425"/>
      <c r="C63" s="425"/>
      <c r="D63" s="426"/>
      <c r="E63" s="427"/>
      <c r="F63" s="427"/>
      <c r="G63" s="427"/>
      <c r="H63" s="427"/>
      <c r="I63" s="428"/>
      <c r="J63" s="427"/>
      <c r="K63" s="429"/>
      <c r="L63" s="427"/>
      <c r="M63" s="430"/>
    </row>
    <row r="64" spans="1:13" x14ac:dyDescent="0.25">
      <c r="A64" s="398">
        <v>44291</v>
      </c>
      <c r="B64" s="399" t="s">
        <v>1304</v>
      </c>
      <c r="C64" s="400" t="s">
        <v>1239</v>
      </c>
      <c r="D64" s="388" t="s">
        <v>1238</v>
      </c>
      <c r="E64" s="399">
        <v>664</v>
      </c>
      <c r="F64" s="406">
        <v>714.37</v>
      </c>
      <c r="G64" s="404">
        <v>474341.68</v>
      </c>
      <c r="H64" s="405">
        <v>664</v>
      </c>
      <c r="I64" s="406">
        <v>714.37</v>
      </c>
      <c r="J64" s="407">
        <v>474341.68</v>
      </c>
      <c r="K64" s="407"/>
      <c r="L64" s="395">
        <v>0</v>
      </c>
      <c r="M64" s="431"/>
    </row>
    <row r="65" spans="1:13" x14ac:dyDescent="0.25">
      <c r="A65" s="398">
        <v>44312</v>
      </c>
      <c r="B65" s="399" t="s">
        <v>1304</v>
      </c>
      <c r="C65" s="400" t="s">
        <v>1239</v>
      </c>
      <c r="D65" s="388" t="s">
        <v>1238</v>
      </c>
      <c r="E65" s="399">
        <v>453</v>
      </c>
      <c r="F65" s="403">
        <v>683.2</v>
      </c>
      <c r="G65" s="404">
        <v>309489.60000000003</v>
      </c>
      <c r="H65" s="405">
        <v>453</v>
      </c>
      <c r="I65" s="406">
        <v>683.2</v>
      </c>
      <c r="J65" s="407">
        <v>309489.60000000003</v>
      </c>
      <c r="K65" s="407"/>
      <c r="L65" s="395">
        <v>0</v>
      </c>
      <c r="M65" s="431"/>
    </row>
    <row r="66" spans="1:13" x14ac:dyDescent="0.25">
      <c r="A66" s="398">
        <v>44323</v>
      </c>
      <c r="B66" s="399" t="s">
        <v>1305</v>
      </c>
      <c r="C66" s="400" t="s">
        <v>1239</v>
      </c>
      <c r="D66" s="388" t="s">
        <v>1238</v>
      </c>
      <c r="E66" s="399">
        <v>327</v>
      </c>
      <c r="F66" s="403">
        <v>683.2</v>
      </c>
      <c r="G66" s="404">
        <v>223406.40000000002</v>
      </c>
      <c r="H66" s="405">
        <v>327</v>
      </c>
      <c r="I66" s="406">
        <v>683.2</v>
      </c>
      <c r="J66" s="407">
        <v>223406.40000000002</v>
      </c>
      <c r="K66" s="407"/>
      <c r="L66" s="395">
        <v>0</v>
      </c>
      <c r="M66" s="431"/>
    </row>
    <row r="67" spans="1:13" x14ac:dyDescent="0.25">
      <c r="A67" s="398">
        <v>44328</v>
      </c>
      <c r="B67" s="399" t="s">
        <v>1306</v>
      </c>
      <c r="C67" s="400" t="s">
        <v>1237</v>
      </c>
      <c r="D67" s="388" t="s">
        <v>1238</v>
      </c>
      <c r="E67" s="402">
        <v>76</v>
      </c>
      <c r="F67" s="403">
        <v>1911.2</v>
      </c>
      <c r="G67" s="404">
        <v>145251.20000000001</v>
      </c>
      <c r="H67" s="405">
        <v>76</v>
      </c>
      <c r="I67" s="406">
        <v>1911.2</v>
      </c>
      <c r="J67" s="407">
        <v>145251.20000000001</v>
      </c>
      <c r="K67" s="407"/>
      <c r="L67" s="395">
        <v>0</v>
      </c>
      <c r="M67" s="431"/>
    </row>
    <row r="68" spans="1:13" x14ac:dyDescent="0.25">
      <c r="A68" s="398">
        <v>44363</v>
      </c>
      <c r="B68" s="399" t="s">
        <v>1307</v>
      </c>
      <c r="C68" s="400" t="s">
        <v>1239</v>
      </c>
      <c r="D68" s="388" t="s">
        <v>1238</v>
      </c>
      <c r="E68" s="399">
        <v>700</v>
      </c>
      <c r="F68" s="403">
        <v>683.2</v>
      </c>
      <c r="G68" s="404">
        <v>478240.00000000006</v>
      </c>
      <c r="H68" s="405">
        <v>700</v>
      </c>
      <c r="I68" s="406">
        <v>683.2</v>
      </c>
      <c r="J68" s="407">
        <v>478240.00000000006</v>
      </c>
      <c r="K68" s="407"/>
      <c r="L68" s="395">
        <v>0</v>
      </c>
      <c r="M68" s="431"/>
    </row>
    <row r="69" spans="1:13" x14ac:dyDescent="0.25">
      <c r="A69" s="398">
        <v>44363</v>
      </c>
      <c r="B69" s="399" t="s">
        <v>1308</v>
      </c>
      <c r="C69" s="400" t="s">
        <v>1239</v>
      </c>
      <c r="D69" s="388" t="s">
        <v>1238</v>
      </c>
      <c r="E69" s="402">
        <v>1000</v>
      </c>
      <c r="F69" s="403">
        <v>683.2</v>
      </c>
      <c r="G69" s="404">
        <v>683200</v>
      </c>
      <c r="H69" s="405">
        <v>1000</v>
      </c>
      <c r="I69" s="406">
        <v>683.2</v>
      </c>
      <c r="J69" s="407">
        <v>683200</v>
      </c>
      <c r="K69" s="407"/>
      <c r="L69" s="395">
        <v>0</v>
      </c>
      <c r="M69" s="431"/>
    </row>
    <row r="70" spans="1:13" x14ac:dyDescent="0.25">
      <c r="A70" s="398">
        <v>44366</v>
      </c>
      <c r="B70" s="399" t="s">
        <v>1309</v>
      </c>
      <c r="C70" s="400" t="s">
        <v>1237</v>
      </c>
      <c r="D70" s="388" t="s">
        <v>1238</v>
      </c>
      <c r="E70" s="399">
        <v>280</v>
      </c>
      <c r="F70" s="406">
        <v>1994.21</v>
      </c>
      <c r="G70" s="404">
        <v>558378.80000000005</v>
      </c>
      <c r="H70" s="405">
        <v>280</v>
      </c>
      <c r="I70" s="406">
        <v>1994.21</v>
      </c>
      <c r="J70" s="407">
        <v>558378.80000000005</v>
      </c>
      <c r="K70" s="407"/>
      <c r="L70" s="395">
        <v>0</v>
      </c>
      <c r="M70" s="431"/>
    </row>
    <row r="71" spans="1:13" x14ac:dyDescent="0.25">
      <c r="A71" s="398">
        <v>44403</v>
      </c>
      <c r="B71" s="399" t="s">
        <v>1310</v>
      </c>
      <c r="C71" s="400" t="s">
        <v>1311</v>
      </c>
      <c r="D71" s="388" t="s">
        <v>1238</v>
      </c>
      <c r="E71" s="402">
        <v>450</v>
      </c>
      <c r="F71" s="406">
        <v>1892.55</v>
      </c>
      <c r="G71" s="404">
        <v>851647.5</v>
      </c>
      <c r="H71" s="405">
        <v>450</v>
      </c>
      <c r="I71" s="406">
        <v>1892.55</v>
      </c>
      <c r="J71" s="407">
        <v>851647.5</v>
      </c>
      <c r="K71" s="407"/>
      <c r="L71" s="395">
        <v>0</v>
      </c>
      <c r="M71" s="431"/>
    </row>
    <row r="72" spans="1:13" x14ac:dyDescent="0.25">
      <c r="A72" s="398">
        <v>44403</v>
      </c>
      <c r="B72" s="399" t="s">
        <v>1312</v>
      </c>
      <c r="C72" s="400" t="s">
        <v>1239</v>
      </c>
      <c r="D72" s="388" t="s">
        <v>1238</v>
      </c>
      <c r="E72" s="402">
        <v>1000</v>
      </c>
      <c r="F72" s="406">
        <v>669.41</v>
      </c>
      <c r="G72" s="404">
        <v>669410</v>
      </c>
      <c r="H72" s="405">
        <v>1000</v>
      </c>
      <c r="I72" s="406">
        <v>669.41</v>
      </c>
      <c r="J72" s="407">
        <v>669410</v>
      </c>
      <c r="K72" s="407"/>
      <c r="L72" s="395">
        <v>0</v>
      </c>
      <c r="M72" s="431"/>
    </row>
    <row r="73" spans="1:13" x14ac:dyDescent="0.25">
      <c r="A73" s="398">
        <v>44406</v>
      </c>
      <c r="B73" s="399" t="s">
        <v>1313</v>
      </c>
      <c r="C73" s="400" t="s">
        <v>1302</v>
      </c>
      <c r="D73" s="388" t="s">
        <v>1238</v>
      </c>
      <c r="E73" s="402">
        <v>40</v>
      </c>
      <c r="F73" s="406">
        <v>1892.55</v>
      </c>
      <c r="G73" s="404">
        <v>75702</v>
      </c>
      <c r="H73" s="405">
        <v>40</v>
      </c>
      <c r="I73" s="406">
        <v>1892.55</v>
      </c>
      <c r="J73" s="407">
        <v>75702</v>
      </c>
      <c r="K73" s="407"/>
      <c r="L73" s="395">
        <v>0</v>
      </c>
      <c r="M73" s="431"/>
    </row>
    <row r="74" spans="1:13" x14ac:dyDescent="0.25">
      <c r="A74" s="398">
        <v>44413</v>
      </c>
      <c r="B74" s="399" t="s">
        <v>1314</v>
      </c>
      <c r="C74" s="400" t="s">
        <v>1239</v>
      </c>
      <c r="D74" s="388" t="s">
        <v>1238</v>
      </c>
      <c r="E74" s="402">
        <v>1100</v>
      </c>
      <c r="F74" s="406">
        <v>669.41</v>
      </c>
      <c r="G74" s="404">
        <v>736351</v>
      </c>
      <c r="H74" s="405">
        <v>1100</v>
      </c>
      <c r="I74" s="406">
        <v>669.41</v>
      </c>
      <c r="J74" s="407">
        <v>736351</v>
      </c>
      <c r="K74" s="407"/>
      <c r="L74" s="395">
        <v>0</v>
      </c>
      <c r="M74" s="431"/>
    </row>
    <row r="75" spans="1:13" x14ac:dyDescent="0.25">
      <c r="A75" s="398">
        <v>44424</v>
      </c>
      <c r="B75" s="399" t="s">
        <v>1315</v>
      </c>
      <c r="C75" s="400" t="s">
        <v>1239</v>
      </c>
      <c r="D75" s="388" t="s">
        <v>1238</v>
      </c>
      <c r="E75" s="402">
        <v>2000</v>
      </c>
      <c r="F75" s="406">
        <v>669.41</v>
      </c>
      <c r="G75" s="404">
        <v>1338820</v>
      </c>
      <c r="H75" s="405">
        <v>2000</v>
      </c>
      <c r="I75" s="406">
        <v>669.41</v>
      </c>
      <c r="J75" s="407">
        <v>1338820</v>
      </c>
      <c r="K75" s="407"/>
      <c r="L75" s="395">
        <v>0</v>
      </c>
      <c r="M75" s="431"/>
    </row>
    <row r="76" spans="1:13" x14ac:dyDescent="0.25">
      <c r="A76" s="398">
        <v>44428</v>
      </c>
      <c r="B76" s="399" t="s">
        <v>1316</v>
      </c>
      <c r="C76" s="400" t="s">
        <v>1239</v>
      </c>
      <c r="D76" s="388" t="s">
        <v>1238</v>
      </c>
      <c r="E76" s="402">
        <v>800</v>
      </c>
      <c r="F76" s="403">
        <v>669.41</v>
      </c>
      <c r="G76" s="404">
        <v>535528</v>
      </c>
      <c r="H76" s="405">
        <v>800</v>
      </c>
      <c r="I76" s="406">
        <v>669.41</v>
      </c>
      <c r="J76" s="407">
        <v>535528</v>
      </c>
      <c r="K76" s="407"/>
      <c r="L76" s="395">
        <v>0</v>
      </c>
      <c r="M76" s="431"/>
    </row>
    <row r="77" spans="1:13" x14ac:dyDescent="0.25">
      <c r="A77" s="398">
        <v>44428</v>
      </c>
      <c r="B77" s="399" t="s">
        <v>1317</v>
      </c>
      <c r="C77" s="410" t="s">
        <v>1255</v>
      </c>
      <c r="D77" s="388" t="s">
        <v>1238</v>
      </c>
      <c r="E77" s="399">
        <v>12</v>
      </c>
      <c r="F77" s="403">
        <v>2098.23</v>
      </c>
      <c r="G77" s="404">
        <v>25178.760000000002</v>
      </c>
      <c r="H77" s="405">
        <v>12</v>
      </c>
      <c r="I77" s="406">
        <v>2098.23</v>
      </c>
      <c r="J77" s="407">
        <v>25178.760000000002</v>
      </c>
      <c r="K77" s="407"/>
      <c r="L77" s="395">
        <v>0</v>
      </c>
      <c r="M77" s="431"/>
    </row>
    <row r="78" spans="1:13" x14ac:dyDescent="0.25">
      <c r="A78" s="398">
        <v>44434</v>
      </c>
      <c r="B78" s="399" t="s">
        <v>1318</v>
      </c>
      <c r="C78" s="410" t="s">
        <v>1255</v>
      </c>
      <c r="D78" s="388" t="s">
        <v>1238</v>
      </c>
      <c r="E78" s="399">
        <v>40</v>
      </c>
      <c r="F78" s="403">
        <v>2098.23</v>
      </c>
      <c r="G78" s="404">
        <v>83929.2</v>
      </c>
      <c r="H78" s="405">
        <v>40</v>
      </c>
      <c r="I78" s="406">
        <v>2098.23</v>
      </c>
      <c r="J78" s="407">
        <v>83929.2</v>
      </c>
      <c r="K78" s="432"/>
      <c r="L78" s="395">
        <v>0</v>
      </c>
      <c r="M78" s="431"/>
    </row>
    <row r="79" spans="1:13" x14ac:dyDescent="0.25">
      <c r="A79" s="398">
        <v>44439</v>
      </c>
      <c r="B79" s="399" t="s">
        <v>1319</v>
      </c>
      <c r="C79" s="400" t="s">
        <v>1239</v>
      </c>
      <c r="D79" s="388" t="s">
        <v>1238</v>
      </c>
      <c r="E79" s="402">
        <v>3000</v>
      </c>
      <c r="F79" s="403">
        <v>669.41</v>
      </c>
      <c r="G79" s="404">
        <v>2008230</v>
      </c>
      <c r="H79" s="405">
        <v>3000</v>
      </c>
      <c r="I79" s="406">
        <v>669.41</v>
      </c>
      <c r="J79" s="407">
        <v>2008230</v>
      </c>
      <c r="K79" s="432"/>
      <c r="L79" s="395">
        <v>0</v>
      </c>
      <c r="M79" s="431"/>
    </row>
    <row r="80" spans="1:13" x14ac:dyDescent="0.25">
      <c r="A80" s="398">
        <v>44440</v>
      </c>
      <c r="B80" s="399" t="s">
        <v>1320</v>
      </c>
      <c r="C80" s="400" t="s">
        <v>1260</v>
      </c>
      <c r="D80" s="388" t="s">
        <v>1238</v>
      </c>
      <c r="E80" s="399">
        <v>250</v>
      </c>
      <c r="F80" s="403">
        <v>1958.82</v>
      </c>
      <c r="G80" s="404">
        <v>489705</v>
      </c>
      <c r="H80" s="405">
        <v>250</v>
      </c>
      <c r="I80" s="406">
        <v>1958.82</v>
      </c>
      <c r="J80" s="407">
        <v>489705</v>
      </c>
      <c r="K80" s="432"/>
      <c r="L80" s="395">
        <v>0</v>
      </c>
      <c r="M80" s="431"/>
    </row>
    <row r="81" spans="1:13" x14ac:dyDescent="0.25">
      <c r="A81" s="398">
        <v>44440</v>
      </c>
      <c r="B81" s="399" t="s">
        <v>1321</v>
      </c>
      <c r="C81" s="400" t="s">
        <v>1255</v>
      </c>
      <c r="D81" s="388" t="s">
        <v>1238</v>
      </c>
      <c r="E81" s="399">
        <v>13</v>
      </c>
      <c r="F81" s="403">
        <v>568.49</v>
      </c>
      <c r="G81" s="404">
        <v>7390.37</v>
      </c>
      <c r="H81" s="405">
        <v>13</v>
      </c>
      <c r="I81" s="406">
        <v>568.49</v>
      </c>
      <c r="J81" s="407">
        <v>7390.37</v>
      </c>
      <c r="K81" s="432"/>
      <c r="L81" s="395">
        <v>0</v>
      </c>
      <c r="M81" s="431"/>
    </row>
    <row r="82" spans="1:13" x14ac:dyDescent="0.25">
      <c r="A82" s="398">
        <v>44440</v>
      </c>
      <c r="B82" s="399" t="s">
        <v>1264</v>
      </c>
      <c r="C82" s="400" t="s">
        <v>1255</v>
      </c>
      <c r="D82" s="388" t="s">
        <v>1238</v>
      </c>
      <c r="E82" s="399">
        <v>40</v>
      </c>
      <c r="F82" s="403">
        <v>2098.23</v>
      </c>
      <c r="G82" s="404">
        <v>83929.2</v>
      </c>
      <c r="H82" s="405">
        <v>40</v>
      </c>
      <c r="I82" s="406">
        <v>2098.23</v>
      </c>
      <c r="J82" s="407">
        <v>83929.2</v>
      </c>
      <c r="K82" s="432"/>
      <c r="L82" s="395">
        <v>0</v>
      </c>
      <c r="M82" s="431"/>
    </row>
    <row r="83" spans="1:13" x14ac:dyDescent="0.25">
      <c r="A83" s="398">
        <v>44449</v>
      </c>
      <c r="B83" s="399" t="s">
        <v>1322</v>
      </c>
      <c r="C83" s="400" t="s">
        <v>1260</v>
      </c>
      <c r="D83" s="388" t="s">
        <v>1238</v>
      </c>
      <c r="E83" s="399">
        <v>420</v>
      </c>
      <c r="F83" s="403">
        <v>1958.82</v>
      </c>
      <c r="G83" s="404">
        <v>822704.4</v>
      </c>
      <c r="H83" s="405">
        <v>420</v>
      </c>
      <c r="I83" s="406">
        <v>1958.82</v>
      </c>
      <c r="J83" s="407">
        <v>822704.4</v>
      </c>
      <c r="K83" s="432"/>
      <c r="L83" s="395">
        <v>0</v>
      </c>
      <c r="M83" s="431"/>
    </row>
    <row r="84" spans="1:13" x14ac:dyDescent="0.25">
      <c r="A84" s="398">
        <v>44449</v>
      </c>
      <c r="B84" s="399" t="s">
        <v>1323</v>
      </c>
      <c r="C84" s="400" t="s">
        <v>1260</v>
      </c>
      <c r="D84" s="388" t="s">
        <v>1238</v>
      </c>
      <c r="E84" s="399">
        <v>250</v>
      </c>
      <c r="F84" s="403">
        <v>1958.82</v>
      </c>
      <c r="G84" s="404">
        <v>489705</v>
      </c>
      <c r="H84" s="405">
        <v>250</v>
      </c>
      <c r="I84" s="406">
        <v>1958.82</v>
      </c>
      <c r="J84" s="407">
        <v>489705</v>
      </c>
      <c r="K84" s="432"/>
      <c r="L84" s="395">
        <v>0</v>
      </c>
      <c r="M84" s="431"/>
    </row>
    <row r="85" spans="1:13" x14ac:dyDescent="0.25">
      <c r="A85" s="398">
        <v>44467</v>
      </c>
      <c r="B85" s="399" t="s">
        <v>1324</v>
      </c>
      <c r="C85" s="400" t="s">
        <v>1239</v>
      </c>
      <c r="D85" s="388" t="s">
        <v>1238</v>
      </c>
      <c r="E85" s="402">
        <v>3500</v>
      </c>
      <c r="F85" s="403">
        <v>669.41</v>
      </c>
      <c r="G85" s="404">
        <v>2342935</v>
      </c>
      <c r="H85" s="405">
        <v>3500</v>
      </c>
      <c r="I85" s="406">
        <v>669.41</v>
      </c>
      <c r="J85" s="407">
        <v>2342935</v>
      </c>
      <c r="K85" s="432"/>
      <c r="L85" s="395">
        <v>0</v>
      </c>
      <c r="M85" s="431"/>
    </row>
    <row r="86" spans="1:13" x14ac:dyDescent="0.25">
      <c r="A86" s="398">
        <v>44467</v>
      </c>
      <c r="B86" s="399" t="s">
        <v>1325</v>
      </c>
      <c r="C86" s="400" t="s">
        <v>1239</v>
      </c>
      <c r="D86" s="388" t="s">
        <v>1238</v>
      </c>
      <c r="E86" s="402">
        <v>3500</v>
      </c>
      <c r="F86" s="406">
        <v>251.21</v>
      </c>
      <c r="G86" s="404">
        <v>879235</v>
      </c>
      <c r="H86" s="405">
        <v>3500</v>
      </c>
      <c r="I86" s="406">
        <v>251.21</v>
      </c>
      <c r="J86" s="407">
        <v>879235</v>
      </c>
      <c r="K86" s="432"/>
      <c r="L86" s="395">
        <v>0</v>
      </c>
      <c r="M86" s="431"/>
    </row>
    <row r="87" spans="1:13" x14ac:dyDescent="0.25">
      <c r="A87" s="398">
        <v>44474</v>
      </c>
      <c r="B87" s="399" t="s">
        <v>1326</v>
      </c>
      <c r="C87" s="410" t="s">
        <v>1260</v>
      </c>
      <c r="D87" s="388" t="s">
        <v>1238</v>
      </c>
      <c r="E87" s="402">
        <v>400</v>
      </c>
      <c r="F87" s="406">
        <v>1958.82</v>
      </c>
      <c r="G87" s="404">
        <v>783528</v>
      </c>
      <c r="H87" s="405">
        <v>400</v>
      </c>
      <c r="I87" s="406">
        <v>1958.82</v>
      </c>
      <c r="J87" s="407">
        <v>783528</v>
      </c>
      <c r="K87" s="432"/>
      <c r="L87" s="395">
        <v>0</v>
      </c>
      <c r="M87" s="431"/>
    </row>
    <row r="88" spans="1:13" x14ac:dyDescent="0.25">
      <c r="A88" s="398">
        <v>44488</v>
      </c>
      <c r="B88" s="399" t="s">
        <v>1327</v>
      </c>
      <c r="C88" s="410" t="s">
        <v>1260</v>
      </c>
      <c r="D88" s="388" t="s">
        <v>1238</v>
      </c>
      <c r="E88" s="402">
        <v>450</v>
      </c>
      <c r="F88" s="406">
        <v>1958.82</v>
      </c>
      <c r="G88" s="404">
        <v>881469</v>
      </c>
      <c r="H88" s="405">
        <v>450</v>
      </c>
      <c r="I88" s="406">
        <v>1958.82</v>
      </c>
      <c r="J88" s="407">
        <v>881469</v>
      </c>
      <c r="K88" s="432"/>
      <c r="L88" s="395">
        <v>0</v>
      </c>
      <c r="M88" s="431"/>
    </row>
    <row r="89" spans="1:13" x14ac:dyDescent="0.25">
      <c r="A89" s="398">
        <v>44488</v>
      </c>
      <c r="B89" s="399" t="s">
        <v>1328</v>
      </c>
      <c r="C89" s="400" t="s">
        <v>1239</v>
      </c>
      <c r="D89" s="388" t="s">
        <v>1238</v>
      </c>
      <c r="E89" s="402">
        <v>2000</v>
      </c>
      <c r="F89" s="403">
        <v>669.41</v>
      </c>
      <c r="G89" s="404">
        <v>1338820</v>
      </c>
      <c r="H89" s="405">
        <v>2000</v>
      </c>
      <c r="I89" s="406">
        <v>669.41</v>
      </c>
      <c r="J89" s="407">
        <v>1338820</v>
      </c>
      <c r="K89" s="432"/>
      <c r="L89" s="395">
        <v>0</v>
      </c>
      <c r="M89" s="431"/>
    </row>
    <row r="90" spans="1:13" x14ac:dyDescent="0.25">
      <c r="A90" s="398">
        <v>44496</v>
      </c>
      <c r="B90" s="399" t="s">
        <v>1329</v>
      </c>
      <c r="C90" s="410" t="s">
        <v>1237</v>
      </c>
      <c r="D90" s="388" t="s">
        <v>1238</v>
      </c>
      <c r="E90" s="399">
        <v>35</v>
      </c>
      <c r="F90" s="406">
        <v>1622.4</v>
      </c>
      <c r="G90" s="404">
        <v>56784</v>
      </c>
      <c r="H90" s="405">
        <v>35</v>
      </c>
      <c r="I90" s="406">
        <v>1622.4</v>
      </c>
      <c r="J90" s="407">
        <v>56784</v>
      </c>
      <c r="K90" s="432"/>
      <c r="L90" s="395">
        <v>0</v>
      </c>
      <c r="M90" s="431"/>
    </row>
    <row r="91" spans="1:13" x14ac:dyDescent="0.25">
      <c r="A91" s="398">
        <v>44498</v>
      </c>
      <c r="B91" s="399" t="s">
        <v>1330</v>
      </c>
      <c r="C91" s="410" t="s">
        <v>1260</v>
      </c>
      <c r="D91" s="388" t="s">
        <v>1238</v>
      </c>
      <c r="E91" s="402">
        <v>350</v>
      </c>
      <c r="F91" s="406">
        <v>2017.3</v>
      </c>
      <c r="G91" s="404">
        <v>706055</v>
      </c>
      <c r="H91" s="405">
        <v>350</v>
      </c>
      <c r="I91" s="406">
        <v>2017.3</v>
      </c>
      <c r="J91" s="407">
        <v>706055</v>
      </c>
      <c r="K91" s="432"/>
      <c r="L91" s="395">
        <v>0</v>
      </c>
      <c r="M91" s="431"/>
    </row>
    <row r="92" spans="1:13" x14ac:dyDescent="0.25">
      <c r="A92" s="398">
        <v>44503</v>
      </c>
      <c r="B92" s="399" t="s">
        <v>1331</v>
      </c>
      <c r="C92" s="400" t="s">
        <v>1255</v>
      </c>
      <c r="D92" s="388" t="s">
        <v>1238</v>
      </c>
      <c r="E92" s="399">
        <v>124</v>
      </c>
      <c r="F92" s="403">
        <v>2098.23</v>
      </c>
      <c r="G92" s="404">
        <v>260180.52</v>
      </c>
      <c r="H92" s="405">
        <v>124</v>
      </c>
      <c r="I92" s="406">
        <v>2098.23</v>
      </c>
      <c r="J92" s="407">
        <v>260180.52</v>
      </c>
      <c r="K92" s="432"/>
      <c r="L92" s="395">
        <v>0</v>
      </c>
      <c r="M92" s="431"/>
    </row>
    <row r="93" spans="1:13" x14ac:dyDescent="0.25">
      <c r="A93" s="398">
        <v>44509</v>
      </c>
      <c r="B93" s="399" t="s">
        <v>1332</v>
      </c>
      <c r="C93" s="410" t="s">
        <v>1260</v>
      </c>
      <c r="D93" s="388" t="s">
        <v>1238</v>
      </c>
      <c r="E93" s="402">
        <v>1200</v>
      </c>
      <c r="F93" s="406">
        <v>2017.3</v>
      </c>
      <c r="G93" s="404">
        <v>2420760</v>
      </c>
      <c r="H93" s="405">
        <v>1200</v>
      </c>
      <c r="I93" s="406">
        <v>2017.3</v>
      </c>
      <c r="J93" s="407">
        <v>2420760</v>
      </c>
      <c r="K93" s="432"/>
      <c r="L93" s="395">
        <v>0</v>
      </c>
      <c r="M93" s="431"/>
    </row>
    <row r="94" spans="1:13" x14ac:dyDescent="0.25">
      <c r="A94" s="398">
        <v>44516</v>
      </c>
      <c r="B94" s="399" t="s">
        <v>1333</v>
      </c>
      <c r="C94" s="410" t="s">
        <v>1260</v>
      </c>
      <c r="D94" s="388" t="s">
        <v>1238</v>
      </c>
      <c r="E94" s="402">
        <v>1365</v>
      </c>
      <c r="F94" s="406">
        <v>2017.3</v>
      </c>
      <c r="G94" s="404">
        <v>2753614.5</v>
      </c>
      <c r="H94" s="405">
        <v>1365</v>
      </c>
      <c r="I94" s="406">
        <v>2017.3</v>
      </c>
      <c r="J94" s="407">
        <v>2753614.5</v>
      </c>
      <c r="K94" s="432"/>
      <c r="L94" s="395">
        <v>0</v>
      </c>
      <c r="M94" s="431"/>
    </row>
    <row r="95" spans="1:13" x14ac:dyDescent="0.25">
      <c r="A95" s="398">
        <v>44516</v>
      </c>
      <c r="B95" s="399" t="s">
        <v>1334</v>
      </c>
      <c r="C95" s="400" t="s">
        <v>1239</v>
      </c>
      <c r="D95" s="388" t="s">
        <v>1238</v>
      </c>
      <c r="E95" s="402">
        <v>3460</v>
      </c>
      <c r="F95" s="403">
        <v>669.41</v>
      </c>
      <c r="G95" s="404">
        <v>2316158.6</v>
      </c>
      <c r="H95" s="405">
        <v>3460</v>
      </c>
      <c r="I95" s="406">
        <v>669.41</v>
      </c>
      <c r="J95" s="407">
        <v>2316158.6</v>
      </c>
      <c r="K95" s="432"/>
      <c r="L95" s="395">
        <v>0</v>
      </c>
      <c r="M95" s="431"/>
    </row>
    <row r="96" spans="1:13" x14ac:dyDescent="0.25">
      <c r="A96" s="398">
        <v>44525</v>
      </c>
      <c r="B96" s="399" t="s">
        <v>1335</v>
      </c>
      <c r="C96" s="410" t="s">
        <v>1260</v>
      </c>
      <c r="D96" s="388" t="s">
        <v>1238</v>
      </c>
      <c r="E96" s="402">
        <v>1335</v>
      </c>
      <c r="F96" s="403">
        <v>2017.3</v>
      </c>
      <c r="G96" s="404">
        <v>2693095.5</v>
      </c>
      <c r="H96" s="405">
        <v>1335</v>
      </c>
      <c r="I96" s="406">
        <v>2017.3</v>
      </c>
      <c r="J96" s="407">
        <v>2693095.5</v>
      </c>
      <c r="K96" s="432"/>
      <c r="L96" s="395">
        <v>0</v>
      </c>
      <c r="M96" s="431"/>
    </row>
    <row r="97" spans="1:13" x14ac:dyDescent="0.25">
      <c r="A97" s="433">
        <v>44533</v>
      </c>
      <c r="B97" s="434" t="s">
        <v>1336</v>
      </c>
      <c r="C97" s="435" t="s">
        <v>1239</v>
      </c>
      <c r="D97" s="388" t="s">
        <v>1238</v>
      </c>
      <c r="E97" s="436">
        <v>2000</v>
      </c>
      <c r="F97" s="437">
        <v>669.41</v>
      </c>
      <c r="G97" s="437">
        <v>1338820</v>
      </c>
      <c r="H97" s="438">
        <v>2000</v>
      </c>
      <c r="I97" s="439">
        <v>669.41</v>
      </c>
      <c r="J97" s="440">
        <v>1338820</v>
      </c>
      <c r="K97" s="441">
        <v>2000</v>
      </c>
      <c r="L97" s="395">
        <v>1338820</v>
      </c>
      <c r="M97" s="431"/>
    </row>
    <row r="98" spans="1:13" x14ac:dyDescent="0.25">
      <c r="A98" s="398">
        <v>44533</v>
      </c>
      <c r="B98" s="399" t="s">
        <v>1337</v>
      </c>
      <c r="C98" s="410" t="s">
        <v>1260</v>
      </c>
      <c r="D98" s="388" t="s">
        <v>1238</v>
      </c>
      <c r="E98" s="402">
        <v>1000</v>
      </c>
      <c r="F98" s="403">
        <v>2017.3</v>
      </c>
      <c r="G98" s="404">
        <v>2017300</v>
      </c>
      <c r="H98" s="405">
        <v>1000</v>
      </c>
      <c r="I98" s="406">
        <v>2017.3</v>
      </c>
      <c r="J98" s="407">
        <v>2017300</v>
      </c>
      <c r="K98" s="432"/>
      <c r="L98" s="395">
        <v>0</v>
      </c>
      <c r="M98" s="431"/>
    </row>
    <row r="99" spans="1:13" x14ac:dyDescent="0.25">
      <c r="A99" s="398">
        <v>44544</v>
      </c>
      <c r="B99" s="399" t="s">
        <v>1338</v>
      </c>
      <c r="C99" s="410" t="s">
        <v>1237</v>
      </c>
      <c r="D99" s="388" t="s">
        <v>1238</v>
      </c>
      <c r="E99" s="402">
        <v>292</v>
      </c>
      <c r="F99" s="403">
        <v>2021.24</v>
      </c>
      <c r="G99" s="404">
        <v>590202.07999999996</v>
      </c>
      <c r="H99" s="405">
        <v>292</v>
      </c>
      <c r="I99" s="406">
        <v>2021.24</v>
      </c>
      <c r="J99" s="407">
        <v>590202.07999999996</v>
      </c>
      <c r="K99" s="432"/>
      <c r="L99" s="395">
        <v>0</v>
      </c>
      <c r="M99" s="431"/>
    </row>
    <row r="100" spans="1:13" x14ac:dyDescent="0.25">
      <c r="A100" s="398">
        <v>44547</v>
      </c>
      <c r="B100" s="399" t="s">
        <v>1339</v>
      </c>
      <c r="C100" s="410" t="s">
        <v>1260</v>
      </c>
      <c r="D100" s="388" t="s">
        <v>1238</v>
      </c>
      <c r="E100" s="402">
        <v>250</v>
      </c>
      <c r="F100" s="403">
        <v>2017.3</v>
      </c>
      <c r="G100" s="404">
        <v>504325</v>
      </c>
      <c r="H100" s="405">
        <v>250</v>
      </c>
      <c r="I100" s="406">
        <v>2017.3</v>
      </c>
      <c r="J100" s="407">
        <v>504325</v>
      </c>
      <c r="K100" s="432"/>
      <c r="L100" s="395">
        <v>0</v>
      </c>
      <c r="M100" s="431"/>
    </row>
    <row r="101" spans="1:13" x14ac:dyDescent="0.25">
      <c r="A101" s="398">
        <v>44547</v>
      </c>
      <c r="B101" s="399" t="s">
        <v>1340</v>
      </c>
      <c r="C101" s="410" t="s">
        <v>1260</v>
      </c>
      <c r="D101" s="388" t="s">
        <v>1238</v>
      </c>
      <c r="E101" s="402">
        <v>418</v>
      </c>
      <c r="F101" s="403">
        <v>2017.3</v>
      </c>
      <c r="G101" s="404">
        <v>843231.4</v>
      </c>
      <c r="H101" s="405">
        <v>418</v>
      </c>
      <c r="I101" s="406">
        <v>2017.3</v>
      </c>
      <c r="J101" s="407">
        <v>843231.4</v>
      </c>
      <c r="K101" s="432"/>
      <c r="L101" s="395">
        <v>0</v>
      </c>
      <c r="M101" s="431"/>
    </row>
    <row r="102" spans="1:13" x14ac:dyDescent="0.25">
      <c r="A102" s="433">
        <v>44552</v>
      </c>
      <c r="B102" s="434" t="s">
        <v>1341</v>
      </c>
      <c r="C102" s="442" t="s">
        <v>1260</v>
      </c>
      <c r="D102" s="388" t="s">
        <v>1238</v>
      </c>
      <c r="E102" s="436">
        <v>233</v>
      </c>
      <c r="F102" s="437">
        <v>2017.3</v>
      </c>
      <c r="G102" s="437">
        <v>470030.89999999997</v>
      </c>
      <c r="H102" s="438">
        <v>233</v>
      </c>
      <c r="I102" s="439">
        <v>2017.3</v>
      </c>
      <c r="J102" s="440">
        <v>470030.89999999997</v>
      </c>
      <c r="K102" s="441">
        <v>80</v>
      </c>
      <c r="L102" s="395">
        <v>161384</v>
      </c>
      <c r="M102" s="408"/>
    </row>
    <row r="103" spans="1:13" ht="22.5" x14ac:dyDescent="0.25">
      <c r="A103" s="398">
        <v>44553</v>
      </c>
      <c r="B103" s="399"/>
      <c r="C103" s="410" t="s">
        <v>1237</v>
      </c>
      <c r="D103" s="401" t="s">
        <v>1342</v>
      </c>
      <c r="E103" s="402">
        <v>150</v>
      </c>
      <c r="F103" s="403">
        <v>2021.24</v>
      </c>
      <c r="G103" s="404">
        <v>303186</v>
      </c>
      <c r="H103" s="405">
        <v>150</v>
      </c>
      <c r="I103" s="406">
        <v>2021.24</v>
      </c>
      <c r="J103" s="407">
        <v>303186</v>
      </c>
      <c r="K103" s="432"/>
      <c r="L103" s="395">
        <v>0</v>
      </c>
      <c r="M103" s="408"/>
    </row>
    <row r="104" spans="1:13" x14ac:dyDescent="0.25">
      <c r="A104" s="414">
        <v>44557</v>
      </c>
      <c r="B104" s="415" t="s">
        <v>1343</v>
      </c>
      <c r="C104" s="423" t="s">
        <v>1237</v>
      </c>
      <c r="D104" s="388" t="s">
        <v>1238</v>
      </c>
      <c r="E104" s="417">
        <v>28</v>
      </c>
      <c r="F104" s="419">
        <v>2021.24</v>
      </c>
      <c r="G104" s="419">
        <v>56594.720000000001</v>
      </c>
      <c r="H104" s="420">
        <v>28</v>
      </c>
      <c r="I104" s="418">
        <v>2021.24</v>
      </c>
      <c r="J104" s="421">
        <v>56594.720000000001</v>
      </c>
      <c r="K104" s="443">
        <v>88</v>
      </c>
      <c r="L104" s="395">
        <v>177869.12</v>
      </c>
      <c r="M104" s="408"/>
    </row>
    <row r="105" spans="1:13" x14ac:dyDescent="0.25">
      <c r="A105" s="414">
        <v>44557</v>
      </c>
      <c r="B105" s="415" t="s">
        <v>1344</v>
      </c>
      <c r="C105" s="416" t="s">
        <v>1255</v>
      </c>
      <c r="D105" s="388" t="s">
        <v>1238</v>
      </c>
      <c r="E105" s="415">
        <v>50</v>
      </c>
      <c r="F105" s="419">
        <v>2098.23</v>
      </c>
      <c r="G105" s="419">
        <v>104911.5</v>
      </c>
      <c r="H105" s="420">
        <v>50</v>
      </c>
      <c r="I105" s="418">
        <v>2098.23</v>
      </c>
      <c r="J105" s="421">
        <v>104911.5</v>
      </c>
      <c r="K105" s="443">
        <v>6</v>
      </c>
      <c r="L105" s="395">
        <v>12589.380000000001</v>
      </c>
      <c r="M105" s="408"/>
    </row>
    <row r="106" spans="1:13" ht="15.75" x14ac:dyDescent="0.3">
      <c r="A106" s="397"/>
      <c r="B106" s="397"/>
      <c r="C106" s="397"/>
      <c r="D106" s="444" t="s">
        <v>1345</v>
      </c>
      <c r="E106" s="444"/>
      <c r="F106" s="444"/>
      <c r="G106" s="444"/>
      <c r="H106" s="445">
        <v>82970</v>
      </c>
      <c r="I106" s="446"/>
      <c r="J106" s="447">
        <v>77559898.359999999</v>
      </c>
      <c r="K106" s="448">
        <v>6168</v>
      </c>
      <c r="L106" s="447">
        <v>4699478.7</v>
      </c>
      <c r="M106" s="449"/>
    </row>
    <row r="107" spans="1:13" x14ac:dyDescent="0.25">
      <c r="A107" s="397"/>
      <c r="B107" s="397"/>
      <c r="C107" s="397"/>
      <c r="D107" s="409"/>
      <c r="E107" s="397"/>
      <c r="F107" s="397"/>
      <c r="G107" s="397"/>
      <c r="H107" s="397"/>
      <c r="I107" s="450"/>
      <c r="J107" s="397"/>
      <c r="K107" s="397"/>
      <c r="L107" s="451"/>
      <c r="M107" s="449"/>
    </row>
    <row r="108" spans="1:13" x14ac:dyDescent="0.25">
      <c r="A108" s="397"/>
      <c r="B108" s="397"/>
      <c r="C108" s="397"/>
      <c r="D108" s="397"/>
      <c r="E108" s="397"/>
      <c r="F108" s="397"/>
      <c r="G108" s="397"/>
      <c r="H108" s="397"/>
      <c r="I108" s="450"/>
      <c r="J108" s="397"/>
      <c r="K108" s="397"/>
      <c r="L108" s="451"/>
      <c r="M108" s="449"/>
    </row>
    <row r="109" spans="1:13" x14ac:dyDescent="0.25">
      <c r="A109" s="397"/>
      <c r="B109" s="397"/>
      <c r="C109" s="397"/>
      <c r="D109" s="397"/>
      <c r="E109" s="397"/>
      <c r="F109" s="397"/>
      <c r="G109" s="397"/>
      <c r="H109" s="397"/>
      <c r="I109" s="450"/>
      <c r="J109" s="397"/>
      <c r="K109" s="397"/>
      <c r="L109" s="451"/>
      <c r="M109" s="449"/>
    </row>
    <row r="110" spans="1:13" x14ac:dyDescent="0.25">
      <c r="A110" s="397"/>
      <c r="B110" s="397"/>
      <c r="C110" s="397"/>
      <c r="D110" s="397"/>
      <c r="E110" s="397"/>
      <c r="F110" s="397"/>
      <c r="G110" s="397"/>
      <c r="H110" s="397"/>
      <c r="I110" s="450"/>
      <c r="J110" s="397"/>
      <c r="K110" s="397"/>
      <c r="L110" s="451"/>
      <c r="M110" s="449"/>
    </row>
    <row r="111" spans="1:13" x14ac:dyDescent="0.25">
      <c r="A111" s="397"/>
      <c r="B111" s="397"/>
      <c r="C111" s="397"/>
      <c r="D111" s="397"/>
      <c r="E111" s="397"/>
      <c r="F111" s="397"/>
      <c r="G111" s="397"/>
      <c r="H111" s="397"/>
      <c r="I111" s="450"/>
      <c r="J111" s="397"/>
      <c r="K111" s="397"/>
      <c r="L111" s="451"/>
      <c r="M111" s="449"/>
    </row>
    <row r="112" spans="1:13" x14ac:dyDescent="0.25">
      <c r="A112" s="397"/>
      <c r="B112" s="397"/>
      <c r="C112" s="397"/>
      <c r="D112" s="397"/>
      <c r="E112" s="397"/>
      <c r="F112" s="397"/>
      <c r="G112" s="397"/>
      <c r="H112" s="397"/>
      <c r="I112" s="450"/>
      <c r="J112" s="397"/>
      <c r="K112" s="397"/>
      <c r="L112" s="451"/>
      <c r="M112" s="449"/>
    </row>
    <row r="113" spans="1:13" x14ac:dyDescent="0.25">
      <c r="A113" s="397"/>
      <c r="B113" s="397"/>
      <c r="C113" s="397"/>
      <c r="D113" s="397"/>
      <c r="E113" s="397"/>
      <c r="F113" s="397"/>
      <c r="G113" s="397"/>
      <c r="H113" s="397"/>
      <c r="I113" s="450"/>
      <c r="J113" s="397"/>
      <c r="K113" s="397"/>
      <c r="L113" s="451"/>
      <c r="M113" s="449"/>
    </row>
    <row r="114" spans="1:13" x14ac:dyDescent="0.25">
      <c r="A114" s="397"/>
      <c r="B114" s="397"/>
      <c r="C114" s="397"/>
      <c r="D114" s="397"/>
      <c r="E114" s="397"/>
      <c r="F114" s="397"/>
      <c r="G114" s="397"/>
      <c r="H114" s="397"/>
      <c r="I114" s="450"/>
      <c r="J114" s="397"/>
      <c r="K114" s="397"/>
      <c r="L114" s="451"/>
      <c r="M114" s="449"/>
    </row>
    <row r="115" spans="1:13" x14ac:dyDescent="0.25">
      <c r="A115" s="397"/>
      <c r="B115" s="397"/>
      <c r="C115" s="397"/>
      <c r="D115" s="397"/>
      <c r="E115" s="397"/>
      <c r="F115" s="397"/>
      <c r="G115" s="397"/>
      <c r="H115" s="397"/>
      <c r="I115" s="450"/>
      <c r="J115" s="397"/>
      <c r="K115" s="397"/>
      <c r="L115" s="451"/>
      <c r="M115" s="449"/>
    </row>
    <row r="116" spans="1:13" x14ac:dyDescent="0.25">
      <c r="A116" s="397"/>
      <c r="B116" s="397"/>
      <c r="C116" s="397"/>
      <c r="D116" s="397"/>
      <c r="E116" s="397"/>
      <c r="F116" s="397"/>
      <c r="G116" s="397"/>
      <c r="H116" s="397"/>
      <c r="I116" s="450"/>
      <c r="J116" s="397"/>
      <c r="K116" s="397"/>
      <c r="L116" s="451"/>
      <c r="M116" s="449"/>
    </row>
    <row r="117" spans="1:13" x14ac:dyDescent="0.25">
      <c r="A117" s="397"/>
      <c r="B117" s="397"/>
      <c r="C117" s="397"/>
      <c r="D117" s="397"/>
      <c r="E117" s="397"/>
      <c r="F117" s="397"/>
      <c r="G117" s="397"/>
      <c r="H117" s="397"/>
      <c r="I117" s="450"/>
      <c r="J117" s="397"/>
      <c r="K117" s="397"/>
      <c r="L117" s="451"/>
      <c r="M117" s="449"/>
    </row>
    <row r="118" spans="1:13" x14ac:dyDescent="0.25">
      <c r="A118" s="397"/>
      <c r="B118" s="397"/>
      <c r="C118" s="397"/>
      <c r="D118" s="397"/>
      <c r="E118" s="397"/>
      <c r="F118" s="397"/>
      <c r="G118" s="397"/>
      <c r="H118" s="397"/>
      <c r="I118" s="450"/>
      <c r="J118" s="397"/>
      <c r="K118" s="397"/>
      <c r="L118" s="451"/>
      <c r="M118" s="449"/>
    </row>
    <row r="119" spans="1:13" x14ac:dyDescent="0.25">
      <c r="A119" s="397"/>
      <c r="B119" s="397"/>
      <c r="C119" s="397"/>
      <c r="D119" s="397"/>
      <c r="E119" s="397"/>
      <c r="F119" s="397"/>
      <c r="G119" s="397"/>
      <c r="H119" s="397"/>
      <c r="I119" s="450"/>
      <c r="J119" s="397"/>
      <c r="K119" s="397"/>
      <c r="L119" s="451"/>
      <c r="M119" s="449"/>
    </row>
    <row r="120" spans="1:13" x14ac:dyDescent="0.25">
      <c r="A120" s="397"/>
      <c r="B120" s="397"/>
      <c r="C120" s="397"/>
      <c r="D120" s="397"/>
      <c r="E120" s="397"/>
      <c r="F120" s="397"/>
      <c r="G120" s="397"/>
      <c r="H120" s="397"/>
      <c r="I120" s="450"/>
      <c r="J120" s="397"/>
      <c r="K120" s="397"/>
      <c r="L120" s="451"/>
      <c r="M120" s="449"/>
    </row>
    <row r="121" spans="1:13" x14ac:dyDescent="0.25">
      <c r="A121" s="397"/>
      <c r="B121" s="397"/>
      <c r="C121" s="397"/>
      <c r="D121" s="397"/>
      <c r="E121" s="397"/>
      <c r="F121" s="397"/>
      <c r="G121" s="397"/>
      <c r="H121" s="397"/>
      <c r="I121" s="450"/>
      <c r="J121" s="397"/>
      <c r="K121" s="397"/>
      <c r="L121" s="451"/>
      <c r="M121" s="449"/>
    </row>
    <row r="122" spans="1:13" x14ac:dyDescent="0.25">
      <c r="A122" s="397"/>
      <c r="B122" s="397"/>
      <c r="C122" s="397"/>
      <c r="D122" s="397"/>
      <c r="E122" s="397"/>
      <c r="F122" s="397"/>
      <c r="G122" s="397"/>
      <c r="H122" s="397"/>
      <c r="I122" s="450"/>
      <c r="J122" s="397"/>
      <c r="K122" s="397"/>
      <c r="L122" s="451"/>
      <c r="M122" s="449"/>
    </row>
    <row r="123" spans="1:13" x14ac:dyDescent="0.25">
      <c r="A123" s="397"/>
      <c r="B123" s="397"/>
      <c r="C123" s="397"/>
      <c r="D123" s="397"/>
      <c r="E123" s="397"/>
      <c r="F123" s="397"/>
      <c r="G123" s="397"/>
      <c r="H123" s="397"/>
      <c r="I123" s="450"/>
      <c r="J123" s="397"/>
      <c r="K123" s="397"/>
      <c r="L123" s="451"/>
      <c r="M123" s="449"/>
    </row>
    <row r="124" spans="1:13" x14ac:dyDescent="0.25">
      <c r="A124" s="397"/>
      <c r="B124" s="397"/>
      <c r="C124" s="397"/>
      <c r="D124" s="397"/>
      <c r="E124" s="397"/>
      <c r="F124" s="397"/>
      <c r="G124" s="397"/>
      <c r="H124" s="397"/>
      <c r="I124" s="450"/>
      <c r="J124" s="397"/>
      <c r="K124" s="397"/>
      <c r="L124" s="451"/>
      <c r="M124" s="449"/>
    </row>
    <row r="125" spans="1:13" x14ac:dyDescent="0.25">
      <c r="A125" s="397"/>
      <c r="B125" s="397"/>
      <c r="C125" s="397"/>
      <c r="D125" s="397"/>
      <c r="E125" s="397"/>
      <c r="F125" s="397"/>
      <c r="G125" s="397"/>
      <c r="H125" s="397"/>
      <c r="I125" s="450"/>
      <c r="J125" s="397"/>
      <c r="K125" s="397"/>
      <c r="L125" s="451"/>
      <c r="M125" s="449"/>
    </row>
    <row r="126" spans="1:13" x14ac:dyDescent="0.25">
      <c r="A126" s="397"/>
      <c r="B126" s="397"/>
      <c r="C126" s="397"/>
      <c r="D126" s="397"/>
      <c r="E126" s="397"/>
      <c r="F126" s="397"/>
      <c r="G126" s="397"/>
      <c r="H126" s="397"/>
      <c r="I126" s="450"/>
      <c r="J126" s="397"/>
      <c r="K126" s="397"/>
      <c r="L126" s="451"/>
      <c r="M126" s="449"/>
    </row>
    <row r="127" spans="1:13" x14ac:dyDescent="0.25">
      <c r="A127" s="397"/>
      <c r="B127" s="397"/>
      <c r="C127" s="397"/>
      <c r="D127" s="397"/>
      <c r="E127" s="397"/>
      <c r="F127" s="397"/>
      <c r="G127" s="397"/>
      <c r="H127" s="397"/>
      <c r="I127" s="450"/>
      <c r="J127" s="397"/>
      <c r="K127" s="397"/>
      <c r="L127" s="451"/>
      <c r="M127" s="449"/>
    </row>
    <row r="128" spans="1:13" x14ac:dyDescent="0.25">
      <c r="A128" s="397"/>
      <c r="B128" s="397"/>
      <c r="C128" s="397"/>
      <c r="D128" s="397"/>
      <c r="E128" s="397"/>
      <c r="F128" s="397"/>
      <c r="G128" s="397"/>
      <c r="H128" s="397"/>
      <c r="I128" s="450"/>
      <c r="J128" s="397"/>
      <c r="K128" s="397"/>
      <c r="L128" s="451"/>
      <c r="M128" s="449"/>
    </row>
    <row r="129" spans="1:13" x14ac:dyDescent="0.25">
      <c r="A129" s="397"/>
      <c r="B129" s="397"/>
      <c r="C129" s="397"/>
      <c r="D129" s="397"/>
      <c r="E129" s="397"/>
      <c r="F129" s="397"/>
      <c r="G129" s="397"/>
      <c r="H129" s="397"/>
      <c r="I129" s="450"/>
      <c r="J129" s="397"/>
      <c r="K129" s="397"/>
      <c r="L129" s="451"/>
      <c r="M129" s="449"/>
    </row>
    <row r="130" spans="1:13" x14ac:dyDescent="0.25">
      <c r="A130" s="397"/>
      <c r="B130" s="397"/>
      <c r="C130" s="397"/>
      <c r="D130" s="397"/>
      <c r="E130" s="397"/>
      <c r="F130" s="397"/>
      <c r="G130" s="397"/>
      <c r="H130" s="397"/>
      <c r="I130" s="450"/>
      <c r="J130" s="397"/>
      <c r="K130" s="397"/>
      <c r="L130" s="451"/>
      <c r="M130" s="449"/>
    </row>
    <row r="131" spans="1:13" x14ac:dyDescent="0.25">
      <c r="A131" s="397"/>
      <c r="B131" s="397"/>
      <c r="C131" s="397"/>
      <c r="D131" s="397"/>
      <c r="E131" s="397"/>
      <c r="F131" s="397"/>
      <c r="G131" s="397"/>
      <c r="H131" s="397"/>
      <c r="I131" s="450"/>
      <c r="J131" s="397"/>
      <c r="K131" s="397"/>
      <c r="L131" s="451"/>
      <c r="M131" s="449"/>
    </row>
    <row r="132" spans="1:13" x14ac:dyDescent="0.25">
      <c r="A132" s="397"/>
      <c r="B132" s="397"/>
      <c r="C132" s="397"/>
      <c r="D132" s="397"/>
      <c r="E132" s="397"/>
      <c r="F132" s="397"/>
      <c r="G132" s="397"/>
      <c r="H132" s="397"/>
      <c r="I132" s="450"/>
      <c r="J132" s="397"/>
      <c r="K132" s="397"/>
      <c r="L132" s="451"/>
      <c r="M132" s="449"/>
    </row>
    <row r="133" spans="1:13" x14ac:dyDescent="0.25">
      <c r="A133" s="397"/>
      <c r="B133" s="397"/>
      <c r="C133" s="397"/>
      <c r="D133" s="397"/>
      <c r="E133" s="397"/>
      <c r="F133" s="397"/>
      <c r="G133" s="397"/>
      <c r="H133" s="397"/>
      <c r="I133" s="450"/>
      <c r="J133" s="397"/>
      <c r="K133" s="397"/>
      <c r="L133" s="451"/>
      <c r="M133" s="449"/>
    </row>
    <row r="134" spans="1:13" x14ac:dyDescent="0.25">
      <c r="A134" s="397"/>
      <c r="B134" s="397"/>
      <c r="C134" s="397"/>
      <c r="D134" s="397"/>
      <c r="E134" s="397"/>
      <c r="F134" s="397"/>
      <c r="G134" s="397"/>
      <c r="H134" s="397"/>
      <c r="I134" s="450"/>
      <c r="J134" s="397"/>
      <c r="K134" s="397"/>
      <c r="L134" s="451"/>
      <c r="M134" s="449"/>
    </row>
    <row r="135" spans="1:13" x14ac:dyDescent="0.25">
      <c r="A135" s="397"/>
      <c r="B135" s="397"/>
      <c r="C135" s="397"/>
      <c r="D135" s="397"/>
      <c r="E135" s="397"/>
      <c r="F135" s="397"/>
      <c r="G135" s="397"/>
      <c r="H135" s="397"/>
      <c r="I135" s="450"/>
      <c r="J135" s="397"/>
      <c r="K135" s="397"/>
      <c r="L135" s="451"/>
      <c r="M135" s="449"/>
    </row>
    <row r="136" spans="1:13" x14ac:dyDescent="0.25">
      <c r="A136" s="397"/>
      <c r="B136" s="397"/>
      <c r="C136" s="397"/>
      <c r="D136" s="397"/>
      <c r="E136" s="397"/>
      <c r="F136" s="397"/>
      <c r="G136" s="397"/>
      <c r="H136" s="397"/>
      <c r="I136" s="450"/>
      <c r="J136" s="397"/>
      <c r="K136" s="397"/>
      <c r="L136" s="451"/>
      <c r="M136" s="449"/>
    </row>
    <row r="137" spans="1:13" x14ac:dyDescent="0.25">
      <c r="A137" s="397"/>
      <c r="B137" s="397"/>
      <c r="C137" s="397"/>
      <c r="D137" s="397"/>
      <c r="E137" s="397"/>
      <c r="F137" s="397"/>
      <c r="G137" s="397"/>
      <c r="H137" s="397"/>
      <c r="I137" s="450"/>
      <c r="J137" s="397"/>
      <c r="K137" s="397"/>
      <c r="L137" s="451"/>
      <c r="M137" s="449"/>
    </row>
    <row r="138" spans="1:13" x14ac:dyDescent="0.25">
      <c r="A138" s="397"/>
      <c r="B138" s="397"/>
      <c r="C138" s="397"/>
      <c r="D138" s="397"/>
      <c r="E138" s="397"/>
      <c r="F138" s="397"/>
      <c r="G138" s="397"/>
      <c r="H138" s="397"/>
      <c r="I138" s="450"/>
      <c r="J138" s="397"/>
      <c r="K138" s="397"/>
      <c r="L138" s="451"/>
      <c r="M138" s="449"/>
    </row>
    <row r="139" spans="1:13" x14ac:dyDescent="0.25">
      <c r="A139" s="397"/>
      <c r="B139" s="397"/>
      <c r="C139" s="397"/>
      <c r="D139" s="397"/>
      <c r="E139" s="397"/>
      <c r="F139" s="397"/>
      <c r="G139" s="397"/>
      <c r="H139" s="397"/>
      <c r="I139" s="450"/>
      <c r="J139" s="397"/>
      <c r="K139" s="397"/>
      <c r="L139" s="451"/>
      <c r="M139" s="449"/>
    </row>
    <row r="140" spans="1:13" x14ac:dyDescent="0.25">
      <c r="A140" s="397"/>
      <c r="B140" s="397"/>
      <c r="C140" s="397"/>
      <c r="D140" s="397"/>
      <c r="E140" s="397"/>
      <c r="F140" s="397"/>
      <c r="G140" s="397"/>
      <c r="H140" s="397"/>
      <c r="I140" s="450"/>
      <c r="J140" s="397"/>
      <c r="K140" s="397"/>
      <c r="L140" s="451"/>
      <c r="M140" s="449"/>
    </row>
    <row r="141" spans="1:13" x14ac:dyDescent="0.25">
      <c r="A141" s="397"/>
      <c r="B141" s="397"/>
      <c r="C141" s="397"/>
      <c r="D141" s="397"/>
      <c r="E141" s="397"/>
      <c r="F141" s="397"/>
      <c r="G141" s="397"/>
      <c r="H141" s="397"/>
      <c r="I141" s="450"/>
      <c r="J141" s="397"/>
      <c r="K141" s="397"/>
      <c r="L141" s="451"/>
      <c r="M141" s="449"/>
    </row>
    <row r="142" spans="1:13" x14ac:dyDescent="0.25">
      <c r="A142" s="397"/>
      <c r="B142" s="397"/>
      <c r="C142" s="397"/>
      <c r="D142" s="397"/>
      <c r="E142" s="397"/>
      <c r="F142" s="397"/>
      <c r="G142" s="397"/>
      <c r="H142" s="397"/>
      <c r="I142" s="450"/>
      <c r="J142" s="397"/>
      <c r="K142" s="397"/>
      <c r="L142" s="451"/>
      <c r="M142" s="449"/>
    </row>
    <row r="143" spans="1:13" x14ac:dyDescent="0.25">
      <c r="A143" s="397"/>
      <c r="B143" s="397"/>
      <c r="C143" s="397"/>
      <c r="D143" s="397"/>
      <c r="E143" s="397"/>
      <c r="F143" s="397"/>
      <c r="G143" s="397"/>
      <c r="H143" s="397"/>
      <c r="I143" s="450"/>
      <c r="J143" s="397"/>
      <c r="K143" s="397"/>
      <c r="L143" s="451"/>
      <c r="M143" s="449"/>
    </row>
    <row r="144" spans="1:13" x14ac:dyDescent="0.25">
      <c r="A144" s="397"/>
      <c r="B144" s="397"/>
      <c r="C144" s="397"/>
      <c r="D144" s="397"/>
      <c r="E144" s="397"/>
      <c r="F144" s="397"/>
      <c r="G144" s="397"/>
      <c r="H144" s="397"/>
      <c r="I144" s="450"/>
      <c r="J144" s="397"/>
      <c r="K144" s="397"/>
      <c r="L144" s="451"/>
      <c r="M144" s="449"/>
    </row>
    <row r="145" spans="1:13" x14ac:dyDescent="0.25">
      <c r="A145" s="397"/>
      <c r="B145" s="397"/>
      <c r="C145" s="397"/>
      <c r="D145" s="397"/>
      <c r="E145" s="397"/>
      <c r="F145" s="397"/>
      <c r="G145" s="397"/>
      <c r="H145" s="397"/>
      <c r="I145" s="450"/>
      <c r="J145" s="397"/>
      <c r="K145" s="397"/>
      <c r="L145" s="451"/>
      <c r="M145" s="449"/>
    </row>
    <row r="146" spans="1:13" x14ac:dyDescent="0.25">
      <c r="A146" s="397"/>
      <c r="B146" s="397"/>
      <c r="C146" s="397"/>
      <c r="D146" s="397"/>
      <c r="E146" s="397"/>
      <c r="F146" s="397"/>
      <c r="G146" s="397"/>
      <c r="H146" s="397"/>
      <c r="I146" s="450"/>
      <c r="J146" s="397"/>
      <c r="K146" s="397"/>
      <c r="L146" s="451"/>
      <c r="M146" s="449"/>
    </row>
    <row r="147" spans="1:13" x14ac:dyDescent="0.25">
      <c r="A147" s="397"/>
      <c r="B147" s="397"/>
      <c r="C147" s="397"/>
      <c r="D147" s="397"/>
      <c r="E147" s="397"/>
      <c r="F147" s="397"/>
      <c r="G147" s="397"/>
      <c r="H147" s="397"/>
      <c r="I147" s="450"/>
      <c r="J147" s="397"/>
      <c r="K147" s="397"/>
      <c r="L147" s="451"/>
      <c r="M147" s="449"/>
    </row>
    <row r="148" spans="1:13" x14ac:dyDescent="0.25">
      <c r="A148" s="397"/>
      <c r="B148" s="397"/>
      <c r="C148" s="397"/>
      <c r="D148" s="397"/>
      <c r="E148" s="397"/>
      <c r="F148" s="397"/>
      <c r="G148" s="397"/>
      <c r="H148" s="397"/>
      <c r="I148" s="450"/>
      <c r="J148" s="397"/>
      <c r="K148" s="397"/>
      <c r="L148" s="451"/>
      <c r="M148" s="449"/>
    </row>
    <row r="149" spans="1:13" x14ac:dyDescent="0.25">
      <c r="A149" s="397"/>
      <c r="B149" s="397"/>
      <c r="C149" s="397"/>
      <c r="D149" s="397"/>
      <c r="E149" s="397"/>
      <c r="F149" s="397"/>
      <c r="G149" s="397"/>
      <c r="H149" s="397"/>
      <c r="I149" s="450"/>
      <c r="J149" s="397"/>
      <c r="K149" s="397"/>
      <c r="L149" s="451"/>
      <c r="M149" s="449"/>
    </row>
    <row r="150" spans="1:13" x14ac:dyDescent="0.25">
      <c r="A150" s="397"/>
      <c r="B150" s="397"/>
      <c r="C150" s="397"/>
      <c r="D150" s="397"/>
      <c r="E150" s="397"/>
      <c r="F150" s="397"/>
      <c r="G150" s="397"/>
      <c r="H150" s="397"/>
      <c r="I150" s="450"/>
      <c r="J150" s="397"/>
      <c r="K150" s="397"/>
      <c r="L150" s="451"/>
      <c r="M150" s="449"/>
    </row>
    <row r="151" spans="1:13" x14ac:dyDescent="0.25">
      <c r="A151" s="397"/>
      <c r="B151" s="397"/>
      <c r="C151" s="397"/>
      <c r="D151" s="397"/>
      <c r="E151" s="397"/>
      <c r="F151" s="397"/>
      <c r="G151" s="397"/>
      <c r="H151" s="397"/>
      <c r="I151" s="450"/>
      <c r="J151" s="397"/>
      <c r="K151" s="397"/>
      <c r="L151" s="451"/>
      <c r="M151" s="449"/>
    </row>
    <row r="152" spans="1:13" x14ac:dyDescent="0.25">
      <c r="A152" s="397"/>
      <c r="B152" s="397"/>
      <c r="C152" s="397"/>
      <c r="D152" s="397"/>
      <c r="E152" s="397"/>
      <c r="F152" s="397"/>
      <c r="G152" s="397"/>
      <c r="H152" s="397"/>
      <c r="I152" s="450"/>
      <c r="J152" s="397"/>
      <c r="K152" s="397"/>
      <c r="L152" s="451"/>
      <c r="M152" s="449"/>
    </row>
    <row r="153" spans="1:13" x14ac:dyDescent="0.25">
      <c r="A153" s="397"/>
      <c r="B153" s="397"/>
      <c r="C153" s="397"/>
      <c r="D153" s="397"/>
      <c r="E153" s="397"/>
      <c r="F153" s="397"/>
      <c r="G153" s="397"/>
      <c r="H153" s="397"/>
      <c r="I153" s="450"/>
      <c r="J153" s="397"/>
      <c r="K153" s="397"/>
      <c r="L153" s="451"/>
      <c r="M153" s="449"/>
    </row>
    <row r="154" spans="1:13" x14ac:dyDescent="0.25">
      <c r="A154" s="397"/>
      <c r="B154" s="397"/>
      <c r="C154" s="397"/>
      <c r="D154" s="397"/>
      <c r="E154" s="397"/>
      <c r="F154" s="397"/>
      <c r="G154" s="397"/>
      <c r="H154" s="397"/>
      <c r="I154" s="450"/>
      <c r="J154" s="397"/>
      <c r="K154" s="397"/>
      <c r="L154" s="451"/>
      <c r="M154" s="449"/>
    </row>
    <row r="155" spans="1:13" x14ac:dyDescent="0.25">
      <c r="A155" s="397"/>
      <c r="B155" s="397"/>
      <c r="C155" s="397"/>
      <c r="D155" s="397"/>
      <c r="E155" s="397"/>
      <c r="F155" s="397"/>
      <c r="G155" s="397"/>
      <c r="H155" s="397"/>
      <c r="I155" s="450"/>
      <c r="J155" s="397"/>
      <c r="K155" s="397"/>
      <c r="L155" s="451"/>
      <c r="M155" s="449"/>
    </row>
    <row r="156" spans="1:13" x14ac:dyDescent="0.25">
      <c r="A156" s="397"/>
      <c r="B156" s="397"/>
      <c r="C156" s="397"/>
      <c r="D156" s="397"/>
      <c r="E156" s="397"/>
      <c r="F156" s="397"/>
      <c r="G156" s="397"/>
      <c r="H156" s="397"/>
      <c r="I156" s="450"/>
      <c r="J156" s="397"/>
      <c r="K156" s="397"/>
      <c r="L156" s="451"/>
      <c r="M156" s="449"/>
    </row>
    <row r="157" spans="1:13" x14ac:dyDescent="0.25">
      <c r="A157" s="397"/>
      <c r="B157" s="397"/>
      <c r="C157" s="397"/>
      <c r="D157" s="397"/>
      <c r="E157" s="397"/>
      <c r="F157" s="397"/>
      <c r="G157" s="397"/>
      <c r="H157" s="397"/>
      <c r="I157" s="450"/>
      <c r="J157" s="397"/>
      <c r="K157" s="397"/>
      <c r="L157" s="451"/>
      <c r="M157" s="449"/>
    </row>
    <row r="158" spans="1:13" x14ac:dyDescent="0.25">
      <c r="A158" s="397"/>
      <c r="B158" s="397"/>
      <c r="C158" s="397"/>
      <c r="D158" s="397"/>
      <c r="E158" s="397"/>
      <c r="F158" s="397"/>
      <c r="G158" s="397"/>
      <c r="H158" s="397"/>
      <c r="I158" s="450"/>
      <c r="J158" s="397"/>
      <c r="K158" s="397"/>
      <c r="L158" s="451"/>
      <c r="M158" s="449"/>
    </row>
    <row r="159" spans="1:13" x14ac:dyDescent="0.25">
      <c r="A159" s="397"/>
      <c r="B159" s="397"/>
      <c r="C159" s="397"/>
      <c r="D159" s="397"/>
      <c r="E159" s="397"/>
      <c r="F159" s="397"/>
      <c r="G159" s="397"/>
      <c r="H159" s="397"/>
      <c r="I159" s="450"/>
      <c r="J159" s="397"/>
      <c r="K159" s="397"/>
      <c r="L159" s="451"/>
      <c r="M159" s="449"/>
    </row>
    <row r="160" spans="1:13" x14ac:dyDescent="0.25">
      <c r="A160" s="397"/>
      <c r="B160" s="397"/>
      <c r="C160" s="397"/>
      <c r="D160" s="397"/>
      <c r="E160" s="397"/>
      <c r="F160" s="397"/>
      <c r="G160" s="397"/>
      <c r="H160" s="397"/>
      <c r="I160" s="450"/>
      <c r="J160" s="397"/>
      <c r="K160" s="397"/>
      <c r="L160" s="451"/>
      <c r="M160" s="449"/>
    </row>
    <row r="161" spans="1:13" x14ac:dyDescent="0.25">
      <c r="A161" s="397"/>
      <c r="B161" s="397"/>
      <c r="C161" s="397"/>
      <c r="D161" s="397"/>
      <c r="E161" s="397"/>
      <c r="F161" s="397"/>
      <c r="G161" s="397"/>
      <c r="H161" s="397"/>
      <c r="I161" s="450"/>
      <c r="J161" s="397"/>
      <c r="K161" s="397"/>
      <c r="L161" s="451"/>
      <c r="M161" s="449"/>
    </row>
    <row r="162" spans="1:13" x14ac:dyDescent="0.25">
      <c r="A162" s="397"/>
      <c r="B162" s="397"/>
      <c r="C162" s="397"/>
      <c r="D162" s="397"/>
      <c r="E162" s="397"/>
      <c r="F162" s="397"/>
      <c r="G162" s="397"/>
      <c r="H162" s="397"/>
      <c r="I162" s="450"/>
      <c r="J162" s="397"/>
      <c r="K162" s="397"/>
      <c r="L162" s="451"/>
      <c r="M162" s="449"/>
    </row>
    <row r="163" spans="1:13" x14ac:dyDescent="0.25">
      <c r="A163" s="397"/>
      <c r="B163" s="397"/>
      <c r="C163" s="397"/>
      <c r="D163" s="397"/>
      <c r="E163" s="397"/>
      <c r="F163" s="397"/>
      <c r="G163" s="397"/>
      <c r="H163" s="397"/>
      <c r="I163" s="450"/>
      <c r="J163" s="397"/>
      <c r="K163" s="397"/>
      <c r="L163" s="451"/>
      <c r="M163" s="449"/>
    </row>
    <row r="164" spans="1:13" x14ac:dyDescent="0.25">
      <c r="A164" s="397"/>
      <c r="B164" s="397"/>
      <c r="C164" s="397"/>
      <c r="D164" s="397"/>
      <c r="E164" s="397"/>
      <c r="F164" s="397"/>
      <c r="G164" s="397"/>
      <c r="H164" s="397"/>
      <c r="I164" s="450"/>
      <c r="J164" s="397"/>
      <c r="K164" s="397"/>
      <c r="L164" s="451"/>
      <c r="M164" s="449"/>
    </row>
    <row r="165" spans="1:13" x14ac:dyDescent="0.25">
      <c r="A165" s="397"/>
      <c r="B165" s="397"/>
      <c r="C165" s="397"/>
      <c r="D165" s="397"/>
      <c r="E165" s="397"/>
      <c r="F165" s="397"/>
      <c r="G165" s="397"/>
      <c r="H165" s="397"/>
      <c r="I165" s="450"/>
      <c r="J165" s="397"/>
      <c r="K165" s="397"/>
      <c r="L165" s="451"/>
      <c r="M165" s="449"/>
    </row>
    <row r="166" spans="1:13" x14ac:dyDescent="0.25">
      <c r="A166" s="397"/>
      <c r="B166" s="397"/>
      <c r="C166" s="397"/>
      <c r="D166" s="397"/>
      <c r="E166" s="397"/>
      <c r="F166" s="397"/>
      <c r="G166" s="397"/>
      <c r="H166" s="397"/>
      <c r="I166" s="450"/>
      <c r="J166" s="397"/>
      <c r="K166" s="397"/>
      <c r="L166" s="451"/>
      <c r="M166" s="449"/>
    </row>
    <row r="167" spans="1:13" x14ac:dyDescent="0.25">
      <c r="A167" s="397"/>
      <c r="B167" s="397"/>
      <c r="C167" s="397"/>
      <c r="D167" s="397"/>
      <c r="E167" s="397"/>
      <c r="F167" s="397"/>
      <c r="G167" s="397"/>
      <c r="H167" s="397"/>
      <c r="I167" s="450"/>
      <c r="J167" s="397"/>
      <c r="K167" s="397"/>
      <c r="L167" s="451"/>
      <c r="M167" s="449"/>
    </row>
    <row r="168" spans="1:13" x14ac:dyDescent="0.25">
      <c r="A168" s="397"/>
      <c r="B168" s="397"/>
      <c r="C168" s="397"/>
      <c r="D168" s="397"/>
      <c r="E168" s="397"/>
      <c r="F168" s="397"/>
      <c r="G168" s="397"/>
      <c r="H168" s="397"/>
      <c r="I168" s="450"/>
      <c r="J168" s="397"/>
      <c r="K168" s="397"/>
      <c r="L168" s="451"/>
      <c r="M168" s="449"/>
    </row>
    <row r="169" spans="1:13" x14ac:dyDescent="0.25">
      <c r="A169" s="397"/>
      <c r="B169" s="397"/>
      <c r="C169" s="397"/>
      <c r="D169" s="397"/>
      <c r="E169" s="397"/>
      <c r="F169" s="397"/>
      <c r="G169" s="397"/>
      <c r="H169" s="397"/>
      <c r="I169" s="450"/>
      <c r="J169" s="397"/>
      <c r="K169" s="397"/>
      <c r="L169" s="451"/>
      <c r="M169" s="449"/>
    </row>
    <row r="170" spans="1:13" x14ac:dyDescent="0.25">
      <c r="A170" s="397"/>
      <c r="B170" s="397"/>
      <c r="C170" s="397"/>
      <c r="D170" s="397"/>
      <c r="E170" s="397"/>
      <c r="F170" s="397"/>
      <c r="G170" s="397"/>
      <c r="H170" s="397"/>
      <c r="I170" s="450"/>
      <c r="J170" s="397"/>
      <c r="K170" s="397"/>
      <c r="L170" s="451"/>
      <c r="M170" s="449"/>
    </row>
    <row r="171" spans="1:13" x14ac:dyDescent="0.25">
      <c r="A171" s="397"/>
      <c r="B171" s="397"/>
      <c r="C171" s="397"/>
      <c r="D171" s="397"/>
      <c r="E171" s="397"/>
      <c r="F171" s="397"/>
      <c r="G171" s="397"/>
      <c r="H171" s="397"/>
      <c r="I171" s="450"/>
      <c r="J171" s="397"/>
      <c r="K171" s="397"/>
      <c r="L171" s="451"/>
      <c r="M171" s="449"/>
    </row>
    <row r="172" spans="1:13" x14ac:dyDescent="0.25">
      <c r="A172" s="397"/>
      <c r="B172" s="397"/>
      <c r="C172" s="397"/>
      <c r="D172" s="397"/>
      <c r="E172" s="397"/>
      <c r="F172" s="397"/>
      <c r="G172" s="397"/>
      <c r="H172" s="397"/>
      <c r="I172" s="450"/>
      <c r="J172" s="397"/>
      <c r="K172" s="397"/>
      <c r="L172" s="451"/>
      <c r="M172" s="449"/>
    </row>
    <row r="173" spans="1:13" x14ac:dyDescent="0.25">
      <c r="A173" s="397"/>
      <c r="B173" s="397"/>
      <c r="C173" s="397"/>
      <c r="D173" s="397"/>
      <c r="E173" s="397"/>
      <c r="F173" s="397"/>
      <c r="G173" s="397"/>
      <c r="H173" s="397"/>
      <c r="I173" s="450"/>
      <c r="J173" s="397"/>
      <c r="K173" s="397"/>
      <c r="L173" s="451"/>
      <c r="M173" s="449"/>
    </row>
    <row r="174" spans="1:13" x14ac:dyDescent="0.25">
      <c r="A174" s="397"/>
      <c r="B174" s="397"/>
      <c r="C174" s="397"/>
      <c r="D174" s="397"/>
      <c r="E174" s="397"/>
      <c r="F174" s="397"/>
      <c r="G174" s="397"/>
      <c r="H174" s="397"/>
      <c r="I174" s="450"/>
      <c r="J174" s="397"/>
      <c r="K174" s="397"/>
      <c r="L174" s="451"/>
      <c r="M174" s="449"/>
    </row>
    <row r="175" spans="1:13" x14ac:dyDescent="0.25">
      <c r="A175" s="397"/>
      <c r="B175" s="397"/>
      <c r="C175" s="397"/>
      <c r="D175" s="397"/>
      <c r="E175" s="397"/>
      <c r="F175" s="397"/>
      <c r="G175" s="397"/>
      <c r="H175" s="397"/>
      <c r="I175" s="450"/>
      <c r="J175" s="397"/>
      <c r="K175" s="397"/>
      <c r="L175" s="451"/>
      <c r="M175" s="449"/>
    </row>
    <row r="176" spans="1:13" x14ac:dyDescent="0.25">
      <c r="A176" s="397"/>
      <c r="B176" s="397"/>
      <c r="C176" s="397"/>
      <c r="D176" s="397"/>
      <c r="E176" s="397"/>
      <c r="F176" s="397"/>
      <c r="G176" s="397"/>
      <c r="H176" s="397"/>
      <c r="I176" s="450"/>
      <c r="J176" s="397"/>
      <c r="K176" s="397"/>
      <c r="L176" s="451"/>
      <c r="M176" s="449"/>
    </row>
    <row r="177" spans="1:13" x14ac:dyDescent="0.25">
      <c r="A177" s="397"/>
      <c r="B177" s="397"/>
      <c r="C177" s="397"/>
      <c r="D177" s="397"/>
      <c r="E177" s="397"/>
      <c r="F177" s="397"/>
      <c r="G177" s="397"/>
      <c r="H177" s="397"/>
      <c r="I177" s="450"/>
      <c r="J177" s="397"/>
      <c r="K177" s="397"/>
      <c r="L177" s="451"/>
      <c r="M177" s="449"/>
    </row>
    <row r="178" spans="1:13" x14ac:dyDescent="0.25">
      <c r="A178" s="397"/>
      <c r="B178" s="397"/>
      <c r="C178" s="397"/>
      <c r="D178" s="397"/>
      <c r="E178" s="397"/>
      <c r="F178" s="397"/>
      <c r="G178" s="397"/>
      <c r="H178" s="397"/>
      <c r="I178" s="450"/>
      <c r="J178" s="397"/>
      <c r="K178" s="397"/>
      <c r="L178" s="451"/>
      <c r="M178" s="449"/>
    </row>
    <row r="179" spans="1:13" x14ac:dyDescent="0.25">
      <c r="A179" s="397"/>
      <c r="B179" s="397"/>
      <c r="C179" s="397"/>
      <c r="D179" s="397"/>
      <c r="E179" s="397"/>
      <c r="F179" s="397"/>
      <c r="G179" s="397"/>
      <c r="H179" s="397"/>
      <c r="I179" s="450"/>
      <c r="J179" s="397"/>
      <c r="K179" s="397"/>
      <c r="L179" s="451"/>
      <c r="M179" s="449"/>
    </row>
    <row r="180" spans="1:13" x14ac:dyDescent="0.25">
      <c r="A180" s="397"/>
      <c r="B180" s="397"/>
      <c r="C180" s="397"/>
      <c r="D180" s="397"/>
      <c r="E180" s="397"/>
      <c r="F180" s="397"/>
      <c r="G180" s="397"/>
      <c r="H180" s="397"/>
      <c r="I180" s="450"/>
      <c r="J180" s="397"/>
      <c r="K180" s="397"/>
      <c r="L180" s="451"/>
      <c r="M180" s="449"/>
    </row>
    <row r="181" spans="1:13" x14ac:dyDescent="0.25">
      <c r="A181" s="397"/>
      <c r="B181" s="397"/>
      <c r="C181" s="397"/>
      <c r="D181" s="397"/>
      <c r="E181" s="397"/>
      <c r="F181" s="397"/>
      <c r="G181" s="397"/>
      <c r="H181" s="397"/>
      <c r="I181" s="450"/>
      <c r="J181" s="397"/>
      <c r="K181" s="397"/>
      <c r="L181" s="451"/>
      <c r="M181" s="449"/>
    </row>
    <row r="182" spans="1:13" x14ac:dyDescent="0.25">
      <c r="A182" s="397"/>
      <c r="B182" s="397"/>
      <c r="C182" s="397"/>
      <c r="D182" s="397"/>
      <c r="E182" s="397"/>
      <c r="F182" s="397"/>
      <c r="G182" s="397"/>
      <c r="H182" s="397"/>
      <c r="I182" s="450"/>
      <c r="J182" s="397"/>
      <c r="K182" s="397"/>
      <c r="L182" s="451"/>
      <c r="M182" s="449"/>
    </row>
    <row r="183" spans="1:13" x14ac:dyDescent="0.25">
      <c r="A183" s="397"/>
      <c r="B183" s="397"/>
      <c r="C183" s="397"/>
      <c r="D183" s="397"/>
      <c r="E183" s="397"/>
      <c r="F183" s="397"/>
      <c r="G183" s="397"/>
      <c r="H183" s="397"/>
      <c r="I183" s="450"/>
      <c r="J183" s="397"/>
      <c r="K183" s="397"/>
      <c r="L183" s="451"/>
      <c r="M183" s="449"/>
    </row>
    <row r="184" spans="1:13" x14ac:dyDescent="0.25">
      <c r="A184" s="397"/>
      <c r="B184" s="397"/>
      <c r="C184" s="397"/>
      <c r="D184" s="397"/>
      <c r="E184" s="397"/>
      <c r="F184" s="397"/>
      <c r="G184" s="397"/>
      <c r="H184" s="397"/>
      <c r="I184" s="450"/>
      <c r="J184" s="397"/>
      <c r="K184" s="397"/>
      <c r="L184" s="451"/>
      <c r="M184" s="449"/>
    </row>
    <row r="185" spans="1:13" x14ac:dyDescent="0.25">
      <c r="A185" s="397"/>
      <c r="B185" s="397"/>
      <c r="C185" s="397"/>
      <c r="D185" s="397"/>
      <c r="E185" s="397"/>
      <c r="F185" s="397"/>
      <c r="G185" s="397"/>
      <c r="H185" s="397"/>
      <c r="I185" s="450"/>
      <c r="J185" s="397"/>
      <c r="K185" s="397"/>
      <c r="L185" s="451"/>
      <c r="M185" s="449"/>
    </row>
    <row r="186" spans="1:13" x14ac:dyDescent="0.25">
      <c r="A186" s="397"/>
      <c r="B186" s="397"/>
      <c r="C186" s="397"/>
      <c r="D186" s="397"/>
      <c r="E186" s="397"/>
      <c r="F186" s="397"/>
      <c r="G186" s="397"/>
      <c r="H186" s="397"/>
      <c r="I186" s="450"/>
      <c r="J186" s="397"/>
      <c r="K186" s="397"/>
      <c r="L186" s="451"/>
      <c r="M186" s="449"/>
    </row>
    <row r="187" spans="1:13" x14ac:dyDescent="0.25">
      <c r="A187" s="397"/>
      <c r="B187" s="397"/>
      <c r="C187" s="397"/>
      <c r="D187" s="397"/>
      <c r="E187" s="397"/>
      <c r="F187" s="397"/>
      <c r="G187" s="397"/>
      <c r="H187" s="397"/>
      <c r="I187" s="450"/>
      <c r="J187" s="397"/>
      <c r="K187" s="397"/>
      <c r="L187" s="451"/>
      <c r="M187" s="449"/>
    </row>
    <row r="188" spans="1:13" x14ac:dyDescent="0.25">
      <c r="A188" s="397"/>
      <c r="B188" s="397"/>
      <c r="C188" s="397"/>
      <c r="D188" s="397"/>
      <c r="E188" s="397"/>
      <c r="F188" s="397"/>
      <c r="G188" s="397"/>
      <c r="H188" s="397"/>
      <c r="I188" s="450"/>
      <c r="J188" s="397"/>
      <c r="K188" s="397"/>
      <c r="L188" s="451"/>
      <c r="M188" s="449"/>
    </row>
    <row r="189" spans="1:13" x14ac:dyDescent="0.25">
      <c r="A189" s="397"/>
      <c r="B189" s="397"/>
      <c r="C189" s="397"/>
      <c r="D189" s="397"/>
      <c r="E189" s="397"/>
      <c r="F189" s="397"/>
      <c r="G189" s="397"/>
      <c r="H189" s="397"/>
      <c r="I189" s="450"/>
      <c r="J189" s="397"/>
      <c r="K189" s="397"/>
      <c r="L189" s="451"/>
      <c r="M189" s="449"/>
    </row>
    <row r="190" spans="1:13" x14ac:dyDescent="0.25">
      <c r="A190" s="397"/>
      <c r="B190" s="397"/>
      <c r="C190" s="397"/>
      <c r="D190" s="397"/>
      <c r="E190" s="397"/>
      <c r="F190" s="397"/>
      <c r="G190" s="397"/>
      <c r="H190" s="397"/>
      <c r="I190" s="450"/>
      <c r="J190" s="397"/>
      <c r="K190" s="397"/>
      <c r="L190" s="451"/>
      <c r="M190" s="449"/>
    </row>
    <row r="191" spans="1:13" x14ac:dyDescent="0.25">
      <c r="A191" s="397"/>
      <c r="B191" s="397"/>
      <c r="C191" s="397"/>
      <c r="D191" s="397"/>
      <c r="E191" s="397"/>
      <c r="F191" s="397"/>
      <c r="G191" s="397"/>
      <c r="H191" s="397"/>
      <c r="I191" s="450"/>
      <c r="J191" s="397"/>
      <c r="K191" s="397"/>
      <c r="L191" s="451"/>
      <c r="M191" s="449"/>
    </row>
    <row r="192" spans="1:13" x14ac:dyDescent="0.25">
      <c r="A192" s="397"/>
      <c r="B192" s="397"/>
      <c r="C192" s="397"/>
      <c r="D192" s="397"/>
      <c r="E192" s="397"/>
      <c r="F192" s="397"/>
      <c r="G192" s="397"/>
      <c r="H192" s="397"/>
      <c r="I192" s="450"/>
      <c r="J192" s="397"/>
      <c r="K192" s="397"/>
      <c r="L192" s="451"/>
      <c r="M192" s="449"/>
    </row>
    <row r="193" spans="1:13" x14ac:dyDescent="0.25">
      <c r="A193" s="397"/>
      <c r="B193" s="397"/>
      <c r="C193" s="397"/>
      <c r="D193" s="397"/>
      <c r="E193" s="397"/>
      <c r="F193" s="397"/>
      <c r="G193" s="397"/>
      <c r="H193" s="397"/>
      <c r="I193" s="450"/>
      <c r="J193" s="397"/>
      <c r="K193" s="397"/>
      <c r="L193" s="451"/>
      <c r="M193" s="449"/>
    </row>
    <row r="194" spans="1:13" x14ac:dyDescent="0.25">
      <c r="A194" s="397"/>
      <c r="B194" s="397"/>
      <c r="C194" s="397"/>
      <c r="D194" s="397"/>
      <c r="E194" s="397"/>
      <c r="F194" s="397"/>
      <c r="G194" s="397"/>
      <c r="H194" s="397"/>
      <c r="I194" s="450"/>
      <c r="J194" s="397"/>
      <c r="K194" s="397"/>
      <c r="L194" s="451"/>
      <c r="M194" s="449"/>
    </row>
    <row r="195" spans="1:13" x14ac:dyDescent="0.25">
      <c r="A195" s="397"/>
      <c r="B195" s="397"/>
      <c r="C195" s="397"/>
      <c r="D195" s="397"/>
      <c r="E195" s="397"/>
      <c r="F195" s="397"/>
      <c r="G195" s="397"/>
      <c r="H195" s="397"/>
      <c r="I195" s="450"/>
      <c r="J195" s="397"/>
      <c r="K195" s="397"/>
      <c r="L195" s="451"/>
      <c r="M195" s="449"/>
    </row>
    <row r="196" spans="1:13" x14ac:dyDescent="0.25">
      <c r="A196" s="397"/>
      <c r="B196" s="397"/>
      <c r="C196" s="397"/>
      <c r="D196" s="397"/>
      <c r="E196" s="397"/>
      <c r="F196" s="397"/>
      <c r="G196" s="397"/>
      <c r="H196" s="397"/>
      <c r="I196" s="450"/>
      <c r="J196" s="397"/>
      <c r="K196" s="397"/>
      <c r="L196" s="451"/>
      <c r="M196" s="449"/>
    </row>
    <row r="197" spans="1:13" x14ac:dyDescent="0.25">
      <c r="A197" s="397"/>
      <c r="B197" s="397"/>
      <c r="C197" s="397"/>
      <c r="D197" s="397"/>
      <c r="E197" s="397"/>
      <c r="F197" s="397"/>
      <c r="G197" s="397"/>
      <c r="H197" s="397"/>
      <c r="I197" s="450"/>
      <c r="J197" s="397"/>
      <c r="K197" s="397"/>
      <c r="L197" s="451"/>
      <c r="M197" s="449"/>
    </row>
    <row r="198" spans="1:13" x14ac:dyDescent="0.25">
      <c r="A198" s="397"/>
      <c r="B198" s="397"/>
      <c r="C198" s="397"/>
      <c r="D198" s="397"/>
      <c r="E198" s="397"/>
      <c r="F198" s="397"/>
      <c r="G198" s="397"/>
      <c r="H198" s="397"/>
      <c r="I198" s="450"/>
      <c r="J198" s="397"/>
      <c r="K198" s="397"/>
      <c r="L198" s="451"/>
      <c r="M198" s="449"/>
    </row>
    <row r="199" spans="1:13" x14ac:dyDescent="0.25">
      <c r="A199" s="397"/>
      <c r="B199" s="397"/>
      <c r="C199" s="397"/>
      <c r="D199" s="397"/>
      <c r="E199" s="397"/>
      <c r="F199" s="397"/>
      <c r="G199" s="397"/>
      <c r="H199" s="397"/>
      <c r="I199" s="450"/>
      <c r="J199" s="397"/>
      <c r="K199" s="397"/>
      <c r="L199" s="451"/>
      <c r="M199" s="449"/>
    </row>
    <row r="200" spans="1:13" x14ac:dyDescent="0.25">
      <c r="A200" s="397"/>
      <c r="B200" s="397"/>
      <c r="C200" s="397"/>
      <c r="D200" s="397"/>
      <c r="E200" s="397"/>
      <c r="F200" s="397"/>
      <c r="G200" s="397"/>
      <c r="H200" s="397"/>
      <c r="I200" s="450"/>
      <c r="J200" s="397"/>
      <c r="K200" s="397"/>
      <c r="L200" s="451"/>
      <c r="M200" s="449"/>
    </row>
    <row r="201" spans="1:13" x14ac:dyDescent="0.25">
      <c r="A201" s="397"/>
      <c r="B201" s="397"/>
      <c r="C201" s="397"/>
      <c r="D201" s="397"/>
      <c r="E201" s="397"/>
      <c r="F201" s="397"/>
      <c r="G201" s="397"/>
      <c r="H201" s="397"/>
      <c r="I201" s="450"/>
      <c r="J201" s="397"/>
      <c r="K201" s="397"/>
      <c r="L201" s="451"/>
      <c r="M201" s="449"/>
    </row>
    <row r="202" spans="1:13" x14ac:dyDescent="0.25">
      <c r="A202" s="397"/>
      <c r="B202" s="397"/>
      <c r="C202" s="397"/>
      <c r="D202" s="397"/>
      <c r="E202" s="397"/>
      <c r="F202" s="397"/>
      <c r="G202" s="397"/>
      <c r="H202" s="397"/>
      <c r="I202" s="450"/>
      <c r="J202" s="397"/>
      <c r="K202" s="397"/>
      <c r="L202" s="451"/>
      <c r="M202" s="449"/>
    </row>
    <row r="203" spans="1:13" x14ac:dyDescent="0.25">
      <c r="A203" s="397"/>
      <c r="B203" s="397"/>
      <c r="C203" s="397"/>
      <c r="D203" s="397"/>
      <c r="E203" s="397"/>
      <c r="F203" s="397"/>
      <c r="G203" s="397"/>
      <c r="H203" s="397"/>
      <c r="I203" s="450"/>
      <c r="J203" s="397"/>
      <c r="K203" s="397"/>
      <c r="L203" s="451"/>
      <c r="M203" s="449"/>
    </row>
    <row r="204" spans="1:13" x14ac:dyDescent="0.25">
      <c r="A204" s="397"/>
      <c r="B204" s="397"/>
      <c r="C204" s="397"/>
      <c r="D204" s="397"/>
      <c r="E204" s="397"/>
      <c r="F204" s="397"/>
      <c r="G204" s="397"/>
      <c r="H204" s="397"/>
      <c r="I204" s="450"/>
      <c r="J204" s="397"/>
      <c r="K204" s="397"/>
      <c r="L204" s="451"/>
      <c r="M204" s="449"/>
    </row>
    <row r="205" spans="1:13" x14ac:dyDescent="0.25">
      <c r="A205" s="397"/>
      <c r="B205" s="397"/>
      <c r="C205" s="397"/>
      <c r="D205" s="397"/>
      <c r="E205" s="397"/>
      <c r="F205" s="397"/>
      <c r="G205" s="397"/>
      <c r="H205" s="397"/>
      <c r="I205" s="450"/>
      <c r="J205" s="397"/>
      <c r="K205" s="397"/>
      <c r="L205" s="451"/>
      <c r="M205" s="449"/>
    </row>
    <row r="206" spans="1:13" x14ac:dyDescent="0.25">
      <c r="A206" s="397"/>
      <c r="B206" s="397"/>
      <c r="C206" s="397"/>
      <c r="D206" s="397"/>
      <c r="E206" s="397"/>
      <c r="F206" s="397"/>
      <c r="G206" s="397"/>
      <c r="H206" s="397"/>
      <c r="I206" s="450"/>
      <c r="J206" s="397"/>
      <c r="K206" s="397"/>
      <c r="L206" s="451"/>
      <c r="M206" s="449"/>
    </row>
    <row r="207" spans="1:13" x14ac:dyDescent="0.25">
      <c r="A207" s="397"/>
      <c r="B207" s="397"/>
      <c r="C207" s="397"/>
      <c r="D207" s="397"/>
      <c r="E207" s="397"/>
      <c r="F207" s="397"/>
      <c r="G207" s="397"/>
      <c r="H207" s="397"/>
      <c r="I207" s="450"/>
      <c r="J207" s="397"/>
      <c r="K207" s="397"/>
      <c r="L207" s="451"/>
      <c r="M207" s="449"/>
    </row>
    <row r="208" spans="1:13" x14ac:dyDescent="0.25">
      <c r="A208" s="397"/>
      <c r="B208" s="397"/>
      <c r="C208" s="397"/>
      <c r="D208" s="397"/>
      <c r="E208" s="397"/>
      <c r="F208" s="397"/>
      <c r="G208" s="397"/>
      <c r="H208" s="397"/>
      <c r="I208" s="450"/>
      <c r="J208" s="397"/>
      <c r="K208" s="397"/>
      <c r="L208" s="451"/>
      <c r="M208" s="449"/>
    </row>
    <row r="209" spans="1:13" x14ac:dyDescent="0.25">
      <c r="A209" s="397"/>
      <c r="B209" s="397"/>
      <c r="C209" s="397"/>
      <c r="D209" s="397"/>
      <c r="E209" s="397"/>
      <c r="F209" s="397"/>
      <c r="G209" s="397"/>
      <c r="H209" s="397"/>
      <c r="I209" s="450"/>
      <c r="J209" s="397"/>
      <c r="K209" s="397"/>
      <c r="L209" s="451"/>
      <c r="M209" s="449"/>
    </row>
    <row r="210" spans="1:13" x14ac:dyDescent="0.25">
      <c r="A210" s="397"/>
      <c r="B210" s="397"/>
      <c r="C210" s="397"/>
      <c r="D210" s="397"/>
      <c r="E210" s="397"/>
      <c r="F210" s="397"/>
      <c r="G210" s="397"/>
      <c r="H210" s="397"/>
      <c r="I210" s="450"/>
      <c r="J210" s="397"/>
      <c r="K210" s="397"/>
      <c r="L210" s="451"/>
      <c r="M210" s="449"/>
    </row>
    <row r="211" spans="1:13" x14ac:dyDescent="0.25">
      <c r="A211" s="397"/>
      <c r="B211" s="397"/>
      <c r="C211" s="397"/>
      <c r="D211" s="397"/>
      <c r="E211" s="397"/>
      <c r="F211" s="397"/>
      <c r="G211" s="397"/>
      <c r="H211" s="397"/>
      <c r="I211" s="450"/>
      <c r="J211" s="397"/>
      <c r="K211" s="397"/>
      <c r="L211" s="451"/>
      <c r="M211" s="449"/>
    </row>
    <row r="212" spans="1:13" x14ac:dyDescent="0.25">
      <c r="A212" s="397"/>
      <c r="B212" s="397"/>
      <c r="C212" s="397"/>
      <c r="D212" s="397"/>
      <c r="E212" s="397"/>
      <c r="F212" s="397"/>
      <c r="G212" s="397"/>
      <c r="H212" s="397"/>
      <c r="I212" s="450"/>
      <c r="J212" s="397"/>
      <c r="K212" s="397"/>
      <c r="L212" s="451"/>
      <c r="M212" s="449"/>
    </row>
    <row r="213" spans="1:13" x14ac:dyDescent="0.25">
      <c r="A213" s="397"/>
      <c r="B213" s="397"/>
      <c r="C213" s="397"/>
      <c r="D213" s="397"/>
      <c r="E213" s="397"/>
      <c r="F213" s="397"/>
      <c r="G213" s="397"/>
      <c r="H213" s="397"/>
      <c r="I213" s="450"/>
      <c r="J213" s="397"/>
      <c r="K213" s="397"/>
      <c r="L213" s="451"/>
      <c r="M213" s="449"/>
    </row>
    <row r="214" spans="1:13" x14ac:dyDescent="0.25">
      <c r="A214" s="397"/>
      <c r="B214" s="397"/>
      <c r="C214" s="397"/>
      <c r="D214" s="397"/>
      <c r="E214" s="397"/>
      <c r="F214" s="397"/>
      <c r="G214" s="397"/>
      <c r="H214" s="397"/>
      <c r="I214" s="450"/>
      <c r="J214" s="397"/>
      <c r="K214" s="397"/>
      <c r="L214" s="451"/>
      <c r="M214" s="449"/>
    </row>
    <row r="215" spans="1:13" x14ac:dyDescent="0.25">
      <c r="A215" s="397"/>
      <c r="B215" s="397"/>
      <c r="C215" s="397"/>
      <c r="D215" s="397"/>
      <c r="E215" s="397"/>
      <c r="F215" s="397"/>
      <c r="G215" s="397"/>
      <c r="H215" s="397"/>
      <c r="I215" s="450"/>
      <c r="J215" s="397"/>
      <c r="K215" s="397"/>
      <c r="L215" s="451"/>
      <c r="M215" s="449"/>
    </row>
    <row r="216" spans="1:13" x14ac:dyDescent="0.25">
      <c r="A216" s="397"/>
      <c r="B216" s="397"/>
      <c r="C216" s="397"/>
      <c r="D216" s="397"/>
      <c r="E216" s="397"/>
      <c r="F216" s="397"/>
      <c r="G216" s="397"/>
      <c r="H216" s="397"/>
      <c r="I216" s="450"/>
      <c r="J216" s="397"/>
      <c r="K216" s="397"/>
      <c r="L216" s="451"/>
      <c r="M216" s="449"/>
    </row>
    <row r="217" spans="1:13" x14ac:dyDescent="0.25">
      <c r="A217" s="397"/>
      <c r="B217" s="397"/>
      <c r="C217" s="397"/>
      <c r="D217" s="397"/>
      <c r="E217" s="397"/>
      <c r="F217" s="397"/>
      <c r="G217" s="397"/>
      <c r="H217" s="397"/>
      <c r="I217" s="450"/>
      <c r="J217" s="397"/>
      <c r="K217" s="397"/>
      <c r="L217" s="451"/>
      <c r="M217" s="449"/>
    </row>
    <row r="218" spans="1:13" x14ac:dyDescent="0.25">
      <c r="A218" s="397"/>
      <c r="B218" s="397"/>
      <c r="C218" s="397"/>
      <c r="D218" s="397"/>
      <c r="E218" s="397"/>
      <c r="F218" s="397"/>
      <c r="G218" s="397"/>
      <c r="H218" s="397"/>
      <c r="I218" s="450"/>
      <c r="J218" s="397"/>
      <c r="K218" s="397"/>
      <c r="L218" s="451"/>
      <c r="M218" s="449"/>
    </row>
    <row r="219" spans="1:13" x14ac:dyDescent="0.25">
      <c r="A219" s="397"/>
      <c r="B219" s="397"/>
      <c r="C219" s="397"/>
      <c r="D219" s="397"/>
      <c r="E219" s="397"/>
      <c r="F219" s="397"/>
      <c r="G219" s="397"/>
      <c r="H219" s="397"/>
      <c r="I219" s="450"/>
      <c r="J219" s="397"/>
      <c r="K219" s="397"/>
      <c r="L219" s="451"/>
      <c r="M219" s="449"/>
    </row>
    <row r="220" spans="1:13" x14ac:dyDescent="0.25">
      <c r="A220" s="397"/>
      <c r="B220" s="397"/>
      <c r="C220" s="397"/>
      <c r="D220" s="397"/>
      <c r="E220" s="397"/>
      <c r="F220" s="397"/>
      <c r="G220" s="397"/>
      <c r="H220" s="397"/>
      <c r="I220" s="450"/>
      <c r="J220" s="397"/>
      <c r="K220" s="397"/>
      <c r="L220" s="451"/>
      <c r="M220" s="449"/>
    </row>
    <row r="221" spans="1:13" x14ac:dyDescent="0.25">
      <c r="A221" s="397"/>
      <c r="B221" s="397"/>
      <c r="C221" s="397"/>
      <c r="D221" s="397"/>
      <c r="E221" s="397"/>
      <c r="F221" s="397"/>
      <c r="G221" s="397"/>
      <c r="H221" s="397"/>
      <c r="I221" s="450"/>
      <c r="J221" s="397"/>
      <c r="K221" s="397"/>
      <c r="L221" s="451"/>
      <c r="M221" s="449"/>
    </row>
    <row r="222" spans="1:13" x14ac:dyDescent="0.25">
      <c r="A222" s="397"/>
      <c r="B222" s="397"/>
      <c r="C222" s="397"/>
      <c r="D222" s="397"/>
      <c r="E222" s="397"/>
      <c r="F222" s="397"/>
      <c r="G222" s="397"/>
      <c r="H222" s="397"/>
      <c r="I222" s="450"/>
      <c r="J222" s="397"/>
      <c r="K222" s="397"/>
      <c r="L222" s="451"/>
      <c r="M222" s="449"/>
    </row>
    <row r="223" spans="1:13" x14ac:dyDescent="0.25">
      <c r="A223" s="397"/>
      <c r="B223" s="397"/>
      <c r="C223" s="397"/>
      <c r="D223" s="397"/>
      <c r="E223" s="397"/>
      <c r="F223" s="397"/>
      <c r="G223" s="397"/>
      <c r="H223" s="397"/>
      <c r="I223" s="450"/>
      <c r="J223" s="397"/>
      <c r="K223" s="397"/>
      <c r="L223" s="451"/>
      <c r="M223" s="449"/>
    </row>
    <row r="224" spans="1:13" x14ac:dyDescent="0.25">
      <c r="A224" s="397"/>
      <c r="B224" s="397"/>
      <c r="C224" s="397"/>
      <c r="D224" s="397"/>
      <c r="E224" s="397"/>
      <c r="F224" s="397"/>
      <c r="G224" s="397"/>
      <c r="H224" s="397"/>
      <c r="I224" s="450"/>
      <c r="J224" s="397"/>
      <c r="K224" s="397"/>
      <c r="L224" s="451"/>
      <c r="M224" s="449"/>
    </row>
    <row r="225" spans="1:13" x14ac:dyDescent="0.25">
      <c r="A225" s="397"/>
      <c r="B225" s="397"/>
      <c r="C225" s="397"/>
      <c r="D225" s="397"/>
      <c r="E225" s="397"/>
      <c r="F225" s="397"/>
      <c r="G225" s="397"/>
      <c r="H225" s="397"/>
      <c r="I225" s="450"/>
      <c r="J225" s="397"/>
      <c r="K225" s="397"/>
      <c r="L225" s="451"/>
      <c r="M225" s="449"/>
    </row>
    <row r="226" spans="1:13" x14ac:dyDescent="0.25">
      <c r="A226" s="397"/>
      <c r="B226" s="397"/>
      <c r="C226" s="397"/>
      <c r="D226" s="397"/>
      <c r="E226" s="397"/>
      <c r="F226" s="397"/>
      <c r="G226" s="397"/>
      <c r="H226" s="397"/>
      <c r="I226" s="450"/>
      <c r="J226" s="397"/>
      <c r="K226" s="397"/>
      <c r="L226" s="451"/>
      <c r="M226" s="449"/>
    </row>
    <row r="227" spans="1:13" x14ac:dyDescent="0.25">
      <c r="A227" s="397"/>
      <c r="B227" s="397"/>
      <c r="C227" s="397"/>
      <c r="D227" s="397"/>
      <c r="E227" s="397"/>
      <c r="F227" s="397"/>
      <c r="G227" s="397"/>
      <c r="H227" s="397"/>
      <c r="I227" s="450"/>
      <c r="J227" s="397"/>
      <c r="K227" s="397"/>
      <c r="L227" s="451"/>
      <c r="M227" s="449"/>
    </row>
    <row r="228" spans="1:13" x14ac:dyDescent="0.25">
      <c r="A228" s="397"/>
      <c r="B228" s="397"/>
      <c r="C228" s="397"/>
      <c r="D228" s="397"/>
      <c r="E228" s="397"/>
      <c r="F228" s="397"/>
      <c r="G228" s="397"/>
      <c r="H228" s="397"/>
      <c r="I228" s="450"/>
      <c r="J228" s="397"/>
      <c r="K228" s="397"/>
      <c r="L228" s="451"/>
      <c r="M228" s="449"/>
    </row>
    <row r="229" spans="1:13" x14ac:dyDescent="0.25">
      <c r="A229" s="397"/>
      <c r="B229" s="397"/>
      <c r="C229" s="397"/>
      <c r="D229" s="397"/>
      <c r="E229" s="397"/>
      <c r="F229" s="397"/>
      <c r="G229" s="397"/>
      <c r="H229" s="397"/>
      <c r="I229" s="450"/>
      <c r="J229" s="397"/>
      <c r="K229" s="397"/>
      <c r="L229" s="451"/>
      <c r="M229" s="449"/>
    </row>
    <row r="230" spans="1:13" x14ac:dyDescent="0.25">
      <c r="A230" s="397"/>
      <c r="B230" s="397"/>
      <c r="C230" s="397"/>
      <c r="D230" s="397"/>
      <c r="E230" s="397"/>
      <c r="F230" s="397"/>
      <c r="G230" s="397"/>
      <c r="H230" s="397"/>
      <c r="I230" s="450"/>
      <c r="J230" s="397"/>
      <c r="K230" s="397"/>
      <c r="L230" s="451"/>
      <c r="M230" s="449"/>
    </row>
    <row r="231" spans="1:13" x14ac:dyDescent="0.25">
      <c r="A231" s="397"/>
      <c r="B231" s="397"/>
      <c r="C231" s="397"/>
      <c r="D231" s="397"/>
      <c r="E231" s="397"/>
      <c r="F231" s="397"/>
      <c r="G231" s="397"/>
      <c r="H231" s="397"/>
      <c r="I231" s="450"/>
      <c r="J231" s="397"/>
      <c r="K231" s="397"/>
      <c r="L231" s="451"/>
      <c r="M231" s="449"/>
    </row>
    <row r="232" spans="1:13" x14ac:dyDescent="0.25">
      <c r="A232" s="397"/>
      <c r="B232" s="397"/>
      <c r="C232" s="397"/>
      <c r="D232" s="397"/>
      <c r="E232" s="397"/>
      <c r="F232" s="397"/>
      <c r="G232" s="397"/>
      <c r="H232" s="397"/>
      <c r="I232" s="450"/>
      <c r="J232" s="397"/>
      <c r="K232" s="397"/>
      <c r="L232" s="451"/>
      <c r="M232" s="449"/>
    </row>
    <row r="233" spans="1:13" x14ac:dyDescent="0.25">
      <c r="A233" s="397"/>
      <c r="B233" s="397"/>
      <c r="C233" s="397"/>
      <c r="D233" s="397"/>
      <c r="E233" s="397"/>
      <c r="F233" s="397"/>
      <c r="G233" s="397"/>
      <c r="H233" s="397"/>
      <c r="I233" s="450"/>
      <c r="J233" s="397"/>
      <c r="K233" s="397"/>
      <c r="L233" s="451"/>
      <c r="M233" s="449"/>
    </row>
    <row r="234" spans="1:13" x14ac:dyDescent="0.25">
      <c r="A234" s="397"/>
      <c r="B234" s="397"/>
      <c r="C234" s="397"/>
      <c r="D234" s="397"/>
      <c r="E234" s="397"/>
      <c r="F234" s="397"/>
      <c r="G234" s="397"/>
      <c r="H234" s="397"/>
      <c r="I234" s="450"/>
      <c r="J234" s="397"/>
      <c r="K234" s="397"/>
      <c r="L234" s="451"/>
      <c r="M234" s="449"/>
    </row>
    <row r="235" spans="1:13" x14ac:dyDescent="0.25">
      <c r="A235" s="397"/>
      <c r="B235" s="397"/>
      <c r="C235" s="397"/>
      <c r="D235" s="397"/>
      <c r="E235" s="397"/>
      <c r="F235" s="397"/>
      <c r="G235" s="397"/>
      <c r="H235" s="397"/>
      <c r="I235" s="450"/>
      <c r="J235" s="397"/>
      <c r="K235" s="397"/>
      <c r="L235" s="451"/>
      <c r="M235" s="449"/>
    </row>
    <row r="236" spans="1:13" x14ac:dyDescent="0.25">
      <c r="A236" s="397"/>
      <c r="B236" s="397"/>
      <c r="C236" s="397"/>
      <c r="D236" s="397"/>
      <c r="E236" s="397"/>
      <c r="F236" s="397"/>
      <c r="G236" s="397"/>
      <c r="H236" s="397"/>
      <c r="I236" s="450"/>
      <c r="J236" s="397"/>
      <c r="K236" s="397"/>
      <c r="L236" s="451"/>
      <c r="M236" s="449"/>
    </row>
    <row r="237" spans="1:13" x14ac:dyDescent="0.25">
      <c r="A237" s="397"/>
      <c r="B237" s="397"/>
      <c r="C237" s="397"/>
      <c r="D237" s="397"/>
      <c r="E237" s="397"/>
      <c r="F237" s="397"/>
      <c r="G237" s="397"/>
      <c r="H237" s="397"/>
      <c r="I237" s="450"/>
      <c r="J237" s="397"/>
      <c r="K237" s="397"/>
      <c r="L237" s="451"/>
      <c r="M237" s="449"/>
    </row>
    <row r="238" spans="1:13" x14ac:dyDescent="0.25">
      <c r="A238" s="397"/>
      <c r="B238" s="397"/>
      <c r="C238" s="397"/>
      <c r="D238" s="397"/>
      <c r="E238" s="397"/>
      <c r="F238" s="397"/>
      <c r="G238" s="397"/>
      <c r="H238" s="397"/>
      <c r="I238" s="450"/>
      <c r="J238" s="397"/>
      <c r="K238" s="397"/>
      <c r="L238" s="451"/>
      <c r="M238" s="449"/>
    </row>
    <row r="239" spans="1:13" x14ac:dyDescent="0.25">
      <c r="A239" s="397"/>
      <c r="B239" s="397"/>
      <c r="C239" s="397"/>
      <c r="D239" s="397"/>
      <c r="E239" s="397"/>
      <c r="F239" s="397"/>
      <c r="G239" s="397"/>
      <c r="H239" s="397"/>
      <c r="I239" s="450"/>
      <c r="J239" s="397"/>
      <c r="K239" s="397"/>
      <c r="L239" s="451"/>
      <c r="M239" s="449"/>
    </row>
    <row r="240" spans="1:13" x14ac:dyDescent="0.25">
      <c r="A240" s="397"/>
      <c r="B240" s="397"/>
      <c r="C240" s="397"/>
      <c r="D240" s="397"/>
      <c r="E240" s="397"/>
      <c r="F240" s="397"/>
      <c r="G240" s="397"/>
      <c r="H240" s="397"/>
      <c r="I240" s="450"/>
      <c r="J240" s="397"/>
      <c r="K240" s="397"/>
      <c r="L240" s="451"/>
      <c r="M240" s="449"/>
    </row>
    <row r="241" spans="1:13" x14ac:dyDescent="0.25">
      <c r="A241" s="397"/>
      <c r="B241" s="397"/>
      <c r="C241" s="397"/>
      <c r="D241" s="397"/>
      <c r="E241" s="397"/>
      <c r="F241" s="397"/>
      <c r="G241" s="397"/>
      <c r="H241" s="397"/>
      <c r="I241" s="450"/>
      <c r="J241" s="397"/>
      <c r="K241" s="397"/>
      <c r="L241" s="451"/>
      <c r="M241" s="449"/>
    </row>
    <row r="242" spans="1:13" x14ac:dyDescent="0.25">
      <c r="A242" s="397"/>
      <c r="B242" s="397"/>
      <c r="C242" s="397"/>
      <c r="D242" s="397"/>
      <c r="E242" s="397"/>
      <c r="F242" s="397"/>
      <c r="G242" s="397"/>
      <c r="H242" s="397"/>
      <c r="I242" s="450"/>
      <c r="J242" s="397"/>
      <c r="K242" s="397"/>
      <c r="L242" s="451"/>
      <c r="M242" s="449"/>
    </row>
    <row r="243" spans="1:13" x14ac:dyDescent="0.25">
      <c r="A243" s="397"/>
      <c r="B243" s="397"/>
      <c r="C243" s="397"/>
      <c r="D243" s="397"/>
      <c r="E243" s="397"/>
      <c r="F243" s="397"/>
      <c r="G243" s="397"/>
      <c r="H243" s="397"/>
      <c r="I243" s="450"/>
      <c r="J243" s="397"/>
      <c r="K243" s="397"/>
      <c r="L243" s="451"/>
      <c r="M243" s="449"/>
    </row>
    <row r="244" spans="1:13" x14ac:dyDescent="0.25">
      <c r="A244" s="397"/>
      <c r="B244" s="397"/>
      <c r="C244" s="397"/>
      <c r="D244" s="397"/>
      <c r="E244" s="397"/>
      <c r="F244" s="397"/>
      <c r="G244" s="397"/>
      <c r="H244" s="397"/>
      <c r="I244" s="450"/>
      <c r="J244" s="397"/>
      <c r="K244" s="397"/>
      <c r="L244" s="451"/>
      <c r="M244" s="449"/>
    </row>
    <row r="245" spans="1:13" x14ac:dyDescent="0.25">
      <c r="A245" s="397"/>
      <c r="B245" s="397"/>
      <c r="C245" s="397"/>
      <c r="D245" s="397"/>
      <c r="E245" s="397"/>
      <c r="F245" s="397"/>
      <c r="G245" s="397"/>
      <c r="H245" s="397"/>
      <c r="I245" s="450"/>
      <c r="J245" s="397"/>
      <c r="K245" s="397"/>
      <c r="L245" s="451"/>
      <c r="M245" s="449"/>
    </row>
    <row r="246" spans="1:13" x14ac:dyDescent="0.25">
      <c r="A246" s="397"/>
      <c r="B246" s="397"/>
      <c r="C246" s="397"/>
      <c r="D246" s="397"/>
      <c r="E246" s="397"/>
      <c r="F246" s="397"/>
      <c r="G246" s="397"/>
      <c r="H246" s="397"/>
      <c r="I246" s="450"/>
      <c r="J246" s="397"/>
      <c r="K246" s="397"/>
      <c r="L246" s="451"/>
      <c r="M246" s="449"/>
    </row>
    <row r="247" spans="1:13" x14ac:dyDescent="0.25">
      <c r="A247" s="397"/>
      <c r="B247" s="397"/>
      <c r="C247" s="397"/>
      <c r="D247" s="397"/>
      <c r="E247" s="397"/>
      <c r="F247" s="397"/>
      <c r="G247" s="397"/>
      <c r="H247" s="397"/>
      <c r="I247" s="450"/>
      <c r="J247" s="397"/>
      <c r="K247" s="397"/>
      <c r="L247" s="451"/>
      <c r="M247" s="449"/>
    </row>
    <row r="248" spans="1:13" x14ac:dyDescent="0.25">
      <c r="A248" s="397"/>
      <c r="B248" s="397"/>
      <c r="C248" s="397"/>
      <c r="D248" s="397"/>
      <c r="E248" s="397"/>
      <c r="F248" s="397"/>
      <c r="G248" s="397"/>
      <c r="H248" s="397"/>
      <c r="I248" s="450"/>
      <c r="J248" s="397"/>
      <c r="K248" s="397"/>
      <c r="L248" s="451"/>
      <c r="M248" s="449"/>
    </row>
    <row r="249" spans="1:13" x14ac:dyDescent="0.25">
      <c r="A249" s="397"/>
      <c r="B249" s="397"/>
      <c r="C249" s="397"/>
      <c r="D249" s="397"/>
      <c r="E249" s="397"/>
      <c r="F249" s="397"/>
      <c r="G249" s="397"/>
      <c r="H249" s="397"/>
      <c r="I249" s="450"/>
      <c r="J249" s="397"/>
      <c r="K249" s="397"/>
      <c r="L249" s="451"/>
      <c r="M249" s="449"/>
    </row>
    <row r="250" spans="1:13" x14ac:dyDescent="0.25">
      <c r="A250" s="397"/>
      <c r="B250" s="397"/>
      <c r="C250" s="397"/>
      <c r="D250" s="397"/>
      <c r="E250" s="397"/>
      <c r="F250" s="397"/>
      <c r="G250" s="397"/>
      <c r="H250" s="397"/>
      <c r="I250" s="450"/>
      <c r="J250" s="397"/>
      <c r="K250" s="397"/>
      <c r="L250" s="451"/>
      <c r="M250" s="449"/>
    </row>
    <row r="251" spans="1:13" x14ac:dyDescent="0.25">
      <c r="A251" s="397"/>
      <c r="B251" s="397"/>
      <c r="C251" s="397"/>
      <c r="D251" s="397"/>
      <c r="E251" s="397"/>
      <c r="F251" s="397"/>
      <c r="G251" s="397"/>
      <c r="H251" s="397"/>
      <c r="I251" s="450"/>
      <c r="J251" s="397"/>
      <c r="K251" s="397"/>
      <c r="L251" s="451"/>
      <c r="M251" s="449"/>
    </row>
    <row r="252" spans="1:13" x14ac:dyDescent="0.25">
      <c r="A252" s="397"/>
      <c r="B252" s="397"/>
      <c r="C252" s="397"/>
      <c r="D252" s="397"/>
      <c r="E252" s="397"/>
      <c r="F252" s="397"/>
      <c r="G252" s="397"/>
      <c r="H252" s="397"/>
      <c r="I252" s="450"/>
      <c r="J252" s="397"/>
      <c r="K252" s="397"/>
      <c r="L252" s="451"/>
      <c r="M252" s="449"/>
    </row>
    <row r="253" spans="1:13" x14ac:dyDescent="0.25">
      <c r="A253" s="397"/>
      <c r="B253" s="397"/>
      <c r="C253" s="397"/>
      <c r="D253" s="397"/>
      <c r="E253" s="397"/>
      <c r="F253" s="397"/>
      <c r="G253" s="397"/>
      <c r="H253" s="397"/>
      <c r="I253" s="450"/>
      <c r="J253" s="397"/>
      <c r="K253" s="397"/>
      <c r="L253" s="451"/>
      <c r="M253" s="449"/>
    </row>
    <row r="254" spans="1:13" x14ac:dyDescent="0.25">
      <c r="A254" s="397"/>
      <c r="B254" s="397"/>
      <c r="C254" s="397"/>
      <c r="D254" s="397"/>
      <c r="E254" s="397"/>
      <c r="F254" s="397"/>
      <c r="G254" s="397"/>
      <c r="H254" s="397"/>
      <c r="I254" s="450"/>
      <c r="J254" s="397"/>
      <c r="K254" s="397"/>
      <c r="L254" s="451"/>
      <c r="M254" s="449"/>
    </row>
    <row r="255" spans="1:13" x14ac:dyDescent="0.25">
      <c r="A255" s="397"/>
      <c r="B255" s="397"/>
      <c r="C255" s="397"/>
      <c r="D255" s="397"/>
      <c r="E255" s="397"/>
      <c r="F255" s="397"/>
      <c r="G255" s="397"/>
      <c r="H255" s="397"/>
      <c r="I255" s="450"/>
      <c r="J255" s="397"/>
      <c r="K255" s="397"/>
      <c r="L255" s="451"/>
      <c r="M255" s="449"/>
    </row>
    <row r="256" spans="1:13" x14ac:dyDescent="0.25">
      <c r="A256" s="397"/>
      <c r="B256" s="397"/>
      <c r="C256" s="397"/>
      <c r="D256" s="397"/>
      <c r="E256" s="397"/>
      <c r="F256" s="397"/>
      <c r="G256" s="397"/>
      <c r="H256" s="397"/>
      <c r="I256" s="450"/>
      <c r="J256" s="397"/>
      <c r="K256" s="397"/>
      <c r="L256" s="451"/>
      <c r="M256" s="449"/>
    </row>
    <row r="257" spans="1:13" x14ac:dyDescent="0.25">
      <c r="A257" s="397"/>
      <c r="B257" s="397"/>
      <c r="C257" s="397"/>
      <c r="D257" s="397"/>
      <c r="E257" s="397"/>
      <c r="F257" s="397"/>
      <c r="G257" s="397"/>
      <c r="H257" s="397"/>
      <c r="I257" s="450"/>
      <c r="J257" s="397"/>
      <c r="K257" s="397"/>
      <c r="L257" s="451"/>
      <c r="M257" s="449"/>
    </row>
    <row r="258" spans="1:13" x14ac:dyDescent="0.25">
      <c r="A258" s="397"/>
      <c r="B258" s="397"/>
      <c r="C258" s="397"/>
      <c r="D258" s="397"/>
      <c r="E258" s="397"/>
      <c r="F258" s="397"/>
      <c r="G258" s="397"/>
      <c r="H258" s="397"/>
      <c r="I258" s="450"/>
      <c r="J258" s="397"/>
      <c r="K258" s="397"/>
      <c r="L258" s="451"/>
      <c r="M258" s="449"/>
    </row>
    <row r="259" spans="1:13" x14ac:dyDescent="0.25">
      <c r="A259" s="397"/>
      <c r="B259" s="397"/>
      <c r="C259" s="397"/>
      <c r="D259" s="397"/>
      <c r="E259" s="397"/>
      <c r="F259" s="397"/>
      <c r="G259" s="397"/>
      <c r="H259" s="397"/>
      <c r="I259" s="450"/>
      <c r="J259" s="397"/>
      <c r="K259" s="397"/>
      <c r="L259" s="451"/>
      <c r="M259" s="449"/>
    </row>
    <row r="260" spans="1:13" x14ac:dyDescent="0.25">
      <c r="A260" s="397"/>
      <c r="B260" s="397"/>
      <c r="C260" s="397"/>
      <c r="D260" s="397"/>
      <c r="E260" s="397"/>
      <c r="F260" s="397"/>
      <c r="G260" s="397"/>
      <c r="H260" s="397"/>
      <c r="I260" s="450"/>
      <c r="J260" s="397"/>
      <c r="K260" s="397"/>
      <c r="L260" s="451"/>
      <c r="M260" s="449"/>
    </row>
    <row r="261" spans="1:13" x14ac:dyDescent="0.25">
      <c r="A261" s="397"/>
      <c r="B261" s="397"/>
      <c r="C261" s="397"/>
      <c r="D261" s="397"/>
      <c r="E261" s="397"/>
      <c r="F261" s="397"/>
      <c r="G261" s="397"/>
      <c r="H261" s="397"/>
      <c r="I261" s="450"/>
      <c r="J261" s="397"/>
      <c r="K261" s="397"/>
      <c r="L261" s="451"/>
      <c r="M261" s="449"/>
    </row>
    <row r="262" spans="1:13" x14ac:dyDescent="0.25">
      <c r="A262" s="397"/>
      <c r="B262" s="397"/>
      <c r="C262" s="397"/>
      <c r="D262" s="397"/>
      <c r="E262" s="397"/>
      <c r="F262" s="397"/>
      <c r="G262" s="397"/>
      <c r="H262" s="397"/>
      <c r="I262" s="450"/>
      <c r="J262" s="397"/>
      <c r="K262" s="397"/>
      <c r="L262" s="451"/>
      <c r="M262" s="449"/>
    </row>
    <row r="263" spans="1:13" x14ac:dyDescent="0.25">
      <c r="A263" s="397"/>
      <c r="B263" s="397"/>
      <c r="C263" s="397"/>
      <c r="D263" s="397"/>
      <c r="E263" s="397"/>
      <c r="F263" s="397"/>
      <c r="G263" s="397"/>
      <c r="H263" s="397"/>
      <c r="I263" s="450"/>
      <c r="J263" s="397"/>
      <c r="K263" s="397"/>
      <c r="L263" s="451"/>
      <c r="M263" s="449"/>
    </row>
    <row r="264" spans="1:13" x14ac:dyDescent="0.25">
      <c r="A264" s="397"/>
      <c r="B264" s="397"/>
      <c r="C264" s="397"/>
      <c r="D264" s="397"/>
      <c r="E264" s="397"/>
      <c r="F264" s="397"/>
      <c r="G264" s="397"/>
      <c r="H264" s="397"/>
      <c r="I264" s="450"/>
      <c r="J264" s="397"/>
      <c r="K264" s="397"/>
      <c r="L264" s="451"/>
      <c r="M264" s="449"/>
    </row>
    <row r="265" spans="1:13" x14ac:dyDescent="0.25">
      <c r="A265" s="397"/>
      <c r="B265" s="397"/>
      <c r="C265" s="397"/>
      <c r="D265" s="397"/>
      <c r="E265" s="397"/>
      <c r="F265" s="397"/>
      <c r="G265" s="397"/>
      <c r="H265" s="397"/>
      <c r="I265" s="450"/>
      <c r="J265" s="397"/>
      <c r="K265" s="397"/>
      <c r="L265" s="451"/>
      <c r="M265" s="449"/>
    </row>
    <row r="266" spans="1:13" x14ac:dyDescent="0.25">
      <c r="A266" s="397"/>
      <c r="B266" s="397"/>
      <c r="C266" s="397"/>
      <c r="D266" s="397"/>
      <c r="E266" s="397"/>
      <c r="F266" s="397"/>
      <c r="G266" s="397"/>
      <c r="H266" s="397"/>
      <c r="I266" s="450"/>
      <c r="J266" s="397"/>
      <c r="K266" s="397"/>
      <c r="L266" s="451"/>
      <c r="M266" s="449"/>
    </row>
    <row r="267" spans="1:13" x14ac:dyDescent="0.25">
      <c r="A267" s="397"/>
      <c r="B267" s="397"/>
      <c r="C267" s="397"/>
      <c r="D267" s="397"/>
      <c r="E267" s="397"/>
      <c r="F267" s="397"/>
      <c r="G267" s="397"/>
      <c r="H267" s="397"/>
      <c r="I267" s="450"/>
      <c r="J267" s="397"/>
      <c r="K267" s="397"/>
      <c r="L267" s="451"/>
      <c r="M267" s="449"/>
    </row>
    <row r="268" spans="1:13" x14ac:dyDescent="0.25">
      <c r="A268" s="397"/>
      <c r="B268" s="397"/>
      <c r="C268" s="397"/>
      <c r="D268" s="397"/>
      <c r="E268" s="397"/>
      <c r="F268" s="397"/>
      <c r="G268" s="397"/>
      <c r="H268" s="397"/>
      <c r="I268" s="450"/>
      <c r="J268" s="397"/>
      <c r="K268" s="397"/>
      <c r="L268" s="451"/>
      <c r="M268" s="449"/>
    </row>
    <row r="269" spans="1:13" x14ac:dyDescent="0.25">
      <c r="A269" s="397"/>
      <c r="B269" s="397"/>
      <c r="C269" s="397"/>
      <c r="D269" s="397"/>
      <c r="E269" s="397"/>
      <c r="F269" s="397"/>
      <c r="G269" s="397"/>
      <c r="H269" s="397"/>
      <c r="I269" s="450"/>
      <c r="J269" s="397"/>
      <c r="K269" s="397"/>
      <c r="L269" s="451"/>
      <c r="M269" s="449"/>
    </row>
    <row r="270" spans="1:13" x14ac:dyDescent="0.25">
      <c r="A270" s="397"/>
      <c r="B270" s="397"/>
      <c r="C270" s="397"/>
      <c r="D270" s="397"/>
      <c r="E270" s="397"/>
      <c r="F270" s="397"/>
      <c r="G270" s="397"/>
      <c r="H270" s="397"/>
      <c r="I270" s="450"/>
      <c r="J270" s="397"/>
      <c r="K270" s="397"/>
      <c r="L270" s="451"/>
      <c r="M270" s="449"/>
    </row>
    <row r="271" spans="1:13" x14ac:dyDescent="0.25">
      <c r="A271" s="397"/>
      <c r="B271" s="397"/>
      <c r="C271" s="397"/>
      <c r="D271" s="397"/>
      <c r="E271" s="397"/>
      <c r="F271" s="397"/>
      <c r="G271" s="397"/>
      <c r="H271" s="397"/>
      <c r="I271" s="450"/>
      <c r="J271" s="397"/>
      <c r="K271" s="397"/>
      <c r="L271" s="451"/>
      <c r="M271" s="449"/>
    </row>
    <row r="272" spans="1:13" x14ac:dyDescent="0.25">
      <c r="A272" s="397"/>
      <c r="B272" s="397"/>
      <c r="C272" s="397"/>
      <c r="D272" s="397"/>
      <c r="E272" s="397"/>
      <c r="F272" s="397"/>
      <c r="G272" s="397"/>
      <c r="H272" s="397"/>
      <c r="I272" s="450"/>
      <c r="J272" s="397"/>
      <c r="K272" s="397"/>
      <c r="L272" s="451"/>
      <c r="M272" s="449"/>
    </row>
    <row r="273" spans="1:13" x14ac:dyDescent="0.25">
      <c r="A273" s="397"/>
      <c r="B273" s="397"/>
      <c r="C273" s="397"/>
      <c r="D273" s="397"/>
      <c r="E273" s="397"/>
      <c r="F273" s="397"/>
      <c r="G273" s="397"/>
      <c r="H273" s="397"/>
      <c r="I273" s="450"/>
      <c r="J273" s="397"/>
      <c r="K273" s="397"/>
      <c r="L273" s="451"/>
      <c r="M273" s="449"/>
    </row>
    <row r="274" spans="1:13" x14ac:dyDescent="0.25">
      <c r="A274" s="397"/>
      <c r="B274" s="397"/>
      <c r="C274" s="397"/>
      <c r="D274" s="397"/>
      <c r="E274" s="397"/>
      <c r="F274" s="397"/>
      <c r="G274" s="397"/>
      <c r="H274" s="397"/>
      <c r="I274" s="450"/>
      <c r="J274" s="397"/>
      <c r="K274" s="397"/>
      <c r="L274" s="451"/>
      <c r="M274" s="449"/>
    </row>
    <row r="275" spans="1:13" x14ac:dyDescent="0.25">
      <c r="A275" s="397"/>
      <c r="B275" s="397"/>
      <c r="C275" s="397"/>
      <c r="D275" s="397"/>
      <c r="E275" s="397"/>
      <c r="F275" s="397"/>
      <c r="G275" s="397"/>
      <c r="H275" s="397"/>
      <c r="I275" s="450"/>
      <c r="J275" s="397"/>
      <c r="K275" s="397"/>
      <c r="L275" s="451"/>
      <c r="M275" s="449"/>
    </row>
    <row r="276" spans="1:13" x14ac:dyDescent="0.25">
      <c r="A276" s="397"/>
      <c r="B276" s="397"/>
      <c r="C276" s="397"/>
      <c r="D276" s="397"/>
      <c r="E276" s="397"/>
      <c r="F276" s="397"/>
      <c r="G276" s="397"/>
      <c r="H276" s="397"/>
      <c r="I276" s="450"/>
      <c r="J276" s="397"/>
      <c r="K276" s="397"/>
      <c r="L276" s="451"/>
      <c r="M276" s="449"/>
    </row>
    <row r="277" spans="1:13" x14ac:dyDescent="0.25">
      <c r="A277" s="397"/>
      <c r="B277" s="397"/>
      <c r="C277" s="397"/>
      <c r="D277" s="397"/>
      <c r="E277" s="397"/>
      <c r="F277" s="397"/>
      <c r="G277" s="397"/>
      <c r="H277" s="397"/>
      <c r="I277" s="450"/>
      <c r="J277" s="397"/>
      <c r="K277" s="397"/>
      <c r="L277" s="451"/>
      <c r="M277" s="449"/>
    </row>
    <row r="278" spans="1:13" x14ac:dyDescent="0.25">
      <c r="A278" s="397"/>
      <c r="B278" s="397"/>
      <c r="C278" s="397"/>
      <c r="D278" s="397"/>
      <c r="E278" s="397"/>
      <c r="F278" s="397"/>
      <c r="G278" s="397"/>
      <c r="H278" s="397"/>
      <c r="I278" s="450"/>
      <c r="J278" s="397"/>
      <c r="K278" s="397"/>
      <c r="L278" s="451"/>
      <c r="M278" s="449"/>
    </row>
    <row r="279" spans="1:13" x14ac:dyDescent="0.25">
      <c r="A279" s="397"/>
      <c r="B279" s="397"/>
      <c r="C279" s="397"/>
      <c r="D279" s="397"/>
      <c r="E279" s="397"/>
      <c r="F279" s="397"/>
      <c r="G279" s="397"/>
      <c r="H279" s="397"/>
      <c r="I279" s="450"/>
      <c r="J279" s="397"/>
      <c r="K279" s="397"/>
      <c r="L279" s="451"/>
      <c r="M279" s="449"/>
    </row>
    <row r="280" spans="1:13" x14ac:dyDescent="0.25">
      <c r="A280" s="397"/>
      <c r="B280" s="397"/>
      <c r="C280" s="397"/>
      <c r="D280" s="397"/>
      <c r="E280" s="397"/>
      <c r="F280" s="397"/>
      <c r="G280" s="397"/>
      <c r="H280" s="397"/>
      <c r="I280" s="450"/>
      <c r="J280" s="397"/>
      <c r="K280" s="397"/>
      <c r="L280" s="451"/>
      <c r="M280" s="449"/>
    </row>
    <row r="281" spans="1:13" x14ac:dyDescent="0.25">
      <c r="A281" s="397"/>
      <c r="B281" s="397"/>
      <c r="C281" s="397"/>
      <c r="D281" s="397"/>
      <c r="E281" s="397"/>
      <c r="F281" s="397"/>
      <c r="G281" s="397"/>
      <c r="H281" s="397"/>
      <c r="I281" s="450"/>
      <c r="J281" s="397"/>
      <c r="K281" s="397"/>
      <c r="L281" s="451"/>
      <c r="M281" s="449"/>
    </row>
    <row r="282" spans="1:13" x14ac:dyDescent="0.25">
      <c r="A282" s="397"/>
      <c r="B282" s="397"/>
      <c r="C282" s="397"/>
      <c r="D282" s="397"/>
      <c r="E282" s="397"/>
      <c r="F282" s="397"/>
      <c r="G282" s="397"/>
      <c r="H282" s="397"/>
      <c r="I282" s="450"/>
      <c r="J282" s="397"/>
      <c r="K282" s="397"/>
      <c r="L282" s="451"/>
      <c r="M282" s="449"/>
    </row>
    <row r="283" spans="1:13" x14ac:dyDescent="0.25">
      <c r="A283" s="397"/>
      <c r="B283" s="397"/>
      <c r="C283" s="397"/>
      <c r="D283" s="397"/>
      <c r="E283" s="397"/>
      <c r="F283" s="397"/>
      <c r="G283" s="397"/>
      <c r="H283" s="397"/>
      <c r="I283" s="450"/>
      <c r="J283" s="397"/>
      <c r="K283" s="397"/>
      <c r="L283" s="451"/>
      <c r="M283" s="449"/>
    </row>
    <row r="284" spans="1:13" x14ac:dyDescent="0.25">
      <c r="A284" s="397"/>
      <c r="B284" s="397"/>
      <c r="C284" s="397"/>
      <c r="D284" s="397"/>
      <c r="E284" s="397"/>
      <c r="F284" s="397"/>
      <c r="G284" s="397"/>
      <c r="H284" s="397"/>
      <c r="I284" s="450"/>
      <c r="J284" s="397"/>
      <c r="K284" s="397"/>
      <c r="L284" s="451"/>
      <c r="M284" s="449"/>
    </row>
    <row r="285" spans="1:13" x14ac:dyDescent="0.25">
      <c r="A285" s="397"/>
      <c r="B285" s="397"/>
      <c r="C285" s="397"/>
      <c r="D285" s="397"/>
      <c r="E285" s="397"/>
      <c r="F285" s="397"/>
      <c r="G285" s="397"/>
      <c r="H285" s="397"/>
      <c r="I285" s="450"/>
      <c r="J285" s="397"/>
      <c r="K285" s="397"/>
      <c r="L285" s="451"/>
      <c r="M285" s="449"/>
    </row>
    <row r="286" spans="1:13" x14ac:dyDescent="0.25">
      <c r="A286" s="397"/>
      <c r="B286" s="397"/>
      <c r="C286" s="397"/>
      <c r="D286" s="397"/>
      <c r="E286" s="397"/>
      <c r="F286" s="397"/>
      <c r="G286" s="397"/>
      <c r="H286" s="397"/>
      <c r="I286" s="450"/>
      <c r="J286" s="397"/>
      <c r="K286" s="397"/>
      <c r="L286" s="451"/>
      <c r="M286" s="449"/>
    </row>
    <row r="287" spans="1:13" x14ac:dyDescent="0.25">
      <c r="A287" s="397"/>
      <c r="B287" s="397"/>
      <c r="C287" s="397"/>
      <c r="D287" s="397"/>
      <c r="E287" s="397"/>
      <c r="F287" s="397"/>
      <c r="G287" s="397"/>
      <c r="H287" s="397"/>
      <c r="I287" s="450"/>
      <c r="J287" s="397"/>
      <c r="K287" s="397"/>
      <c r="L287" s="451"/>
      <c r="M287" s="449"/>
    </row>
    <row r="288" spans="1:13" x14ac:dyDescent="0.25">
      <c r="A288" s="397"/>
      <c r="B288" s="397"/>
      <c r="C288" s="397"/>
      <c r="D288" s="397"/>
      <c r="E288" s="397"/>
      <c r="F288" s="397"/>
      <c r="G288" s="397"/>
      <c r="H288" s="397"/>
      <c r="I288" s="450"/>
      <c r="J288" s="397"/>
      <c r="K288" s="397"/>
      <c r="L288" s="451"/>
      <c r="M288" s="449"/>
    </row>
    <row r="289" spans="1:13" x14ac:dyDescent="0.25">
      <c r="A289" s="397"/>
      <c r="B289" s="397"/>
      <c r="C289" s="397"/>
      <c r="D289" s="397"/>
      <c r="E289" s="397"/>
      <c r="F289" s="397"/>
      <c r="G289" s="397"/>
      <c r="H289" s="397"/>
      <c r="I289" s="450"/>
      <c r="J289" s="397"/>
      <c r="K289" s="397"/>
      <c r="L289" s="451"/>
      <c r="M289" s="449"/>
    </row>
    <row r="290" spans="1:13" x14ac:dyDescent="0.25">
      <c r="A290" s="397"/>
      <c r="B290" s="397"/>
      <c r="C290" s="397"/>
      <c r="D290" s="397"/>
      <c r="E290" s="397"/>
      <c r="F290" s="397"/>
      <c r="G290" s="397"/>
      <c r="H290" s="397"/>
      <c r="I290" s="450"/>
      <c r="J290" s="397"/>
      <c r="K290" s="397"/>
      <c r="L290" s="451"/>
      <c r="M290" s="449"/>
    </row>
    <row r="291" spans="1:13" x14ac:dyDescent="0.25">
      <c r="A291" s="397"/>
      <c r="B291" s="397"/>
      <c r="C291" s="397"/>
      <c r="D291" s="397"/>
      <c r="E291" s="397"/>
      <c r="F291" s="397"/>
      <c r="G291" s="397"/>
      <c r="H291" s="397"/>
      <c r="I291" s="450"/>
      <c r="J291" s="397"/>
      <c r="K291" s="397"/>
      <c r="L291" s="451"/>
      <c r="M291" s="449"/>
    </row>
    <row r="292" spans="1:13" x14ac:dyDescent="0.25">
      <c r="A292" s="397"/>
      <c r="B292" s="397"/>
      <c r="C292" s="397"/>
      <c r="D292" s="397"/>
      <c r="E292" s="397"/>
      <c r="F292" s="397"/>
      <c r="G292" s="397"/>
      <c r="H292" s="397"/>
      <c r="I292" s="450"/>
      <c r="J292" s="397"/>
      <c r="K292" s="397"/>
      <c r="L292" s="451"/>
      <c r="M292" s="449"/>
    </row>
    <row r="293" spans="1:13" x14ac:dyDescent="0.25">
      <c r="A293" s="397"/>
      <c r="B293" s="397"/>
      <c r="C293" s="397"/>
      <c r="D293" s="397"/>
      <c r="E293" s="397"/>
      <c r="F293" s="397"/>
      <c r="G293" s="397"/>
      <c r="H293" s="397"/>
      <c r="I293" s="450"/>
      <c r="J293" s="397"/>
      <c r="K293" s="397"/>
      <c r="L293" s="451"/>
      <c r="M293" s="449"/>
    </row>
    <row r="294" spans="1:13" x14ac:dyDescent="0.25">
      <c r="A294" s="397"/>
      <c r="B294" s="397"/>
      <c r="C294" s="397"/>
      <c r="D294" s="397"/>
      <c r="E294" s="397"/>
      <c r="F294" s="397"/>
      <c r="G294" s="397"/>
      <c r="H294" s="397"/>
      <c r="I294" s="450"/>
      <c r="J294" s="397"/>
      <c r="K294" s="397"/>
      <c r="L294" s="451"/>
      <c r="M294" s="449"/>
    </row>
    <row r="295" spans="1:13" x14ac:dyDescent="0.25">
      <c r="A295" s="397"/>
      <c r="B295" s="397"/>
      <c r="C295" s="397"/>
      <c r="D295" s="397"/>
      <c r="E295" s="397"/>
      <c r="F295" s="397"/>
      <c r="G295" s="397"/>
      <c r="H295" s="397"/>
      <c r="I295" s="450"/>
      <c r="J295" s="397"/>
      <c r="K295" s="397"/>
      <c r="L295" s="451"/>
      <c r="M295" s="449"/>
    </row>
    <row r="296" spans="1:13" x14ac:dyDescent="0.25">
      <c r="A296" s="397"/>
      <c r="B296" s="397"/>
      <c r="C296" s="397"/>
      <c r="D296" s="397"/>
      <c r="E296" s="397"/>
      <c r="F296" s="397"/>
      <c r="G296" s="397"/>
      <c r="H296" s="397"/>
      <c r="I296" s="450"/>
      <c r="J296" s="397"/>
      <c r="K296" s="397"/>
      <c r="L296" s="451"/>
      <c r="M296" s="449"/>
    </row>
    <row r="297" spans="1:13" x14ac:dyDescent="0.25">
      <c r="A297" s="397"/>
      <c r="B297" s="397"/>
      <c r="C297" s="397"/>
      <c r="D297" s="397"/>
      <c r="E297" s="397"/>
      <c r="F297" s="397"/>
      <c r="G297" s="397"/>
      <c r="H297" s="397"/>
      <c r="I297" s="450"/>
      <c r="J297" s="397"/>
      <c r="K297" s="397"/>
      <c r="L297" s="451"/>
      <c r="M297" s="449"/>
    </row>
    <row r="298" spans="1:13" x14ac:dyDescent="0.25">
      <c r="A298" s="397"/>
      <c r="B298" s="397"/>
      <c r="C298" s="397"/>
      <c r="D298" s="397"/>
      <c r="E298" s="397"/>
      <c r="F298" s="397"/>
      <c r="G298" s="397"/>
      <c r="H298" s="397"/>
      <c r="I298" s="450"/>
      <c r="J298" s="397"/>
      <c r="K298" s="397"/>
      <c r="L298" s="451"/>
      <c r="M298" s="449"/>
    </row>
    <row r="299" spans="1:13" x14ac:dyDescent="0.25">
      <c r="A299" s="397"/>
      <c r="B299" s="397"/>
      <c r="C299" s="397"/>
      <c r="D299" s="397"/>
      <c r="E299" s="397"/>
      <c r="F299" s="397"/>
      <c r="G299" s="397"/>
      <c r="H299" s="397"/>
      <c r="I299" s="450"/>
      <c r="J299" s="397"/>
      <c r="K299" s="397"/>
      <c r="L299" s="451"/>
      <c r="M299" s="449"/>
    </row>
    <row r="300" spans="1:13" x14ac:dyDescent="0.25">
      <c r="A300" s="397"/>
      <c r="B300" s="397"/>
      <c r="C300" s="397"/>
      <c r="D300" s="397"/>
      <c r="E300" s="397"/>
      <c r="F300" s="397"/>
      <c r="G300" s="397"/>
      <c r="H300" s="397"/>
      <c r="I300" s="450"/>
      <c r="J300" s="397"/>
      <c r="K300" s="397"/>
      <c r="L300" s="451"/>
      <c r="M300" s="449"/>
    </row>
    <row r="301" spans="1:13" x14ac:dyDescent="0.25">
      <c r="A301" s="397"/>
      <c r="B301" s="397"/>
      <c r="C301" s="397"/>
      <c r="D301" s="397"/>
      <c r="E301" s="397"/>
      <c r="F301" s="397"/>
      <c r="G301" s="397"/>
      <c r="H301" s="397"/>
      <c r="I301" s="450"/>
      <c r="J301" s="397"/>
      <c r="K301" s="397"/>
      <c r="L301" s="451"/>
      <c r="M301" s="449"/>
    </row>
    <row r="302" spans="1:13" x14ac:dyDescent="0.25">
      <c r="A302" s="397"/>
      <c r="B302" s="397"/>
      <c r="C302" s="397"/>
      <c r="D302" s="397"/>
      <c r="E302" s="397"/>
      <c r="F302" s="397"/>
      <c r="G302" s="397"/>
      <c r="H302" s="397"/>
      <c r="I302" s="450"/>
      <c r="J302" s="397"/>
      <c r="K302" s="397"/>
      <c r="L302" s="451"/>
      <c r="M302" s="449"/>
    </row>
    <row r="303" spans="1:13" x14ac:dyDescent="0.25">
      <c r="A303" s="397"/>
      <c r="B303" s="397"/>
      <c r="C303" s="397"/>
      <c r="D303" s="397"/>
      <c r="E303" s="397"/>
      <c r="F303" s="397"/>
      <c r="G303" s="397"/>
      <c r="H303" s="397"/>
      <c r="I303" s="450"/>
      <c r="J303" s="397"/>
      <c r="K303" s="397"/>
      <c r="L303" s="451"/>
      <c r="M303" s="449"/>
    </row>
    <row r="304" spans="1:13" x14ac:dyDescent="0.25">
      <c r="A304" s="397"/>
      <c r="B304" s="397"/>
      <c r="C304" s="397"/>
      <c r="D304" s="397"/>
      <c r="E304" s="397"/>
      <c r="F304" s="397"/>
      <c r="G304" s="397"/>
      <c r="H304" s="397"/>
      <c r="I304" s="450"/>
      <c r="J304" s="397"/>
      <c r="K304" s="397"/>
      <c r="L304" s="451"/>
      <c r="M304" s="449"/>
    </row>
    <row r="305" spans="1:13" x14ac:dyDescent="0.25">
      <c r="A305" s="397"/>
      <c r="B305" s="397"/>
      <c r="C305" s="397"/>
      <c r="D305" s="397"/>
      <c r="E305" s="397"/>
      <c r="F305" s="397"/>
      <c r="G305" s="397"/>
      <c r="H305" s="397"/>
      <c r="I305" s="450"/>
      <c r="J305" s="397"/>
      <c r="K305" s="397"/>
      <c r="L305" s="451"/>
      <c r="M305" s="449"/>
    </row>
    <row r="306" spans="1:13" x14ac:dyDescent="0.25">
      <c r="A306" s="397"/>
      <c r="B306" s="397"/>
      <c r="C306" s="397"/>
      <c r="D306" s="397"/>
      <c r="E306" s="397"/>
      <c r="F306" s="397"/>
      <c r="G306" s="397"/>
      <c r="H306" s="397"/>
      <c r="I306" s="450"/>
      <c r="J306" s="397"/>
      <c r="K306" s="397"/>
      <c r="L306" s="451"/>
      <c r="M306" s="449"/>
    </row>
    <row r="307" spans="1:13" x14ac:dyDescent="0.25">
      <c r="A307" s="397"/>
      <c r="B307" s="397"/>
      <c r="C307" s="397"/>
      <c r="D307" s="397"/>
      <c r="E307" s="397"/>
      <c r="F307" s="397"/>
      <c r="G307" s="397"/>
      <c r="H307" s="397"/>
      <c r="I307" s="450"/>
      <c r="J307" s="397"/>
      <c r="K307" s="397"/>
      <c r="L307" s="451"/>
      <c r="M307" s="449"/>
    </row>
    <row r="308" spans="1:13" x14ac:dyDescent="0.25">
      <c r="A308" s="397"/>
      <c r="B308" s="397"/>
      <c r="C308" s="397"/>
      <c r="D308" s="397"/>
      <c r="E308" s="397"/>
      <c r="F308" s="397"/>
      <c r="G308" s="397"/>
      <c r="H308" s="397"/>
      <c r="I308" s="450"/>
      <c r="J308" s="397"/>
      <c r="K308" s="397"/>
      <c r="L308" s="451"/>
      <c r="M308" s="449"/>
    </row>
    <row r="309" spans="1:13" x14ac:dyDescent="0.25">
      <c r="A309" s="397"/>
      <c r="B309" s="397"/>
      <c r="C309" s="397"/>
      <c r="D309" s="397"/>
      <c r="E309" s="397"/>
      <c r="F309" s="397"/>
      <c r="G309" s="397"/>
      <c r="H309" s="397"/>
      <c r="I309" s="450"/>
      <c r="J309" s="397"/>
      <c r="K309" s="397"/>
      <c r="L309" s="451"/>
      <c r="M309" s="449"/>
    </row>
    <row r="310" spans="1:13" x14ac:dyDescent="0.25">
      <c r="A310" s="397"/>
      <c r="B310" s="397"/>
      <c r="C310" s="397"/>
      <c r="D310" s="397"/>
      <c r="E310" s="397"/>
      <c r="F310" s="397"/>
      <c r="G310" s="397"/>
      <c r="H310" s="397"/>
      <c r="I310" s="450"/>
      <c r="J310" s="397"/>
      <c r="K310" s="397"/>
      <c r="L310" s="451"/>
      <c r="M310" s="449"/>
    </row>
    <row r="311" spans="1:13" x14ac:dyDescent="0.25">
      <c r="A311" s="397"/>
      <c r="B311" s="397"/>
      <c r="C311" s="397"/>
      <c r="D311" s="397"/>
      <c r="E311" s="397"/>
      <c r="F311" s="397"/>
      <c r="G311" s="397"/>
      <c r="H311" s="397"/>
      <c r="I311" s="450"/>
      <c r="J311" s="397"/>
      <c r="K311" s="397"/>
      <c r="L311" s="451"/>
      <c r="M311" s="449"/>
    </row>
    <row r="312" spans="1:13" x14ac:dyDescent="0.25">
      <c r="A312" s="397"/>
      <c r="B312" s="397"/>
      <c r="C312" s="397"/>
      <c r="D312" s="397"/>
      <c r="E312" s="397"/>
      <c r="F312" s="397"/>
      <c r="G312" s="397"/>
      <c r="H312" s="397"/>
      <c r="I312" s="450"/>
      <c r="J312" s="397"/>
      <c r="K312" s="397"/>
      <c r="L312" s="451"/>
      <c r="M312" s="449"/>
    </row>
    <row r="313" spans="1:13" x14ac:dyDescent="0.25">
      <c r="A313" s="397"/>
      <c r="B313" s="397"/>
      <c r="C313" s="397"/>
      <c r="D313" s="397"/>
      <c r="E313" s="397"/>
      <c r="F313" s="397"/>
      <c r="G313" s="397"/>
      <c r="H313" s="397"/>
      <c r="I313" s="450"/>
      <c r="J313" s="397"/>
      <c r="K313" s="397"/>
      <c r="L313" s="451"/>
      <c r="M313" s="449"/>
    </row>
    <row r="314" spans="1:13" x14ac:dyDescent="0.25">
      <c r="A314" s="397"/>
      <c r="B314" s="397"/>
      <c r="C314" s="397"/>
      <c r="D314" s="397"/>
      <c r="E314" s="397"/>
      <c r="F314" s="397"/>
      <c r="G314" s="397"/>
      <c r="H314" s="397"/>
      <c r="I314" s="450"/>
      <c r="J314" s="397"/>
      <c r="K314" s="397"/>
      <c r="L314" s="451"/>
      <c r="M314" s="449"/>
    </row>
    <row r="315" spans="1:13" x14ac:dyDescent="0.25">
      <c r="A315" s="397"/>
      <c r="B315" s="397"/>
      <c r="C315" s="397"/>
      <c r="D315" s="397"/>
      <c r="E315" s="397"/>
      <c r="F315" s="397"/>
      <c r="G315" s="397"/>
      <c r="H315" s="397"/>
      <c r="I315" s="450"/>
      <c r="J315" s="397"/>
      <c r="K315" s="397"/>
      <c r="L315" s="451"/>
      <c r="M315" s="449"/>
    </row>
    <row r="316" spans="1:13" x14ac:dyDescent="0.25">
      <c r="A316" s="397"/>
      <c r="B316" s="397"/>
      <c r="C316" s="397"/>
      <c r="D316" s="397"/>
      <c r="E316" s="397"/>
      <c r="F316" s="397"/>
      <c r="G316" s="397"/>
      <c r="H316" s="397"/>
      <c r="I316" s="450"/>
      <c r="J316" s="397"/>
      <c r="K316" s="397"/>
      <c r="L316" s="451"/>
      <c r="M316" s="449"/>
    </row>
    <row r="317" spans="1:13" x14ac:dyDescent="0.25">
      <c r="A317" s="397"/>
      <c r="B317" s="397"/>
      <c r="C317" s="397"/>
      <c r="D317" s="397"/>
      <c r="E317" s="397"/>
      <c r="F317" s="397"/>
      <c r="G317" s="397"/>
      <c r="H317" s="397"/>
      <c r="I317" s="450"/>
      <c r="J317" s="397"/>
      <c r="K317" s="397"/>
      <c r="L317" s="451"/>
      <c r="M317" s="449"/>
    </row>
    <row r="318" spans="1:13" x14ac:dyDescent="0.25">
      <c r="A318" s="397"/>
      <c r="B318" s="397"/>
      <c r="C318" s="397"/>
      <c r="D318" s="397"/>
      <c r="E318" s="397"/>
      <c r="F318" s="397"/>
      <c r="G318" s="397"/>
      <c r="H318" s="397"/>
      <c r="I318" s="450"/>
      <c r="J318" s="397"/>
      <c r="K318" s="397"/>
      <c r="L318" s="451"/>
      <c r="M318" s="449"/>
    </row>
    <row r="319" spans="1:13" x14ac:dyDescent="0.25">
      <c r="A319" s="397"/>
      <c r="B319" s="397"/>
      <c r="C319" s="397"/>
      <c r="D319" s="397"/>
      <c r="E319" s="397"/>
      <c r="F319" s="397"/>
      <c r="G319" s="397"/>
      <c r="H319" s="397"/>
      <c r="I319" s="450"/>
      <c r="J319" s="397"/>
      <c r="K319" s="397"/>
      <c r="L319" s="451"/>
      <c r="M319" s="449"/>
    </row>
    <row r="320" spans="1:13" x14ac:dyDescent="0.25">
      <c r="A320" s="397"/>
      <c r="B320" s="397"/>
      <c r="C320" s="397"/>
      <c r="D320" s="397"/>
      <c r="E320" s="397"/>
      <c r="F320" s="397"/>
      <c r="G320" s="397"/>
      <c r="H320" s="397"/>
      <c r="I320" s="450"/>
      <c r="J320" s="397"/>
      <c r="K320" s="397"/>
      <c r="L320" s="451"/>
      <c r="M320" s="449"/>
    </row>
    <row r="321" spans="1:13" x14ac:dyDescent="0.25">
      <c r="A321" s="397"/>
      <c r="B321" s="397"/>
      <c r="C321" s="397"/>
      <c r="D321" s="397"/>
      <c r="E321" s="397"/>
      <c r="F321" s="397"/>
      <c r="G321" s="397"/>
      <c r="H321" s="397"/>
      <c r="I321" s="450"/>
      <c r="J321" s="397"/>
      <c r="K321" s="397"/>
      <c r="L321" s="451"/>
      <c r="M321" s="449"/>
    </row>
    <row r="322" spans="1:13" x14ac:dyDescent="0.25">
      <c r="A322" s="397"/>
      <c r="B322" s="397"/>
      <c r="C322" s="397"/>
      <c r="D322" s="397"/>
      <c r="E322" s="397"/>
      <c r="F322" s="397"/>
      <c r="G322" s="397"/>
      <c r="H322" s="397"/>
      <c r="I322" s="450"/>
      <c r="J322" s="397"/>
      <c r="K322" s="397"/>
      <c r="L322" s="451"/>
      <c r="M322" s="449"/>
    </row>
    <row r="323" spans="1:13" x14ac:dyDescent="0.25">
      <c r="A323" s="397"/>
      <c r="B323" s="397"/>
      <c r="C323" s="397"/>
      <c r="D323" s="397"/>
      <c r="E323" s="397"/>
      <c r="F323" s="397"/>
      <c r="G323" s="397"/>
      <c r="H323" s="397"/>
      <c r="I323" s="450"/>
      <c r="J323" s="397"/>
      <c r="K323" s="397"/>
      <c r="L323" s="451"/>
      <c r="M323" s="449"/>
    </row>
    <row r="324" spans="1:13" x14ac:dyDescent="0.25">
      <c r="A324" s="397"/>
      <c r="B324" s="397"/>
      <c r="C324" s="397"/>
      <c r="D324" s="397"/>
      <c r="E324" s="397"/>
      <c r="F324" s="397"/>
      <c r="G324" s="397"/>
      <c r="H324" s="397"/>
      <c r="I324" s="450"/>
      <c r="J324" s="397"/>
      <c r="K324" s="397"/>
      <c r="L324" s="451"/>
      <c r="M324" s="449"/>
    </row>
    <row r="325" spans="1:13" x14ac:dyDescent="0.25">
      <c r="A325" s="397"/>
      <c r="B325" s="397"/>
      <c r="C325" s="397"/>
      <c r="D325" s="397"/>
      <c r="E325" s="397"/>
      <c r="F325" s="397"/>
      <c r="G325" s="397"/>
      <c r="H325" s="397"/>
      <c r="I325" s="450"/>
      <c r="J325" s="397"/>
      <c r="K325" s="397"/>
      <c r="L325" s="451"/>
      <c r="M325" s="449"/>
    </row>
    <row r="326" spans="1:13" x14ac:dyDescent="0.25">
      <c r="A326" s="397"/>
      <c r="B326" s="397"/>
      <c r="C326" s="397"/>
      <c r="D326" s="397"/>
      <c r="E326" s="397"/>
      <c r="F326" s="397"/>
      <c r="G326" s="397"/>
      <c r="H326" s="397"/>
      <c r="I326" s="450"/>
      <c r="J326" s="397"/>
      <c r="K326" s="397"/>
      <c r="L326" s="451"/>
      <c r="M326" s="449"/>
    </row>
    <row r="327" spans="1:13" x14ac:dyDescent="0.25">
      <c r="A327" s="397"/>
      <c r="B327" s="397"/>
      <c r="C327" s="397"/>
      <c r="D327" s="397"/>
      <c r="E327" s="397"/>
      <c r="F327" s="397"/>
      <c r="G327" s="397"/>
      <c r="H327" s="397"/>
      <c r="I327" s="450"/>
      <c r="J327" s="397"/>
      <c r="K327" s="397"/>
      <c r="L327" s="451"/>
      <c r="M327" s="449"/>
    </row>
    <row r="328" spans="1:13" x14ac:dyDescent="0.25">
      <c r="A328" s="397"/>
      <c r="B328" s="397"/>
      <c r="C328" s="397"/>
      <c r="D328" s="397"/>
      <c r="E328" s="397"/>
      <c r="F328" s="397"/>
      <c r="G328" s="397"/>
      <c r="H328" s="397"/>
      <c r="I328" s="450"/>
      <c r="J328" s="397"/>
      <c r="K328" s="397"/>
      <c r="L328" s="451"/>
      <c r="M328" s="449"/>
    </row>
    <row r="329" spans="1:13" x14ac:dyDescent="0.25">
      <c r="A329" s="397"/>
      <c r="B329" s="397"/>
      <c r="C329" s="397"/>
      <c r="D329" s="397"/>
      <c r="E329" s="397"/>
      <c r="F329" s="397"/>
      <c r="G329" s="397"/>
      <c r="H329" s="397"/>
      <c r="I329" s="450"/>
      <c r="J329" s="397"/>
      <c r="K329" s="397"/>
      <c r="L329" s="451"/>
      <c r="M329" s="449"/>
    </row>
    <row r="330" spans="1:13" x14ac:dyDescent="0.25">
      <c r="A330" s="397"/>
      <c r="B330" s="397"/>
      <c r="C330" s="397"/>
      <c r="D330" s="397"/>
      <c r="E330" s="397"/>
      <c r="F330" s="397"/>
      <c r="G330" s="397"/>
      <c r="H330" s="397"/>
      <c r="I330" s="450"/>
      <c r="J330" s="397"/>
      <c r="K330" s="397"/>
      <c r="L330" s="451"/>
      <c r="M330" s="449"/>
    </row>
    <row r="331" spans="1:13" x14ac:dyDescent="0.25">
      <c r="A331" s="397"/>
      <c r="B331" s="397"/>
      <c r="C331" s="397"/>
      <c r="D331" s="397"/>
      <c r="E331" s="397"/>
      <c r="F331" s="397"/>
      <c r="G331" s="397"/>
      <c r="H331" s="397"/>
      <c r="I331" s="450"/>
      <c r="J331" s="397"/>
      <c r="K331" s="397"/>
      <c r="L331" s="451"/>
      <c r="M331" s="449"/>
    </row>
    <row r="332" spans="1:13" x14ac:dyDescent="0.25">
      <c r="A332" s="397"/>
      <c r="B332" s="397"/>
      <c r="C332" s="397"/>
      <c r="D332" s="397"/>
      <c r="E332" s="397"/>
      <c r="F332" s="397"/>
      <c r="G332" s="397"/>
      <c r="H332" s="397"/>
      <c r="I332" s="450"/>
      <c r="J332" s="397"/>
      <c r="K332" s="397"/>
      <c r="L332" s="451"/>
      <c r="M332" s="449"/>
    </row>
    <row r="333" spans="1:13" x14ac:dyDescent="0.25">
      <c r="A333" s="397"/>
      <c r="B333" s="397"/>
      <c r="C333" s="397"/>
      <c r="D333" s="397"/>
      <c r="E333" s="397"/>
      <c r="F333" s="397"/>
      <c r="G333" s="397"/>
      <c r="H333" s="397"/>
      <c r="I333" s="450"/>
      <c r="J333" s="397"/>
      <c r="K333" s="397"/>
      <c r="L333" s="451"/>
      <c r="M333" s="449"/>
    </row>
    <row r="334" spans="1:13" x14ac:dyDescent="0.25">
      <c r="A334" s="397"/>
      <c r="B334" s="397"/>
      <c r="C334" s="397"/>
      <c r="D334" s="397"/>
      <c r="E334" s="397"/>
      <c r="F334" s="397"/>
      <c r="G334" s="397"/>
      <c r="H334" s="397"/>
      <c r="I334" s="450"/>
      <c r="J334" s="397"/>
      <c r="K334" s="397"/>
      <c r="L334" s="451"/>
      <c r="M334" s="449"/>
    </row>
    <row r="335" spans="1:13" x14ac:dyDescent="0.25">
      <c r="A335" s="397"/>
      <c r="B335" s="397"/>
      <c r="C335" s="397"/>
      <c r="D335" s="397"/>
      <c r="E335" s="397"/>
      <c r="F335" s="397"/>
      <c r="G335" s="397"/>
      <c r="H335" s="397"/>
      <c r="I335" s="450"/>
      <c r="J335" s="397"/>
      <c r="K335" s="397"/>
      <c r="L335" s="451"/>
      <c r="M335" s="449"/>
    </row>
    <row r="336" spans="1:13" x14ac:dyDescent="0.25">
      <c r="A336" s="397"/>
      <c r="B336" s="397"/>
      <c r="C336" s="397"/>
      <c r="D336" s="397"/>
      <c r="E336" s="397"/>
      <c r="F336" s="397"/>
      <c r="G336" s="397"/>
      <c r="H336" s="397"/>
      <c r="I336" s="450"/>
      <c r="J336" s="397"/>
      <c r="K336" s="397"/>
      <c r="L336" s="451"/>
      <c r="M336" s="449"/>
    </row>
    <row r="337" spans="1:13" x14ac:dyDescent="0.25">
      <c r="A337" s="397"/>
      <c r="B337" s="397"/>
      <c r="C337" s="397"/>
      <c r="D337" s="397"/>
      <c r="E337" s="397"/>
      <c r="F337" s="397"/>
      <c r="G337" s="397"/>
      <c r="H337" s="397"/>
      <c r="I337" s="450"/>
      <c r="J337" s="397"/>
      <c r="K337" s="397"/>
      <c r="L337" s="451"/>
      <c r="M337" s="449"/>
    </row>
    <row r="338" spans="1:13" x14ac:dyDescent="0.25">
      <c r="A338" s="397"/>
      <c r="B338" s="397"/>
      <c r="C338" s="397"/>
      <c r="D338" s="397"/>
      <c r="E338" s="397"/>
      <c r="F338" s="397"/>
      <c r="G338" s="397"/>
      <c r="H338" s="397"/>
      <c r="I338" s="450"/>
      <c r="J338" s="397"/>
      <c r="K338" s="397"/>
      <c r="L338" s="451"/>
      <c r="M338" s="449"/>
    </row>
    <row r="339" spans="1:13" x14ac:dyDescent="0.25">
      <c r="A339" s="397"/>
      <c r="B339" s="397"/>
      <c r="C339" s="397"/>
      <c r="D339" s="397"/>
      <c r="E339" s="397"/>
      <c r="F339" s="397"/>
      <c r="G339" s="397"/>
      <c r="H339" s="397"/>
      <c r="I339" s="450"/>
      <c r="J339" s="397"/>
      <c r="K339" s="397"/>
      <c r="L339" s="451"/>
      <c r="M339" s="449"/>
    </row>
    <row r="340" spans="1:13" x14ac:dyDescent="0.25">
      <c r="A340" s="397"/>
      <c r="B340" s="397"/>
      <c r="C340" s="397"/>
      <c r="D340" s="397"/>
      <c r="E340" s="397"/>
      <c r="F340" s="397"/>
      <c r="G340" s="397"/>
      <c r="H340" s="397"/>
      <c r="I340" s="450"/>
      <c r="J340" s="397"/>
      <c r="K340" s="397"/>
      <c r="L340" s="451"/>
      <c r="M340" s="449"/>
    </row>
    <row r="341" spans="1:13" x14ac:dyDescent="0.25">
      <c r="A341" s="397"/>
      <c r="B341" s="397"/>
      <c r="C341" s="397"/>
      <c r="D341" s="397"/>
      <c r="E341" s="397"/>
      <c r="F341" s="397"/>
      <c r="G341" s="397"/>
      <c r="H341" s="397"/>
      <c r="I341" s="450"/>
      <c r="J341" s="397"/>
      <c r="K341" s="397"/>
      <c r="L341" s="451"/>
      <c r="M341" s="449"/>
    </row>
    <row r="342" spans="1:13" x14ac:dyDescent="0.25">
      <c r="A342" s="397"/>
      <c r="B342" s="397"/>
      <c r="C342" s="397"/>
      <c r="D342" s="397"/>
      <c r="E342" s="397"/>
      <c r="F342" s="397"/>
      <c r="G342" s="397"/>
      <c r="H342" s="397"/>
      <c r="I342" s="450"/>
      <c r="J342" s="397"/>
      <c r="K342" s="397"/>
      <c r="L342" s="451"/>
      <c r="M342" s="449"/>
    </row>
    <row r="343" spans="1:13" x14ac:dyDescent="0.25">
      <c r="A343" s="397"/>
      <c r="B343" s="397"/>
      <c r="C343" s="397"/>
      <c r="D343" s="397"/>
      <c r="E343" s="397"/>
      <c r="F343" s="397"/>
      <c r="G343" s="397"/>
      <c r="H343" s="397"/>
      <c r="I343" s="450"/>
      <c r="J343" s="397"/>
      <c r="K343" s="397"/>
      <c r="L343" s="451"/>
      <c r="M343" s="449"/>
    </row>
    <row r="344" spans="1:13" x14ac:dyDescent="0.25">
      <c r="A344" s="397"/>
      <c r="B344" s="397"/>
      <c r="C344" s="397"/>
      <c r="D344" s="397"/>
      <c r="E344" s="397"/>
      <c r="F344" s="397"/>
      <c r="G344" s="397"/>
      <c r="H344" s="397"/>
      <c r="I344" s="450"/>
      <c r="J344" s="397"/>
      <c r="K344" s="397"/>
      <c r="L344" s="451"/>
      <c r="M344" s="449"/>
    </row>
    <row r="345" spans="1:13" x14ac:dyDescent="0.25">
      <c r="A345" s="397"/>
      <c r="B345" s="397"/>
      <c r="C345" s="397"/>
      <c r="D345" s="397"/>
      <c r="E345" s="397"/>
      <c r="F345" s="397"/>
      <c r="G345" s="397"/>
      <c r="H345" s="397"/>
      <c r="I345" s="450"/>
      <c r="J345" s="397"/>
      <c r="K345" s="397"/>
      <c r="L345" s="451"/>
      <c r="M345" s="449"/>
    </row>
    <row r="346" spans="1:13" x14ac:dyDescent="0.25">
      <c r="A346" s="397"/>
      <c r="B346" s="397"/>
      <c r="C346" s="397"/>
      <c r="D346" s="397"/>
      <c r="E346" s="397"/>
      <c r="F346" s="397"/>
      <c r="G346" s="397"/>
      <c r="H346" s="397"/>
      <c r="I346" s="450"/>
      <c r="J346" s="397"/>
      <c r="K346" s="397"/>
      <c r="L346" s="451"/>
      <c r="M346" s="449"/>
    </row>
    <row r="347" spans="1:13" x14ac:dyDescent="0.25">
      <c r="A347" s="397"/>
      <c r="B347" s="397"/>
      <c r="C347" s="397"/>
      <c r="D347" s="397"/>
      <c r="E347" s="397"/>
      <c r="F347" s="397"/>
      <c r="G347" s="397"/>
      <c r="H347" s="397"/>
      <c r="I347" s="450"/>
      <c r="J347" s="397"/>
      <c r="K347" s="397"/>
      <c r="L347" s="451"/>
      <c r="M347" s="449"/>
    </row>
    <row r="348" spans="1:13" x14ac:dyDescent="0.25">
      <c r="A348" s="397"/>
      <c r="B348" s="397"/>
      <c r="C348" s="397"/>
      <c r="D348" s="397"/>
      <c r="E348" s="397"/>
      <c r="F348" s="397"/>
      <c r="G348" s="397"/>
      <c r="H348" s="397"/>
      <c r="I348" s="450"/>
      <c r="J348" s="397"/>
      <c r="K348" s="397"/>
      <c r="L348" s="451"/>
      <c r="M348" s="449"/>
    </row>
    <row r="349" spans="1:13" x14ac:dyDescent="0.25">
      <c r="A349" s="397"/>
      <c r="B349" s="397"/>
      <c r="C349" s="397"/>
      <c r="D349" s="397"/>
      <c r="E349" s="397"/>
      <c r="F349" s="397"/>
      <c r="G349" s="397"/>
      <c r="H349" s="397"/>
      <c r="I349" s="450"/>
      <c r="J349" s="397"/>
      <c r="K349" s="397"/>
      <c r="L349" s="451"/>
      <c r="M349" s="449"/>
    </row>
    <row r="350" spans="1:13" x14ac:dyDescent="0.25">
      <c r="A350" s="397"/>
      <c r="B350" s="397"/>
      <c r="C350" s="397"/>
      <c r="D350" s="397"/>
      <c r="E350" s="397"/>
      <c r="F350" s="397"/>
      <c r="G350" s="397"/>
      <c r="H350" s="397"/>
      <c r="I350" s="450"/>
      <c r="J350" s="397"/>
      <c r="K350" s="397"/>
      <c r="L350" s="451"/>
      <c r="M350" s="449"/>
    </row>
    <row r="351" spans="1:13" x14ac:dyDescent="0.25">
      <c r="A351" s="397"/>
      <c r="B351" s="397"/>
      <c r="C351" s="397"/>
      <c r="D351" s="397"/>
      <c r="E351" s="397"/>
      <c r="F351" s="397"/>
      <c r="G351" s="397"/>
      <c r="H351" s="397"/>
      <c r="I351" s="450"/>
      <c r="J351" s="397"/>
      <c r="K351" s="397"/>
      <c r="L351" s="451"/>
      <c r="M351" s="449"/>
    </row>
    <row r="352" spans="1:13" x14ac:dyDescent="0.25">
      <c r="A352" s="397"/>
      <c r="B352" s="397"/>
      <c r="C352" s="397"/>
      <c r="D352" s="397"/>
      <c r="E352" s="397"/>
      <c r="F352" s="397"/>
      <c r="G352" s="397"/>
      <c r="H352" s="397"/>
      <c r="I352" s="450"/>
      <c r="J352" s="397"/>
      <c r="K352" s="397"/>
      <c r="L352" s="451"/>
      <c r="M352" s="449"/>
    </row>
    <row r="353" spans="1:13" x14ac:dyDescent="0.25">
      <c r="A353" s="397"/>
      <c r="B353" s="397"/>
      <c r="C353" s="397"/>
      <c r="D353" s="397"/>
      <c r="E353" s="397"/>
      <c r="F353" s="397"/>
      <c r="G353" s="397"/>
      <c r="H353" s="397"/>
      <c r="I353" s="450"/>
      <c r="J353" s="397"/>
      <c r="K353" s="397"/>
      <c r="L353" s="451"/>
      <c r="M353" s="449"/>
    </row>
    <row r="354" spans="1:13" x14ac:dyDescent="0.25">
      <c r="A354" s="397"/>
      <c r="B354" s="397"/>
      <c r="C354" s="397"/>
      <c r="D354" s="397"/>
      <c r="E354" s="397"/>
      <c r="F354" s="397"/>
      <c r="G354" s="397"/>
      <c r="H354" s="397"/>
      <c r="I354" s="450"/>
      <c r="J354" s="397"/>
      <c r="K354" s="397"/>
      <c r="L354" s="451"/>
      <c r="M354" s="449"/>
    </row>
    <row r="355" spans="1:13" x14ac:dyDescent="0.25">
      <c r="A355" s="397"/>
      <c r="B355" s="397"/>
      <c r="C355" s="397"/>
      <c r="D355" s="397"/>
      <c r="E355" s="397"/>
      <c r="F355" s="397"/>
      <c r="G355" s="397"/>
      <c r="H355" s="397"/>
      <c r="I355" s="450"/>
      <c r="J355" s="397"/>
      <c r="K355" s="397"/>
      <c r="L355" s="451"/>
      <c r="M355" s="449"/>
    </row>
    <row r="356" spans="1:13" x14ac:dyDescent="0.25">
      <c r="A356" s="397"/>
      <c r="B356" s="397"/>
      <c r="C356" s="397"/>
      <c r="D356" s="397"/>
      <c r="E356" s="397"/>
      <c r="F356" s="397"/>
      <c r="G356" s="397"/>
      <c r="H356" s="397"/>
      <c r="I356" s="450"/>
      <c r="J356" s="397"/>
      <c r="K356" s="397"/>
      <c r="L356" s="451"/>
      <c r="M356" s="449"/>
    </row>
    <row r="357" spans="1:13" x14ac:dyDescent="0.25">
      <c r="A357" s="397"/>
      <c r="B357" s="397"/>
      <c r="C357" s="397"/>
      <c r="D357" s="397"/>
      <c r="E357" s="397"/>
      <c r="F357" s="397"/>
      <c r="G357" s="397"/>
      <c r="H357" s="397"/>
      <c r="I357" s="450"/>
      <c r="J357" s="397"/>
      <c r="K357" s="397"/>
      <c r="L357" s="451"/>
      <c r="M357" s="449"/>
    </row>
    <row r="358" spans="1:13" x14ac:dyDescent="0.25">
      <c r="A358" s="397"/>
      <c r="B358" s="397"/>
      <c r="C358" s="397"/>
      <c r="D358" s="397"/>
      <c r="E358" s="397"/>
      <c r="F358" s="397"/>
      <c r="G358" s="397"/>
      <c r="H358" s="397"/>
      <c r="I358" s="450"/>
      <c r="J358" s="397"/>
      <c r="K358" s="397"/>
      <c r="L358" s="451"/>
      <c r="M358" s="449"/>
    </row>
    <row r="359" spans="1:13" x14ac:dyDescent="0.25">
      <c r="A359" s="397"/>
      <c r="B359" s="397"/>
      <c r="C359" s="397"/>
      <c r="D359" s="397"/>
      <c r="E359" s="397"/>
      <c r="F359" s="397"/>
      <c r="G359" s="397"/>
      <c r="H359" s="397"/>
      <c r="I359" s="450"/>
      <c r="J359" s="397"/>
      <c r="K359" s="397"/>
      <c r="L359" s="451"/>
      <c r="M359" s="449"/>
    </row>
    <row r="360" spans="1:13" x14ac:dyDescent="0.25">
      <c r="A360" s="397"/>
      <c r="B360" s="397"/>
      <c r="C360" s="397"/>
      <c r="D360" s="397"/>
      <c r="E360" s="397"/>
      <c r="F360" s="397"/>
      <c r="G360" s="397"/>
      <c r="H360" s="397"/>
      <c r="I360" s="450"/>
      <c r="J360" s="397"/>
      <c r="K360" s="397"/>
      <c r="L360" s="451"/>
      <c r="M360" s="449"/>
    </row>
    <row r="361" spans="1:13" x14ac:dyDescent="0.25">
      <c r="A361" s="397"/>
      <c r="B361" s="397"/>
      <c r="C361" s="397"/>
      <c r="D361" s="397"/>
      <c r="E361" s="397"/>
      <c r="F361" s="397"/>
      <c r="G361" s="397"/>
      <c r="H361" s="397"/>
      <c r="I361" s="450"/>
      <c r="J361" s="397"/>
      <c r="K361" s="397"/>
      <c r="L361" s="451"/>
      <c r="M361" s="449"/>
    </row>
    <row r="362" spans="1:13" x14ac:dyDescent="0.25">
      <c r="A362" s="397"/>
      <c r="B362" s="397"/>
      <c r="C362" s="397"/>
      <c r="D362" s="397"/>
      <c r="E362" s="397"/>
      <c r="F362" s="397"/>
      <c r="G362" s="397"/>
      <c r="H362" s="397"/>
      <c r="I362" s="450"/>
      <c r="J362" s="397"/>
      <c r="K362" s="397"/>
      <c r="L362" s="451"/>
      <c r="M362" s="449"/>
    </row>
    <row r="363" spans="1:13" x14ac:dyDescent="0.25">
      <c r="A363" s="397"/>
      <c r="B363" s="397"/>
      <c r="C363" s="397"/>
      <c r="D363" s="397"/>
      <c r="E363" s="397"/>
      <c r="F363" s="397"/>
      <c r="G363" s="397"/>
      <c r="H363" s="397"/>
      <c r="I363" s="450"/>
      <c r="J363" s="397"/>
      <c r="K363" s="397"/>
      <c r="L363" s="451"/>
      <c r="M363" s="449"/>
    </row>
    <row r="364" spans="1:13" x14ac:dyDescent="0.25">
      <c r="A364" s="397"/>
      <c r="B364" s="397"/>
      <c r="C364" s="397"/>
      <c r="D364" s="397"/>
      <c r="E364" s="397"/>
      <c r="F364" s="397"/>
      <c r="G364" s="397"/>
      <c r="H364" s="397"/>
      <c r="I364" s="450"/>
      <c r="J364" s="397"/>
      <c r="K364" s="397"/>
      <c r="L364" s="451"/>
      <c r="M364" s="449"/>
    </row>
    <row r="365" spans="1:13" x14ac:dyDescent="0.25">
      <c r="A365" s="397"/>
      <c r="B365" s="397"/>
      <c r="C365" s="397"/>
      <c r="D365" s="397"/>
      <c r="E365" s="397"/>
      <c r="F365" s="397"/>
      <c r="G365" s="397"/>
      <c r="H365" s="397"/>
      <c r="I365" s="450"/>
      <c r="J365" s="397"/>
      <c r="K365" s="397"/>
      <c r="L365" s="451"/>
      <c r="M365" s="449"/>
    </row>
    <row r="366" spans="1:13" x14ac:dyDescent="0.25">
      <c r="A366" s="397"/>
      <c r="B366" s="397"/>
      <c r="C366" s="397"/>
      <c r="D366" s="397"/>
      <c r="E366" s="397"/>
      <c r="F366" s="397"/>
      <c r="G366" s="397"/>
      <c r="H366" s="397"/>
      <c r="I366" s="450"/>
      <c r="J366" s="397"/>
      <c r="K366" s="397"/>
      <c r="L366" s="451"/>
      <c r="M366" s="449"/>
    </row>
    <row r="367" spans="1:13" x14ac:dyDescent="0.25">
      <c r="A367" s="397"/>
      <c r="B367" s="397"/>
      <c r="C367" s="397"/>
      <c r="D367" s="397"/>
      <c r="E367" s="397"/>
      <c r="F367" s="397"/>
      <c r="G367" s="397"/>
      <c r="H367" s="397"/>
      <c r="I367" s="450"/>
      <c r="J367" s="397"/>
      <c r="K367" s="397"/>
      <c r="L367" s="451"/>
      <c r="M367" s="449"/>
    </row>
    <row r="368" spans="1:13" x14ac:dyDescent="0.25">
      <c r="A368" s="397"/>
      <c r="B368" s="397"/>
      <c r="C368" s="397"/>
      <c r="D368" s="397"/>
      <c r="E368" s="397"/>
      <c r="F368" s="397"/>
      <c r="G368" s="397"/>
      <c r="H368" s="397"/>
      <c r="I368" s="450"/>
      <c r="J368" s="397"/>
      <c r="K368" s="397"/>
      <c r="L368" s="451"/>
      <c r="M368" s="449"/>
    </row>
    <row r="369" spans="1:13" x14ac:dyDescent="0.25">
      <c r="A369" s="397"/>
      <c r="B369" s="397"/>
      <c r="C369" s="397"/>
      <c r="D369" s="397"/>
      <c r="E369" s="397"/>
      <c r="F369" s="397"/>
      <c r="G369" s="397"/>
      <c r="H369" s="397"/>
      <c r="I369" s="450"/>
      <c r="J369" s="397"/>
      <c r="K369" s="397"/>
      <c r="L369" s="451"/>
      <c r="M369" s="449"/>
    </row>
    <row r="370" spans="1:13" x14ac:dyDescent="0.25">
      <c r="A370" s="397"/>
      <c r="B370" s="397"/>
      <c r="C370" s="397"/>
      <c r="D370" s="397"/>
      <c r="E370" s="397"/>
      <c r="F370" s="397"/>
      <c r="G370" s="397"/>
      <c r="H370" s="397"/>
      <c r="I370" s="450"/>
      <c r="J370" s="397"/>
      <c r="K370" s="397"/>
      <c r="L370" s="451"/>
      <c r="M370" s="449"/>
    </row>
    <row r="371" spans="1:13" x14ac:dyDescent="0.25">
      <c r="A371" s="397"/>
      <c r="B371" s="397"/>
      <c r="C371" s="397"/>
      <c r="D371" s="397"/>
      <c r="E371" s="397"/>
      <c r="F371" s="397"/>
      <c r="G371" s="397"/>
      <c r="H371" s="397"/>
      <c r="I371" s="450"/>
      <c r="J371" s="397"/>
      <c r="K371" s="397"/>
      <c r="L371" s="451"/>
      <c r="M371" s="449"/>
    </row>
    <row r="372" spans="1:13" x14ac:dyDescent="0.25">
      <c r="A372" s="397"/>
      <c r="B372" s="397"/>
      <c r="C372" s="397"/>
      <c r="D372" s="397"/>
      <c r="E372" s="397"/>
      <c r="F372" s="397"/>
      <c r="G372" s="397"/>
      <c r="H372" s="397"/>
      <c r="I372" s="450"/>
      <c r="J372" s="397"/>
      <c r="K372" s="397"/>
      <c r="L372" s="451"/>
      <c r="M372" s="449"/>
    </row>
    <row r="373" spans="1:13" x14ac:dyDescent="0.25">
      <c r="A373" s="397"/>
      <c r="B373" s="397"/>
      <c r="C373" s="397"/>
      <c r="D373" s="397"/>
      <c r="E373" s="397"/>
      <c r="F373" s="397"/>
      <c r="G373" s="397"/>
      <c r="H373" s="397"/>
      <c r="I373" s="450"/>
      <c r="J373" s="397"/>
      <c r="K373" s="397"/>
      <c r="L373" s="451"/>
      <c r="M373" s="449"/>
    </row>
    <row r="374" spans="1:13" x14ac:dyDescent="0.25">
      <c r="A374" s="397"/>
      <c r="B374" s="397"/>
      <c r="C374" s="397"/>
      <c r="D374" s="397"/>
      <c r="E374" s="397"/>
      <c r="F374" s="397"/>
      <c r="G374" s="397"/>
      <c r="H374" s="397"/>
      <c r="I374" s="450"/>
      <c r="J374" s="397"/>
      <c r="K374" s="397"/>
      <c r="L374" s="451"/>
      <c r="M374" s="449"/>
    </row>
    <row r="375" spans="1:13" x14ac:dyDescent="0.25">
      <c r="A375" s="397"/>
      <c r="B375" s="397"/>
      <c r="C375" s="397"/>
      <c r="D375" s="397"/>
      <c r="E375" s="397"/>
      <c r="F375" s="397"/>
      <c r="G375" s="397"/>
      <c r="H375" s="397"/>
      <c r="I375" s="450"/>
      <c r="J375" s="397"/>
      <c r="K375" s="397"/>
      <c r="L375" s="451"/>
      <c r="M375" s="449"/>
    </row>
    <row r="376" spans="1:13" x14ac:dyDescent="0.25">
      <c r="A376" s="397"/>
      <c r="B376" s="397"/>
      <c r="C376" s="397"/>
      <c r="D376" s="397"/>
      <c r="E376" s="397"/>
      <c r="F376" s="397"/>
      <c r="G376" s="397"/>
      <c r="H376" s="397"/>
      <c r="I376" s="450"/>
      <c r="J376" s="397"/>
      <c r="K376" s="397"/>
      <c r="L376" s="451"/>
      <c r="M376" s="449"/>
    </row>
    <row r="377" spans="1:13" x14ac:dyDescent="0.25">
      <c r="A377" s="397"/>
      <c r="B377" s="397"/>
      <c r="C377" s="397"/>
      <c r="D377" s="397"/>
      <c r="E377" s="397"/>
      <c r="F377" s="397"/>
      <c r="G377" s="397"/>
      <c r="H377" s="397"/>
      <c r="I377" s="450"/>
      <c r="J377" s="397"/>
      <c r="K377" s="397"/>
      <c r="L377" s="451"/>
      <c r="M377" s="449"/>
    </row>
    <row r="378" spans="1:13" x14ac:dyDescent="0.25">
      <c r="A378" s="397"/>
      <c r="B378" s="397"/>
      <c r="C378" s="397"/>
      <c r="D378" s="397"/>
      <c r="E378" s="397"/>
      <c r="F378" s="397"/>
      <c r="G378" s="397"/>
      <c r="H378" s="397"/>
      <c r="I378" s="450"/>
      <c r="J378" s="397"/>
      <c r="K378" s="397"/>
      <c r="L378" s="451"/>
      <c r="M378" s="449"/>
    </row>
    <row r="379" spans="1:13" x14ac:dyDescent="0.25">
      <c r="A379" s="397"/>
      <c r="B379" s="397"/>
      <c r="C379" s="397"/>
      <c r="D379" s="397"/>
      <c r="E379" s="397"/>
      <c r="F379" s="397"/>
      <c r="G379" s="397"/>
      <c r="H379" s="397"/>
      <c r="I379" s="450"/>
      <c r="J379" s="397"/>
      <c r="K379" s="397"/>
      <c r="L379" s="451"/>
      <c r="M379" s="449"/>
    </row>
    <row r="380" spans="1:13" x14ac:dyDescent="0.25">
      <c r="A380" s="397"/>
      <c r="B380" s="397"/>
      <c r="C380" s="397"/>
      <c r="D380" s="397"/>
      <c r="E380" s="397"/>
      <c r="F380" s="397"/>
      <c r="G380" s="397"/>
      <c r="H380" s="397"/>
      <c r="I380" s="450"/>
      <c r="J380" s="397"/>
      <c r="K380" s="397"/>
      <c r="L380" s="451"/>
      <c r="M380" s="449"/>
    </row>
    <row r="381" spans="1:13" x14ac:dyDescent="0.25">
      <c r="A381" s="397"/>
      <c r="B381" s="397"/>
      <c r="C381" s="397"/>
      <c r="D381" s="397"/>
      <c r="E381" s="397"/>
      <c r="F381" s="397"/>
      <c r="G381" s="397"/>
      <c r="H381" s="397"/>
      <c r="I381" s="450"/>
      <c r="J381" s="397"/>
      <c r="K381" s="397"/>
      <c r="L381" s="451"/>
      <c r="M381" s="449"/>
    </row>
    <row r="382" spans="1:13" x14ac:dyDescent="0.25">
      <c r="A382" s="397"/>
      <c r="B382" s="397"/>
      <c r="C382" s="397"/>
      <c r="D382" s="397"/>
      <c r="E382" s="397"/>
      <c r="F382" s="397"/>
      <c r="G382" s="397"/>
      <c r="H382" s="397"/>
      <c r="I382" s="450"/>
      <c r="J382" s="397"/>
      <c r="K382" s="397"/>
      <c r="L382" s="451"/>
      <c r="M382" s="449"/>
    </row>
    <row r="383" spans="1:13" x14ac:dyDescent="0.25">
      <c r="A383" s="397"/>
      <c r="B383" s="397"/>
      <c r="C383" s="397"/>
      <c r="D383" s="397"/>
      <c r="E383" s="397"/>
      <c r="F383" s="397"/>
      <c r="G383" s="397"/>
      <c r="H383" s="397"/>
      <c r="I383" s="450"/>
      <c r="J383" s="397"/>
      <c r="K383" s="397"/>
      <c r="L383" s="451"/>
      <c r="M383" s="449"/>
    </row>
    <row r="384" spans="1:13" x14ac:dyDescent="0.25">
      <c r="A384" s="397"/>
      <c r="B384" s="397"/>
      <c r="C384" s="397"/>
      <c r="D384" s="397"/>
      <c r="E384" s="397"/>
      <c r="F384" s="397"/>
      <c r="G384" s="397"/>
      <c r="H384" s="397"/>
      <c r="I384" s="450"/>
      <c r="J384" s="397"/>
      <c r="K384" s="397"/>
      <c r="L384" s="451"/>
      <c r="M384" s="449"/>
    </row>
    <row r="385" spans="1:13" x14ac:dyDescent="0.25">
      <c r="A385" s="397"/>
      <c r="B385" s="397"/>
      <c r="C385" s="397"/>
      <c r="D385" s="397"/>
      <c r="E385" s="397"/>
      <c r="F385" s="397"/>
      <c r="G385" s="397"/>
      <c r="H385" s="397"/>
      <c r="I385" s="450"/>
      <c r="J385" s="397"/>
      <c r="K385" s="397"/>
      <c r="L385" s="451"/>
      <c r="M385" s="449"/>
    </row>
    <row r="386" spans="1:13" x14ac:dyDescent="0.25">
      <c r="A386" s="397"/>
      <c r="B386" s="397"/>
      <c r="C386" s="397"/>
      <c r="D386" s="397"/>
      <c r="E386" s="397"/>
      <c r="F386" s="397"/>
      <c r="G386" s="397"/>
      <c r="H386" s="397"/>
      <c r="I386" s="450"/>
      <c r="J386" s="397"/>
      <c r="K386" s="397"/>
      <c r="L386" s="451"/>
      <c r="M386" s="449"/>
    </row>
    <row r="387" spans="1:13" x14ac:dyDescent="0.25">
      <c r="A387" s="397"/>
      <c r="B387" s="397"/>
      <c r="C387" s="397"/>
      <c r="D387" s="397"/>
      <c r="E387" s="397"/>
      <c r="F387" s="397"/>
      <c r="G387" s="397"/>
      <c r="H387" s="397"/>
      <c r="I387" s="450"/>
      <c r="J387" s="397"/>
      <c r="K387" s="397"/>
      <c r="L387" s="451"/>
      <c r="M387" s="449"/>
    </row>
    <row r="388" spans="1:13" x14ac:dyDescent="0.25">
      <c r="A388" s="397"/>
      <c r="B388" s="397"/>
      <c r="C388" s="397"/>
      <c r="D388" s="397"/>
      <c r="E388" s="397"/>
      <c r="F388" s="397"/>
      <c r="G388" s="397"/>
      <c r="H388" s="397"/>
      <c r="I388" s="450"/>
      <c r="J388" s="397"/>
      <c r="K388" s="397"/>
      <c r="L388" s="451"/>
      <c r="M388" s="449"/>
    </row>
    <row r="389" spans="1:13" x14ac:dyDescent="0.25">
      <c r="A389" s="397"/>
      <c r="B389" s="397"/>
      <c r="C389" s="397"/>
      <c r="D389" s="397"/>
      <c r="E389" s="397"/>
      <c r="F389" s="397"/>
      <c r="G389" s="397"/>
      <c r="H389" s="397"/>
      <c r="I389" s="450"/>
      <c r="J389" s="397"/>
      <c r="K389" s="397"/>
      <c r="L389" s="451"/>
      <c r="M389" s="449"/>
    </row>
    <row r="390" spans="1:13" x14ac:dyDescent="0.25">
      <c r="A390" s="397"/>
      <c r="B390" s="397"/>
      <c r="C390" s="397"/>
      <c r="D390" s="397"/>
      <c r="E390" s="397"/>
      <c r="F390" s="397"/>
      <c r="G390" s="397"/>
      <c r="H390" s="397"/>
      <c r="I390" s="450"/>
      <c r="J390" s="397"/>
      <c r="K390" s="397"/>
      <c r="L390" s="451"/>
      <c r="M390" s="449"/>
    </row>
    <row r="391" spans="1:13" x14ac:dyDescent="0.25">
      <c r="A391" s="397"/>
      <c r="B391" s="397"/>
      <c r="C391" s="397"/>
      <c r="D391" s="397"/>
      <c r="E391" s="397"/>
      <c r="F391" s="397"/>
      <c r="G391" s="397"/>
      <c r="H391" s="397"/>
      <c r="I391" s="450"/>
      <c r="J391" s="397"/>
      <c r="K391" s="397"/>
      <c r="L391" s="451"/>
      <c r="M391" s="449"/>
    </row>
    <row r="392" spans="1:13" x14ac:dyDescent="0.25">
      <c r="A392" s="397"/>
      <c r="B392" s="397"/>
      <c r="C392" s="397"/>
      <c r="D392" s="397"/>
      <c r="E392" s="397"/>
      <c r="F392" s="397"/>
      <c r="G392" s="397"/>
      <c r="H392" s="397"/>
      <c r="I392" s="450"/>
      <c r="J392" s="397"/>
      <c r="K392" s="397"/>
      <c r="L392" s="451"/>
      <c r="M392" s="449"/>
    </row>
    <row r="393" spans="1:13" x14ac:dyDescent="0.25">
      <c r="A393" s="397"/>
      <c r="B393" s="397"/>
      <c r="C393" s="397"/>
      <c r="D393" s="397"/>
      <c r="E393" s="397"/>
      <c r="F393" s="397"/>
      <c r="G393" s="397"/>
      <c r="H393" s="397"/>
      <c r="I393" s="450"/>
      <c r="J393" s="397"/>
      <c r="K393" s="397"/>
      <c r="L393" s="451"/>
      <c r="M393" s="449"/>
    </row>
    <row r="394" spans="1:13" x14ac:dyDescent="0.25">
      <c r="A394" s="397"/>
      <c r="B394" s="397"/>
      <c r="C394" s="397"/>
      <c r="D394" s="397"/>
      <c r="E394" s="397"/>
      <c r="F394" s="397"/>
      <c r="G394" s="397"/>
      <c r="H394" s="397"/>
      <c r="I394" s="450"/>
      <c r="J394" s="397"/>
      <c r="K394" s="397"/>
      <c r="L394" s="451"/>
      <c r="M394" s="449"/>
    </row>
    <row r="395" spans="1:13" x14ac:dyDescent="0.25">
      <c r="A395" s="397"/>
      <c r="B395" s="397"/>
      <c r="C395" s="397"/>
      <c r="D395" s="397"/>
      <c r="E395" s="397"/>
      <c r="F395" s="397"/>
      <c r="G395" s="397"/>
      <c r="H395" s="397"/>
      <c r="I395" s="450"/>
      <c r="J395" s="397"/>
      <c r="K395" s="397"/>
      <c r="L395" s="451"/>
      <c r="M395" s="449"/>
    </row>
    <row r="396" spans="1:13" x14ac:dyDescent="0.25">
      <c r="A396" s="397"/>
      <c r="B396" s="397"/>
      <c r="C396" s="397"/>
      <c r="D396" s="397"/>
      <c r="E396" s="397"/>
      <c r="F396" s="397"/>
      <c r="G396" s="397"/>
      <c r="H396" s="397"/>
      <c r="I396" s="450"/>
      <c r="J396" s="397"/>
      <c r="K396" s="397"/>
      <c r="L396" s="451"/>
      <c r="M396" s="449"/>
    </row>
    <row r="397" spans="1:13" x14ac:dyDescent="0.25">
      <c r="A397" s="397"/>
      <c r="B397" s="397"/>
      <c r="C397" s="397"/>
      <c r="D397" s="397"/>
      <c r="E397" s="397"/>
      <c r="F397" s="397"/>
      <c r="G397" s="397"/>
      <c r="H397" s="397"/>
      <c r="I397" s="450"/>
      <c r="J397" s="397"/>
      <c r="K397" s="397"/>
      <c r="L397" s="451"/>
      <c r="M397" s="449"/>
    </row>
    <row r="398" spans="1:13" x14ac:dyDescent="0.25">
      <c r="A398" s="397"/>
      <c r="B398" s="397"/>
      <c r="C398" s="397"/>
      <c r="D398" s="397"/>
      <c r="E398" s="397"/>
      <c r="F398" s="397"/>
      <c r="G398" s="397"/>
      <c r="H398" s="397"/>
      <c r="I398" s="450"/>
      <c r="J398" s="397"/>
      <c r="K398" s="397"/>
      <c r="L398" s="451"/>
      <c r="M398" s="449"/>
    </row>
    <row r="399" spans="1:13" x14ac:dyDescent="0.25">
      <c r="A399" s="397"/>
      <c r="B399" s="397"/>
      <c r="C399" s="397"/>
      <c r="D399" s="397"/>
      <c r="E399" s="397"/>
      <c r="F399" s="397"/>
      <c r="G399" s="397"/>
      <c r="H399" s="397"/>
      <c r="I399" s="450"/>
      <c r="J399" s="397"/>
      <c r="K399" s="397"/>
      <c r="L399" s="451"/>
      <c r="M399" s="449"/>
    </row>
    <row r="400" spans="1:13" x14ac:dyDescent="0.25">
      <c r="A400" s="397"/>
      <c r="B400" s="397"/>
      <c r="C400" s="397"/>
      <c r="D400" s="397"/>
      <c r="E400" s="397"/>
      <c r="F400" s="397"/>
      <c r="G400" s="397"/>
      <c r="H400" s="397"/>
      <c r="I400" s="450"/>
      <c r="J400" s="397"/>
      <c r="K400" s="397"/>
      <c r="L400" s="451"/>
      <c r="M400" s="449"/>
    </row>
    <row r="401" spans="1:13" x14ac:dyDescent="0.25">
      <c r="A401" s="397"/>
      <c r="B401" s="397"/>
      <c r="C401" s="397"/>
      <c r="D401" s="397"/>
      <c r="E401" s="397"/>
      <c r="F401" s="397"/>
      <c r="G401" s="397"/>
      <c r="H401" s="397"/>
      <c r="I401" s="450"/>
      <c r="J401" s="397"/>
      <c r="K401" s="397"/>
      <c r="L401" s="451"/>
      <c r="M401" s="449"/>
    </row>
    <row r="402" spans="1:13" x14ac:dyDescent="0.25">
      <c r="A402" s="397"/>
      <c r="B402" s="397"/>
      <c r="C402" s="397"/>
      <c r="D402" s="397"/>
      <c r="E402" s="397"/>
      <c r="F402" s="397"/>
      <c r="G402" s="397"/>
      <c r="H402" s="397"/>
      <c r="I402" s="450"/>
      <c r="J402" s="397"/>
      <c r="K402" s="397"/>
      <c r="L402" s="451"/>
      <c r="M402" s="449"/>
    </row>
    <row r="403" spans="1:13" x14ac:dyDescent="0.25">
      <c r="A403" s="397"/>
      <c r="B403" s="397"/>
      <c r="C403" s="397"/>
      <c r="D403" s="397"/>
      <c r="E403" s="397"/>
      <c r="F403" s="397"/>
      <c r="G403" s="397"/>
      <c r="H403" s="397"/>
      <c r="I403" s="450"/>
      <c r="J403" s="397"/>
      <c r="K403" s="397"/>
      <c r="L403" s="451"/>
      <c r="M403" s="449"/>
    </row>
    <row r="404" spans="1:13" x14ac:dyDescent="0.25">
      <c r="A404" s="397"/>
      <c r="B404" s="397"/>
      <c r="C404" s="397"/>
      <c r="D404" s="397"/>
      <c r="E404" s="397"/>
      <c r="F404" s="397"/>
      <c r="G404" s="397"/>
      <c r="H404" s="397"/>
      <c r="I404" s="450"/>
      <c r="J404" s="397"/>
      <c r="K404" s="397"/>
      <c r="L404" s="451"/>
      <c r="M404" s="449"/>
    </row>
    <row r="405" spans="1:13" x14ac:dyDescent="0.25">
      <c r="A405" s="397"/>
      <c r="B405" s="397"/>
      <c r="C405" s="397"/>
      <c r="D405" s="397"/>
      <c r="E405" s="397"/>
      <c r="F405" s="397"/>
      <c r="G405" s="397"/>
      <c r="H405" s="397"/>
      <c r="I405" s="450"/>
      <c r="J405" s="397"/>
      <c r="K405" s="397"/>
      <c r="L405" s="451"/>
      <c r="M405" s="449"/>
    </row>
    <row r="406" spans="1:13" x14ac:dyDescent="0.25">
      <c r="A406" s="397"/>
      <c r="B406" s="397"/>
      <c r="C406" s="397"/>
      <c r="D406" s="397"/>
      <c r="E406" s="397"/>
      <c r="F406" s="397"/>
      <c r="G406" s="397"/>
      <c r="H406" s="397"/>
      <c r="I406" s="450"/>
      <c r="J406" s="397"/>
      <c r="K406" s="397"/>
      <c r="L406" s="451"/>
      <c r="M406" s="449"/>
    </row>
    <row r="407" spans="1:13" x14ac:dyDescent="0.25">
      <c r="A407" s="397"/>
      <c r="B407" s="397"/>
      <c r="C407" s="397"/>
      <c r="D407" s="397"/>
      <c r="E407" s="397"/>
      <c r="F407" s="397"/>
      <c r="G407" s="397"/>
      <c r="H407" s="397"/>
      <c r="I407" s="450"/>
      <c r="J407" s="397"/>
      <c r="K407" s="397"/>
      <c r="L407" s="451"/>
      <c r="M407" s="449"/>
    </row>
    <row r="408" spans="1:13" x14ac:dyDescent="0.25">
      <c r="A408" s="397"/>
      <c r="B408" s="397"/>
      <c r="C408" s="397"/>
      <c r="D408" s="397"/>
      <c r="E408" s="397"/>
      <c r="F408" s="397"/>
      <c r="G408" s="397"/>
      <c r="H408" s="397"/>
      <c r="I408" s="450"/>
      <c r="J408" s="397"/>
      <c r="K408" s="397"/>
      <c r="L408" s="451"/>
      <c r="M408" s="449"/>
    </row>
    <row r="409" spans="1:13" x14ac:dyDescent="0.25">
      <c r="A409" s="397"/>
      <c r="B409" s="397"/>
      <c r="C409" s="397"/>
      <c r="D409" s="397"/>
      <c r="E409" s="397"/>
      <c r="F409" s="397"/>
      <c r="G409" s="397"/>
      <c r="H409" s="397"/>
      <c r="I409" s="450"/>
      <c r="J409" s="397"/>
      <c r="K409" s="397"/>
      <c r="L409" s="451"/>
      <c r="M409" s="449"/>
    </row>
    <row r="410" spans="1:13" x14ac:dyDescent="0.25">
      <c r="A410" s="397"/>
      <c r="B410" s="397"/>
      <c r="C410" s="397"/>
      <c r="D410" s="397"/>
      <c r="E410" s="397"/>
      <c r="F410" s="397"/>
      <c r="G410" s="397"/>
      <c r="H410" s="397"/>
      <c r="I410" s="450"/>
      <c r="J410" s="397"/>
      <c r="K410" s="397"/>
      <c r="L410" s="451"/>
      <c r="M410" s="449"/>
    </row>
    <row r="411" spans="1:13" x14ac:dyDescent="0.25">
      <c r="A411" s="397"/>
      <c r="B411" s="397"/>
      <c r="C411" s="397"/>
      <c r="D411" s="397"/>
      <c r="E411" s="397"/>
      <c r="F411" s="397"/>
      <c r="G411" s="397"/>
      <c r="H411" s="397"/>
      <c r="I411" s="450"/>
      <c r="J411" s="397"/>
      <c r="K411" s="397"/>
      <c r="L411" s="451"/>
      <c r="M411" s="449"/>
    </row>
    <row r="412" spans="1:13" x14ac:dyDescent="0.25">
      <c r="A412" s="397"/>
      <c r="B412" s="397"/>
      <c r="C412" s="397"/>
      <c r="D412" s="397"/>
      <c r="E412" s="397"/>
      <c r="F412" s="397"/>
      <c r="G412" s="397"/>
      <c r="H412" s="397"/>
      <c r="I412" s="450"/>
      <c r="J412" s="397"/>
      <c r="K412" s="397"/>
      <c r="L412" s="451"/>
      <c r="M412" s="449"/>
    </row>
    <row r="413" spans="1:13" x14ac:dyDescent="0.25">
      <c r="A413" s="397"/>
      <c r="B413" s="397"/>
      <c r="C413" s="397"/>
      <c r="D413" s="397"/>
      <c r="E413" s="397"/>
      <c r="F413" s="397"/>
      <c r="G413" s="397"/>
      <c r="H413" s="397"/>
      <c r="I413" s="450"/>
      <c r="J413" s="397"/>
      <c r="K413" s="397"/>
      <c r="L413" s="451"/>
      <c r="M413" s="449"/>
    </row>
    <row r="414" spans="1:13" x14ac:dyDescent="0.25">
      <c r="A414" s="397"/>
      <c r="B414" s="397"/>
      <c r="C414" s="397"/>
      <c r="D414" s="397"/>
      <c r="E414" s="397"/>
      <c r="F414" s="397"/>
      <c r="G414" s="397"/>
      <c r="H414" s="397"/>
      <c r="I414" s="450"/>
      <c r="J414" s="397"/>
      <c r="K414" s="397"/>
      <c r="L414" s="451"/>
      <c r="M414" s="449"/>
    </row>
    <row r="415" spans="1:13" x14ac:dyDescent="0.25">
      <c r="A415" s="397"/>
      <c r="B415" s="397"/>
      <c r="C415" s="397"/>
      <c r="D415" s="397"/>
      <c r="E415" s="397"/>
      <c r="F415" s="397"/>
      <c r="G415" s="397"/>
      <c r="H415" s="397"/>
      <c r="I415" s="450"/>
      <c r="J415" s="397"/>
      <c r="K415" s="397"/>
      <c r="L415" s="451"/>
      <c r="M415" s="449"/>
    </row>
    <row r="416" spans="1:13" x14ac:dyDescent="0.25">
      <c r="A416" s="397"/>
      <c r="B416" s="397"/>
      <c r="C416" s="397"/>
      <c r="D416" s="397"/>
      <c r="E416" s="397"/>
      <c r="F416" s="397"/>
      <c r="G416" s="397"/>
      <c r="H416" s="397"/>
      <c r="I416" s="450"/>
      <c r="J416" s="397"/>
      <c r="K416" s="397"/>
      <c r="L416" s="451"/>
      <c r="M416" s="449"/>
    </row>
    <row r="417" spans="1:13" x14ac:dyDescent="0.25">
      <c r="A417" s="397"/>
      <c r="B417" s="397"/>
      <c r="C417" s="397"/>
      <c r="D417" s="397"/>
      <c r="E417" s="397"/>
      <c r="F417" s="397"/>
      <c r="G417" s="397"/>
      <c r="H417" s="397"/>
      <c r="I417" s="450"/>
      <c r="J417" s="397"/>
      <c r="K417" s="397"/>
      <c r="L417" s="451"/>
      <c r="M417" s="449"/>
    </row>
    <row r="418" spans="1:13" x14ac:dyDescent="0.25">
      <c r="A418" s="397"/>
      <c r="B418" s="397"/>
      <c r="C418" s="397"/>
      <c r="D418" s="397"/>
      <c r="E418" s="397"/>
      <c r="F418" s="397"/>
      <c r="G418" s="397"/>
      <c r="H418" s="397"/>
      <c r="I418" s="450"/>
      <c r="J418" s="397"/>
      <c r="K418" s="397"/>
      <c r="L418" s="451"/>
      <c r="M418" s="449"/>
    </row>
    <row r="419" spans="1:13" x14ac:dyDescent="0.25">
      <c r="A419" s="397"/>
      <c r="B419" s="397"/>
      <c r="C419" s="397"/>
      <c r="D419" s="397"/>
      <c r="E419" s="397"/>
      <c r="F419" s="397"/>
      <c r="G419" s="397"/>
      <c r="H419" s="397"/>
      <c r="I419" s="450"/>
      <c r="J419" s="397"/>
      <c r="K419" s="397"/>
      <c r="L419" s="451"/>
      <c r="M419" s="449"/>
    </row>
    <row r="420" spans="1:13" x14ac:dyDescent="0.25">
      <c r="A420" s="397"/>
      <c r="B420" s="397"/>
      <c r="C420" s="397"/>
      <c r="D420" s="397"/>
      <c r="E420" s="397"/>
      <c r="F420" s="397"/>
      <c r="G420" s="397"/>
      <c r="H420" s="397"/>
      <c r="I420" s="450"/>
      <c r="J420" s="397"/>
      <c r="K420" s="397"/>
      <c r="L420" s="451"/>
      <c r="M420" s="449"/>
    </row>
    <row r="421" spans="1:13" x14ac:dyDescent="0.25">
      <c r="A421" s="397"/>
      <c r="B421" s="397"/>
      <c r="C421" s="397"/>
      <c r="D421" s="397"/>
      <c r="E421" s="397"/>
      <c r="F421" s="397"/>
      <c r="G421" s="397"/>
      <c r="H421" s="397"/>
      <c r="I421" s="450"/>
      <c r="J421" s="397"/>
      <c r="K421" s="397"/>
      <c r="L421" s="451"/>
      <c r="M421" s="449"/>
    </row>
    <row r="422" spans="1:13" x14ac:dyDescent="0.25">
      <c r="A422" s="397"/>
      <c r="B422" s="397"/>
      <c r="C422" s="397"/>
      <c r="D422" s="397"/>
      <c r="E422" s="397"/>
      <c r="F422" s="397"/>
      <c r="G422" s="397"/>
      <c r="H422" s="397"/>
      <c r="I422" s="450"/>
      <c r="J422" s="397"/>
      <c r="K422" s="397"/>
      <c r="L422" s="451"/>
      <c r="M422" s="449"/>
    </row>
    <row r="423" spans="1:13" x14ac:dyDescent="0.25">
      <c r="A423" s="397"/>
      <c r="B423" s="397"/>
      <c r="C423" s="397"/>
      <c r="D423" s="397"/>
      <c r="E423" s="397"/>
      <c r="F423" s="397"/>
      <c r="G423" s="397"/>
      <c r="H423" s="397"/>
      <c r="I423" s="450"/>
      <c r="J423" s="397"/>
      <c r="K423" s="397"/>
      <c r="L423" s="451"/>
      <c r="M423" s="449"/>
    </row>
    <row r="424" spans="1:13" x14ac:dyDescent="0.25">
      <c r="A424" s="397"/>
      <c r="B424" s="397"/>
      <c r="C424" s="397"/>
      <c r="D424" s="397"/>
      <c r="E424" s="397"/>
      <c r="F424" s="397"/>
      <c r="G424" s="397"/>
      <c r="H424" s="397"/>
      <c r="I424" s="450"/>
      <c r="J424" s="397"/>
      <c r="K424" s="397"/>
      <c r="L424" s="451"/>
      <c r="M424" s="449"/>
    </row>
    <row r="425" spans="1:13" x14ac:dyDescent="0.25">
      <c r="A425" s="397"/>
      <c r="B425" s="397"/>
      <c r="C425" s="397"/>
      <c r="D425" s="397"/>
      <c r="E425" s="397"/>
      <c r="F425" s="397"/>
      <c r="G425" s="397"/>
      <c r="H425" s="397"/>
      <c r="I425" s="450"/>
      <c r="J425" s="397"/>
      <c r="K425" s="397"/>
      <c r="L425" s="451"/>
      <c r="M425" s="449"/>
    </row>
    <row r="426" spans="1:13" x14ac:dyDescent="0.25">
      <c r="A426" s="397"/>
      <c r="B426" s="397"/>
      <c r="C426" s="397"/>
      <c r="D426" s="397"/>
      <c r="E426" s="397"/>
      <c r="F426" s="397"/>
      <c r="G426" s="397"/>
      <c r="H426" s="397"/>
      <c r="I426" s="450"/>
      <c r="J426" s="397"/>
      <c r="K426" s="397"/>
      <c r="L426" s="451"/>
      <c r="M426" s="449"/>
    </row>
    <row r="427" spans="1:13" x14ac:dyDescent="0.25">
      <c r="A427" s="397"/>
      <c r="B427" s="397"/>
      <c r="C427" s="397"/>
      <c r="D427" s="397"/>
      <c r="E427" s="397"/>
      <c r="F427" s="397"/>
      <c r="G427" s="397"/>
      <c r="H427" s="397"/>
      <c r="I427" s="450"/>
      <c r="J427" s="397"/>
      <c r="K427" s="397"/>
      <c r="L427" s="451"/>
      <c r="M427" s="449"/>
    </row>
    <row r="428" spans="1:13" x14ac:dyDescent="0.25">
      <c r="A428" s="397"/>
      <c r="B428" s="397"/>
      <c r="C428" s="397"/>
      <c r="D428" s="397"/>
      <c r="E428" s="397"/>
      <c r="F428" s="397"/>
      <c r="G428" s="397"/>
      <c r="H428" s="397"/>
      <c r="I428" s="450"/>
      <c r="J428" s="397"/>
      <c r="K428" s="397"/>
      <c r="L428" s="451"/>
      <c r="M428" s="449"/>
    </row>
    <row r="429" spans="1:13" x14ac:dyDescent="0.25">
      <c r="A429" s="397"/>
      <c r="B429" s="397"/>
      <c r="C429" s="397"/>
      <c r="D429" s="397"/>
      <c r="E429" s="397"/>
      <c r="F429" s="397"/>
      <c r="G429" s="397"/>
      <c r="H429" s="397"/>
      <c r="I429" s="450"/>
      <c r="J429" s="397"/>
      <c r="K429" s="397"/>
      <c r="L429" s="451"/>
      <c r="M429" s="449"/>
    </row>
    <row r="430" spans="1:13" x14ac:dyDescent="0.25">
      <c r="A430" s="397"/>
      <c r="B430" s="397"/>
      <c r="C430" s="397"/>
      <c r="D430" s="397"/>
      <c r="E430" s="397"/>
      <c r="F430" s="397"/>
      <c r="G430" s="397"/>
      <c r="H430" s="397"/>
      <c r="I430" s="450"/>
      <c r="J430" s="397"/>
      <c r="K430" s="397"/>
      <c r="L430" s="451"/>
      <c r="M430" s="449"/>
    </row>
    <row r="431" spans="1:13" x14ac:dyDescent="0.25">
      <c r="A431" s="397"/>
      <c r="B431" s="397"/>
      <c r="C431" s="397"/>
      <c r="D431" s="397"/>
      <c r="E431" s="397"/>
      <c r="F431" s="397"/>
      <c r="G431" s="397"/>
      <c r="H431" s="397"/>
      <c r="I431" s="450"/>
      <c r="J431" s="397"/>
      <c r="K431" s="397"/>
      <c r="L431" s="451"/>
      <c r="M431" s="449"/>
    </row>
    <row r="432" spans="1:13" x14ac:dyDescent="0.25">
      <c r="A432" s="397"/>
      <c r="B432" s="397"/>
      <c r="C432" s="397"/>
      <c r="D432" s="397"/>
      <c r="E432" s="397"/>
      <c r="F432" s="397"/>
      <c r="G432" s="397"/>
      <c r="H432" s="397"/>
      <c r="I432" s="450"/>
      <c r="J432" s="397"/>
      <c r="K432" s="397"/>
      <c r="L432" s="451"/>
      <c r="M432" s="449"/>
    </row>
    <row r="433" spans="1:13" x14ac:dyDescent="0.25">
      <c r="A433" s="397"/>
      <c r="B433" s="397"/>
      <c r="C433" s="397"/>
      <c r="D433" s="397"/>
      <c r="E433" s="397"/>
      <c r="F433" s="397"/>
      <c r="G433" s="397"/>
      <c r="H433" s="397"/>
      <c r="I433" s="450"/>
      <c r="J433" s="397"/>
      <c r="K433" s="397"/>
      <c r="L433" s="451"/>
      <c r="M433" s="449"/>
    </row>
    <row r="434" spans="1:13" x14ac:dyDescent="0.25">
      <c r="A434" s="397"/>
      <c r="B434" s="397"/>
      <c r="C434" s="397"/>
      <c r="D434" s="397"/>
      <c r="E434" s="397"/>
      <c r="F434" s="397"/>
      <c r="G434" s="397"/>
      <c r="H434" s="397"/>
      <c r="I434" s="450"/>
      <c r="J434" s="397"/>
      <c r="K434" s="397"/>
      <c r="L434" s="451"/>
      <c r="M434" s="449"/>
    </row>
    <row r="435" spans="1:13" x14ac:dyDescent="0.25">
      <c r="A435" s="397"/>
      <c r="B435" s="397"/>
      <c r="C435" s="397"/>
      <c r="D435" s="397"/>
      <c r="E435" s="397"/>
      <c r="F435" s="397"/>
      <c r="G435" s="397"/>
      <c r="H435" s="397"/>
      <c r="I435" s="450"/>
      <c r="J435" s="397"/>
      <c r="K435" s="397"/>
      <c r="L435" s="451"/>
      <c r="M435" s="449"/>
    </row>
    <row r="436" spans="1:13" x14ac:dyDescent="0.25">
      <c r="A436" s="397"/>
      <c r="B436" s="397"/>
      <c r="C436" s="397"/>
      <c r="D436" s="397"/>
      <c r="E436" s="397"/>
      <c r="F436" s="397"/>
      <c r="G436" s="397"/>
      <c r="H436" s="397"/>
      <c r="I436" s="450"/>
      <c r="J436" s="397"/>
      <c r="K436" s="397"/>
      <c r="L436" s="451"/>
      <c r="M436" s="449"/>
    </row>
    <row r="437" spans="1:13" x14ac:dyDescent="0.25">
      <c r="A437" s="397"/>
      <c r="B437" s="397"/>
      <c r="C437" s="397"/>
      <c r="D437" s="397"/>
      <c r="E437" s="397"/>
      <c r="F437" s="397"/>
      <c r="G437" s="397"/>
      <c r="H437" s="397"/>
      <c r="I437" s="450"/>
      <c r="J437" s="397"/>
      <c r="K437" s="397"/>
      <c r="L437" s="451"/>
      <c r="M437" s="449"/>
    </row>
    <row r="438" spans="1:13" x14ac:dyDescent="0.25">
      <c r="A438" s="397"/>
      <c r="B438" s="397"/>
      <c r="C438" s="397"/>
      <c r="D438" s="397"/>
      <c r="E438" s="397"/>
      <c r="F438" s="397"/>
      <c r="G438" s="397"/>
      <c r="H438" s="397"/>
      <c r="I438" s="450"/>
      <c r="J438" s="397"/>
      <c r="K438" s="397"/>
      <c r="L438" s="451"/>
      <c r="M438" s="449"/>
    </row>
    <row r="439" spans="1:13" x14ac:dyDescent="0.25">
      <c r="A439" s="397"/>
      <c r="B439" s="397"/>
      <c r="C439" s="397"/>
      <c r="D439" s="397"/>
      <c r="E439" s="397"/>
      <c r="F439" s="397"/>
      <c r="G439" s="397"/>
      <c r="H439" s="397"/>
      <c r="I439" s="450"/>
      <c r="J439" s="397"/>
      <c r="K439" s="397"/>
      <c r="L439" s="451"/>
      <c r="M439" s="449"/>
    </row>
    <row r="440" spans="1:13" x14ac:dyDescent="0.25">
      <c r="A440" s="397"/>
      <c r="B440" s="397"/>
      <c r="C440" s="397"/>
      <c r="D440" s="397"/>
      <c r="E440" s="397"/>
      <c r="F440" s="397"/>
      <c r="G440" s="397"/>
      <c r="H440" s="397"/>
      <c r="I440" s="450"/>
      <c r="J440" s="397"/>
      <c r="K440" s="397"/>
      <c r="L440" s="451"/>
      <c r="M440" s="449"/>
    </row>
    <row r="441" spans="1:13" x14ac:dyDescent="0.25">
      <c r="A441" s="397"/>
      <c r="B441" s="397"/>
      <c r="C441" s="397"/>
      <c r="D441" s="397"/>
      <c r="E441" s="397"/>
      <c r="F441" s="397"/>
      <c r="G441" s="397"/>
      <c r="H441" s="397"/>
      <c r="I441" s="450"/>
      <c r="J441" s="397"/>
      <c r="K441" s="397"/>
      <c r="L441" s="451"/>
      <c r="M441" s="449"/>
    </row>
    <row r="442" spans="1:13" x14ac:dyDescent="0.25">
      <c r="A442" s="397"/>
      <c r="B442" s="397"/>
      <c r="C442" s="397"/>
      <c r="D442" s="397"/>
      <c r="E442" s="397"/>
      <c r="F442" s="397"/>
      <c r="G442" s="397"/>
      <c r="H442" s="397"/>
      <c r="I442" s="450"/>
      <c r="J442" s="397"/>
      <c r="K442" s="397"/>
      <c r="L442" s="451"/>
      <c r="M442" s="449"/>
    </row>
    <row r="443" spans="1:13" x14ac:dyDescent="0.25">
      <c r="A443" s="397"/>
      <c r="B443" s="397"/>
      <c r="C443" s="397"/>
      <c r="D443" s="397"/>
      <c r="E443" s="397"/>
      <c r="F443" s="397"/>
      <c r="G443" s="397"/>
      <c r="H443" s="397"/>
      <c r="I443" s="450"/>
      <c r="J443" s="397"/>
      <c r="K443" s="397"/>
      <c r="L443" s="451"/>
      <c r="M443" s="449"/>
    </row>
    <row r="444" spans="1:13" x14ac:dyDescent="0.25">
      <c r="A444" s="397"/>
      <c r="B444" s="397"/>
      <c r="C444" s="397"/>
      <c r="D444" s="397"/>
      <c r="E444" s="397"/>
      <c r="F444" s="397"/>
      <c r="G444" s="397"/>
      <c r="H444" s="397"/>
      <c r="I444" s="450"/>
      <c r="J444" s="397"/>
      <c r="K444" s="397"/>
      <c r="L444" s="451"/>
      <c r="M444" s="449"/>
    </row>
    <row r="445" spans="1:13" x14ac:dyDescent="0.25">
      <c r="A445" s="397"/>
      <c r="B445" s="397"/>
      <c r="C445" s="397"/>
      <c r="D445" s="397"/>
      <c r="E445" s="397"/>
      <c r="F445" s="397"/>
      <c r="G445" s="397"/>
      <c r="H445" s="397"/>
      <c r="I445" s="450"/>
      <c r="J445" s="397"/>
      <c r="K445" s="397"/>
      <c r="L445" s="451"/>
      <c r="M445" s="449"/>
    </row>
    <row r="446" spans="1:13" x14ac:dyDescent="0.25">
      <c r="A446" s="397"/>
      <c r="B446" s="397"/>
      <c r="C446" s="397"/>
      <c r="D446" s="397"/>
      <c r="E446" s="397"/>
      <c r="F446" s="397"/>
      <c r="G446" s="397"/>
      <c r="H446" s="397"/>
      <c r="I446" s="450"/>
      <c r="J446" s="397"/>
      <c r="K446" s="397"/>
      <c r="L446" s="451"/>
      <c r="M446" s="449"/>
    </row>
    <row r="447" spans="1:13" x14ac:dyDescent="0.25">
      <c r="A447" s="397"/>
      <c r="B447" s="397"/>
      <c r="C447" s="397"/>
      <c r="D447" s="397"/>
      <c r="E447" s="397"/>
      <c r="F447" s="397"/>
      <c r="G447" s="397"/>
      <c r="H447" s="397"/>
      <c r="I447" s="450"/>
      <c r="J447" s="397"/>
      <c r="K447" s="397"/>
      <c r="L447" s="451"/>
      <c r="M447" s="449"/>
    </row>
    <row r="448" spans="1:13" x14ac:dyDescent="0.25">
      <c r="A448" s="397"/>
      <c r="B448" s="397"/>
      <c r="C448" s="397"/>
      <c r="D448" s="397"/>
      <c r="E448" s="397"/>
      <c r="F448" s="397"/>
      <c r="G448" s="397"/>
      <c r="H448" s="397"/>
      <c r="I448" s="450"/>
      <c r="J448" s="397"/>
      <c r="K448" s="397"/>
      <c r="L448" s="451"/>
      <c r="M448" s="449"/>
    </row>
    <row r="449" spans="1:13" x14ac:dyDescent="0.25">
      <c r="A449" s="397"/>
      <c r="B449" s="397"/>
      <c r="C449" s="397"/>
      <c r="D449" s="397"/>
      <c r="E449" s="397"/>
      <c r="F449" s="397"/>
      <c r="G449" s="397"/>
      <c r="H449" s="397"/>
      <c r="I449" s="450"/>
      <c r="J449" s="397"/>
      <c r="K449" s="397"/>
      <c r="L449" s="451"/>
      <c r="M449" s="449"/>
    </row>
    <row r="450" spans="1:13" x14ac:dyDescent="0.25">
      <c r="A450" s="397"/>
      <c r="B450" s="397"/>
      <c r="C450" s="397"/>
      <c r="D450" s="397"/>
      <c r="E450" s="397"/>
      <c r="F450" s="397"/>
      <c r="G450" s="397"/>
      <c r="H450" s="397"/>
      <c r="I450" s="450"/>
      <c r="J450" s="397"/>
      <c r="K450" s="397"/>
      <c r="L450" s="451"/>
      <c r="M450" s="449"/>
    </row>
    <row r="451" spans="1:13" x14ac:dyDescent="0.25">
      <c r="A451" s="397"/>
      <c r="B451" s="397"/>
      <c r="C451" s="397"/>
      <c r="D451" s="397"/>
      <c r="E451" s="397"/>
      <c r="F451" s="397"/>
      <c r="G451" s="397"/>
      <c r="H451" s="397"/>
      <c r="I451" s="450"/>
      <c r="J451" s="397"/>
      <c r="K451" s="397"/>
      <c r="L451" s="451"/>
      <c r="M451" s="449"/>
    </row>
    <row r="452" spans="1:13" x14ac:dyDescent="0.25">
      <c r="A452" s="397"/>
      <c r="B452" s="397"/>
      <c r="C452" s="397"/>
      <c r="D452" s="397"/>
      <c r="E452" s="397"/>
      <c r="F452" s="397"/>
      <c r="G452" s="397"/>
      <c r="H452" s="397"/>
      <c r="I452" s="450"/>
      <c r="J452" s="397"/>
      <c r="K452" s="397"/>
      <c r="L452" s="451"/>
      <c r="M452" s="449"/>
    </row>
    <row r="453" spans="1:13" x14ac:dyDescent="0.25">
      <c r="A453" s="397"/>
      <c r="B453" s="397"/>
      <c r="C453" s="397"/>
      <c r="D453" s="397"/>
      <c r="E453" s="397"/>
      <c r="F453" s="397"/>
      <c r="G453" s="397"/>
      <c r="H453" s="397"/>
      <c r="I453" s="450"/>
      <c r="J453" s="397"/>
      <c r="K453" s="397"/>
      <c r="L453" s="451"/>
      <c r="M453" s="449"/>
    </row>
    <row r="454" spans="1:13" x14ac:dyDescent="0.25">
      <c r="A454" s="397"/>
      <c r="B454" s="397"/>
      <c r="C454" s="397"/>
      <c r="D454" s="397"/>
      <c r="E454" s="397"/>
      <c r="F454" s="397"/>
      <c r="G454" s="397"/>
      <c r="H454" s="397"/>
      <c r="I454" s="450"/>
      <c r="J454" s="397"/>
      <c r="K454" s="397"/>
      <c r="L454" s="451"/>
      <c r="M454" s="449"/>
    </row>
    <row r="455" spans="1:13" x14ac:dyDescent="0.25">
      <c r="A455" s="397"/>
      <c r="B455" s="397"/>
      <c r="C455" s="397"/>
      <c r="D455" s="397"/>
      <c r="E455" s="397"/>
      <c r="F455" s="397"/>
      <c r="G455" s="397"/>
      <c r="H455" s="397"/>
      <c r="I455" s="450"/>
      <c r="J455" s="397"/>
      <c r="K455" s="397"/>
      <c r="L455" s="451"/>
      <c r="M455" s="449"/>
    </row>
    <row r="456" spans="1:13" x14ac:dyDescent="0.25">
      <c r="A456" s="397"/>
      <c r="B456" s="397"/>
      <c r="C456" s="397"/>
      <c r="D456" s="397"/>
      <c r="E456" s="397"/>
      <c r="F456" s="397"/>
      <c r="G456" s="397"/>
      <c r="H456" s="397"/>
      <c r="I456" s="450"/>
      <c r="J456" s="397"/>
      <c r="K456" s="397"/>
      <c r="L456" s="451"/>
      <c r="M456" s="449"/>
    </row>
    <row r="457" spans="1:13" x14ac:dyDescent="0.25">
      <c r="A457" s="397"/>
      <c r="B457" s="397"/>
      <c r="C457" s="397"/>
      <c r="D457" s="397"/>
      <c r="E457" s="397"/>
      <c r="F457" s="397"/>
      <c r="G457" s="397"/>
      <c r="H457" s="397"/>
      <c r="I457" s="450"/>
      <c r="J457" s="397"/>
      <c r="K457" s="397"/>
      <c r="L457" s="451"/>
      <c r="M457" s="449"/>
    </row>
    <row r="458" spans="1:13" x14ac:dyDescent="0.25">
      <c r="A458" s="397"/>
      <c r="B458" s="397"/>
      <c r="C458" s="397"/>
      <c r="D458" s="397"/>
      <c r="E458" s="397"/>
      <c r="F458" s="397"/>
      <c r="G458" s="397"/>
      <c r="H458" s="397"/>
      <c r="I458" s="450"/>
      <c r="J458" s="397"/>
      <c r="K458" s="397"/>
      <c r="L458" s="451"/>
      <c r="M458" s="449"/>
    </row>
    <row r="459" spans="1:13" x14ac:dyDescent="0.25">
      <c r="A459" s="397"/>
      <c r="B459" s="397"/>
      <c r="C459" s="397"/>
      <c r="D459" s="397"/>
      <c r="E459" s="397"/>
      <c r="F459" s="397"/>
      <c r="G459" s="397"/>
      <c r="H459" s="397"/>
      <c r="I459" s="450"/>
      <c r="J459" s="397"/>
      <c r="K459" s="397"/>
      <c r="L459" s="451"/>
      <c r="M459" s="449"/>
    </row>
    <row r="460" spans="1:13" x14ac:dyDescent="0.25">
      <c r="A460" s="397"/>
      <c r="B460" s="397"/>
      <c r="C460" s="397"/>
      <c r="D460" s="397"/>
      <c r="E460" s="397"/>
      <c r="F460" s="397"/>
      <c r="G460" s="397"/>
      <c r="H460" s="397"/>
      <c r="I460" s="450"/>
      <c r="J460" s="397"/>
      <c r="K460" s="397"/>
      <c r="L460" s="451"/>
      <c r="M460" s="449"/>
    </row>
    <row r="461" spans="1:13" x14ac:dyDescent="0.25">
      <c r="A461" s="397"/>
      <c r="B461" s="397"/>
      <c r="C461" s="397"/>
      <c r="D461" s="397"/>
      <c r="E461" s="397"/>
      <c r="F461" s="397"/>
      <c r="G461" s="397"/>
      <c r="H461" s="397"/>
      <c r="I461" s="450"/>
      <c r="J461" s="397"/>
      <c r="K461" s="397"/>
      <c r="L461" s="451"/>
      <c r="M461" s="449"/>
    </row>
    <row r="462" spans="1:13" x14ac:dyDescent="0.25">
      <c r="A462" s="397"/>
      <c r="B462" s="397"/>
      <c r="C462" s="397"/>
      <c r="D462" s="397"/>
      <c r="E462" s="397"/>
      <c r="F462" s="397"/>
      <c r="G462" s="397"/>
      <c r="H462" s="397"/>
      <c r="I462" s="450"/>
      <c r="J462" s="397"/>
      <c r="K462" s="397"/>
      <c r="L462" s="451"/>
      <c r="M462" s="449"/>
    </row>
    <row r="463" spans="1:13" x14ac:dyDescent="0.25">
      <c r="A463" s="397"/>
      <c r="B463" s="397"/>
      <c r="C463" s="397"/>
      <c r="D463" s="397"/>
      <c r="E463" s="397"/>
      <c r="F463" s="397"/>
      <c r="G463" s="397"/>
      <c r="H463" s="397"/>
      <c r="I463" s="450"/>
      <c r="J463" s="397"/>
      <c r="K463" s="397"/>
      <c r="L463" s="451"/>
      <c r="M463" s="449"/>
    </row>
    <row r="464" spans="1:13" x14ac:dyDescent="0.25">
      <c r="A464" s="397"/>
      <c r="B464" s="397"/>
      <c r="C464" s="397"/>
      <c r="D464" s="397"/>
      <c r="E464" s="397"/>
      <c r="F464" s="397"/>
      <c r="G464" s="397"/>
      <c r="H464" s="397"/>
      <c r="I464" s="450"/>
      <c r="J464" s="397"/>
      <c r="K464" s="397"/>
      <c r="L464" s="451"/>
      <c r="M464" s="449"/>
    </row>
    <row r="465" spans="1:13" x14ac:dyDescent="0.25">
      <c r="A465" s="397"/>
      <c r="B465" s="397"/>
      <c r="C465" s="397"/>
      <c r="D465" s="397"/>
      <c r="E465" s="397"/>
      <c r="F465" s="397"/>
      <c r="G465" s="397"/>
      <c r="H465" s="397"/>
      <c r="I465" s="450"/>
      <c r="J465" s="397"/>
      <c r="K465" s="397"/>
      <c r="L465" s="451"/>
      <c r="M465" s="449"/>
    </row>
    <row r="466" spans="1:13" x14ac:dyDescent="0.25">
      <c r="A466" s="397"/>
      <c r="B466" s="397"/>
      <c r="C466" s="397"/>
      <c r="D466" s="397"/>
      <c r="E466" s="397"/>
      <c r="F466" s="397"/>
      <c r="G466" s="397"/>
      <c r="H466" s="397"/>
      <c r="I466" s="450"/>
      <c r="J466" s="397"/>
      <c r="K466" s="397"/>
      <c r="L466" s="451"/>
      <c r="M466" s="449"/>
    </row>
    <row r="467" spans="1:13" x14ac:dyDescent="0.25">
      <c r="A467" s="397"/>
      <c r="B467" s="397"/>
      <c r="C467" s="397"/>
      <c r="D467" s="397"/>
      <c r="E467" s="397"/>
      <c r="F467" s="397"/>
      <c r="G467" s="397"/>
      <c r="H467" s="397"/>
      <c r="I467" s="450"/>
      <c r="J467" s="397"/>
      <c r="K467" s="397"/>
      <c r="L467" s="451"/>
      <c r="M467" s="449"/>
    </row>
    <row r="468" spans="1:13" x14ac:dyDescent="0.25">
      <c r="A468" s="397"/>
      <c r="B468" s="397"/>
      <c r="C468" s="397"/>
      <c r="D468" s="397"/>
      <c r="E468" s="397"/>
      <c r="F468" s="397"/>
      <c r="G468" s="397"/>
      <c r="H468" s="397"/>
      <c r="I468" s="450"/>
      <c r="J468" s="397"/>
      <c r="K468" s="397"/>
      <c r="L468" s="451"/>
      <c r="M468" s="449"/>
    </row>
    <row r="469" spans="1:13" x14ac:dyDescent="0.25">
      <c r="A469" s="397"/>
      <c r="B469" s="397"/>
      <c r="C469" s="397"/>
      <c r="D469" s="397"/>
      <c r="E469" s="397"/>
      <c r="F469" s="397"/>
      <c r="G469" s="397"/>
      <c r="H469" s="397"/>
      <c r="I469" s="450"/>
      <c r="J469" s="397"/>
      <c r="K469" s="397"/>
      <c r="L469" s="451"/>
      <c r="M469" s="449"/>
    </row>
    <row r="470" spans="1:13" x14ac:dyDescent="0.25">
      <c r="A470" s="397"/>
      <c r="B470" s="397"/>
      <c r="C470" s="397"/>
      <c r="D470" s="397"/>
      <c r="E470" s="397"/>
      <c r="F470" s="397"/>
      <c r="G470" s="397"/>
      <c r="H470" s="397"/>
      <c r="I470" s="450"/>
      <c r="J470" s="397"/>
      <c r="K470" s="397"/>
      <c r="L470" s="451"/>
      <c r="M470" s="449"/>
    </row>
    <row r="471" spans="1:13" x14ac:dyDescent="0.25">
      <c r="A471" s="397"/>
      <c r="B471" s="397"/>
      <c r="C471" s="397"/>
      <c r="D471" s="397"/>
      <c r="E471" s="397"/>
      <c r="F471" s="397"/>
      <c r="G471" s="397"/>
      <c r="H471" s="397"/>
      <c r="I471" s="450"/>
      <c r="J471" s="397"/>
      <c r="K471" s="397"/>
      <c r="L471" s="451"/>
      <c r="M471" s="449"/>
    </row>
    <row r="472" spans="1:13" x14ac:dyDescent="0.25">
      <c r="A472" s="397"/>
      <c r="B472" s="397"/>
      <c r="C472" s="397"/>
      <c r="D472" s="397"/>
      <c r="E472" s="397"/>
      <c r="F472" s="397"/>
      <c r="G472" s="397"/>
      <c r="H472" s="397"/>
      <c r="I472" s="450"/>
      <c r="J472" s="397"/>
      <c r="K472" s="397"/>
      <c r="L472" s="451"/>
      <c r="M472" s="449"/>
    </row>
    <row r="473" spans="1:13" x14ac:dyDescent="0.25">
      <c r="A473" s="397"/>
      <c r="B473" s="397"/>
      <c r="C473" s="397"/>
      <c r="D473" s="397"/>
      <c r="E473" s="397"/>
      <c r="F473" s="397"/>
      <c r="G473" s="397"/>
      <c r="H473" s="397"/>
      <c r="I473" s="450"/>
      <c r="J473" s="397"/>
      <c r="K473" s="397"/>
      <c r="L473" s="451"/>
      <c r="M473" s="449"/>
    </row>
    <row r="474" spans="1:13" x14ac:dyDescent="0.25">
      <c r="A474" s="397"/>
      <c r="B474" s="397"/>
      <c r="C474" s="397"/>
      <c r="D474" s="397"/>
      <c r="E474" s="397"/>
      <c r="F474" s="397"/>
      <c r="G474" s="397"/>
      <c r="H474" s="397"/>
      <c r="I474" s="450"/>
      <c r="J474" s="397"/>
      <c r="K474" s="397"/>
      <c r="L474" s="451"/>
      <c r="M474" s="449"/>
    </row>
    <row r="475" spans="1:13" x14ac:dyDescent="0.25">
      <c r="A475" s="397"/>
      <c r="B475" s="397"/>
      <c r="C475" s="397"/>
      <c r="D475" s="397"/>
      <c r="E475" s="397"/>
      <c r="F475" s="397"/>
      <c r="G475" s="397"/>
      <c r="H475" s="397"/>
      <c r="I475" s="450"/>
      <c r="J475" s="397"/>
      <c r="K475" s="397"/>
      <c r="L475" s="451"/>
      <c r="M475" s="449"/>
    </row>
    <row r="476" spans="1:13" x14ac:dyDescent="0.25">
      <c r="A476" s="397"/>
      <c r="B476" s="397"/>
      <c r="C476" s="397"/>
      <c r="D476" s="397"/>
      <c r="E476" s="397"/>
      <c r="F476" s="397"/>
      <c r="G476" s="397"/>
      <c r="H476" s="397"/>
      <c r="I476" s="450"/>
      <c r="J476" s="397"/>
      <c r="K476" s="397"/>
      <c r="L476" s="451"/>
      <c r="M476" s="449"/>
    </row>
    <row r="477" spans="1:13" x14ac:dyDescent="0.25">
      <c r="A477" s="397"/>
      <c r="B477" s="397"/>
      <c r="C477" s="397"/>
      <c r="D477" s="397"/>
      <c r="E477" s="397"/>
      <c r="F477" s="397"/>
      <c r="G477" s="397"/>
      <c r="H477" s="397"/>
      <c r="I477" s="450"/>
      <c r="J477" s="397"/>
      <c r="K477" s="397"/>
      <c r="L477" s="451"/>
      <c r="M477" s="449"/>
    </row>
    <row r="478" spans="1:13" x14ac:dyDescent="0.25">
      <c r="A478" s="397"/>
      <c r="B478" s="397"/>
      <c r="C478" s="397"/>
      <c r="D478" s="397"/>
      <c r="E478" s="397"/>
      <c r="F478" s="397"/>
      <c r="G478" s="397"/>
      <c r="H478" s="397"/>
      <c r="I478" s="450"/>
      <c r="J478" s="397"/>
      <c r="K478" s="397"/>
      <c r="L478" s="451"/>
      <c r="M478" s="449"/>
    </row>
    <row r="479" spans="1:13" x14ac:dyDescent="0.25">
      <c r="A479" s="397"/>
      <c r="B479" s="397"/>
      <c r="C479" s="397"/>
      <c r="D479" s="397"/>
      <c r="E479" s="397"/>
      <c r="F479" s="397"/>
      <c r="G479" s="397"/>
      <c r="H479" s="397"/>
      <c r="I479" s="450"/>
      <c r="J479" s="397"/>
      <c r="K479" s="397"/>
      <c r="L479" s="451"/>
      <c r="M479" s="449"/>
    </row>
    <row r="480" spans="1:13" x14ac:dyDescent="0.25">
      <c r="A480" s="397"/>
      <c r="B480" s="397"/>
      <c r="C480" s="397"/>
      <c r="D480" s="397"/>
      <c r="E480" s="397"/>
      <c r="F480" s="397"/>
      <c r="G480" s="397"/>
      <c r="H480" s="397"/>
      <c r="I480" s="450"/>
      <c r="J480" s="397"/>
      <c r="K480" s="397"/>
      <c r="L480" s="451"/>
      <c r="M480" s="449"/>
    </row>
    <row r="481" spans="1:13" x14ac:dyDescent="0.25">
      <c r="A481" s="397"/>
      <c r="B481" s="397"/>
      <c r="C481" s="397"/>
      <c r="D481" s="397"/>
      <c r="E481" s="397"/>
      <c r="F481" s="397"/>
      <c r="G481" s="397"/>
      <c r="H481" s="397"/>
      <c r="I481" s="450"/>
      <c r="J481" s="397"/>
      <c r="K481" s="397"/>
      <c r="L481" s="451"/>
      <c r="M481" s="449"/>
    </row>
    <row r="482" spans="1:13" x14ac:dyDescent="0.25">
      <c r="A482" s="397"/>
      <c r="B482" s="397"/>
      <c r="C482" s="397"/>
      <c r="D482" s="397"/>
      <c r="E482" s="397"/>
      <c r="F482" s="397"/>
      <c r="G482" s="397"/>
      <c r="H482" s="397"/>
      <c r="I482" s="450"/>
      <c r="J482" s="397"/>
      <c r="K482" s="397"/>
      <c r="L482" s="451"/>
      <c r="M482" s="449"/>
    </row>
    <row r="483" spans="1:13" x14ac:dyDescent="0.25">
      <c r="A483" s="397"/>
      <c r="B483" s="397"/>
      <c r="C483" s="397"/>
      <c r="D483" s="397"/>
      <c r="E483" s="397"/>
      <c r="F483" s="397"/>
      <c r="G483" s="397"/>
      <c r="H483" s="397"/>
      <c r="I483" s="450"/>
      <c r="J483" s="397"/>
      <c r="K483" s="397"/>
      <c r="L483" s="451"/>
      <c r="M483" s="449"/>
    </row>
    <row r="484" spans="1:13" x14ac:dyDescent="0.25">
      <c r="A484" s="397"/>
      <c r="B484" s="397"/>
      <c r="C484" s="397"/>
      <c r="D484" s="397"/>
      <c r="E484" s="397"/>
      <c r="F484" s="397"/>
      <c r="G484" s="397"/>
      <c r="H484" s="397"/>
      <c r="I484" s="450"/>
      <c r="J484" s="397"/>
      <c r="K484" s="397"/>
      <c r="L484" s="451"/>
      <c r="M484" s="449"/>
    </row>
    <row r="485" spans="1:13" x14ac:dyDescent="0.25">
      <c r="A485" s="397"/>
      <c r="B485" s="397"/>
      <c r="C485" s="397"/>
      <c r="D485" s="397"/>
      <c r="E485" s="397"/>
      <c r="F485" s="397"/>
      <c r="G485" s="397"/>
      <c r="H485" s="397"/>
      <c r="I485" s="450"/>
      <c r="J485" s="397"/>
      <c r="K485" s="397"/>
      <c r="L485" s="451"/>
      <c r="M485" s="449"/>
    </row>
    <row r="486" spans="1:13" x14ac:dyDescent="0.25">
      <c r="A486" s="397"/>
      <c r="B486" s="397"/>
      <c r="C486" s="397"/>
      <c r="D486" s="397"/>
      <c r="E486" s="397"/>
      <c r="F486" s="397"/>
      <c r="G486" s="397"/>
      <c r="H486" s="397"/>
      <c r="I486" s="450"/>
      <c r="J486" s="397"/>
      <c r="K486" s="397"/>
      <c r="L486" s="451"/>
      <c r="M486" s="449"/>
    </row>
    <row r="487" spans="1:13" x14ac:dyDescent="0.25">
      <c r="A487" s="397"/>
      <c r="B487" s="397"/>
      <c r="C487" s="397"/>
      <c r="D487" s="397"/>
      <c r="E487" s="397"/>
      <c r="F487" s="397"/>
      <c r="G487" s="397"/>
      <c r="H487" s="397"/>
      <c r="I487" s="450"/>
      <c r="J487" s="397"/>
      <c r="K487" s="397"/>
      <c r="L487" s="451"/>
      <c r="M487" s="449"/>
    </row>
    <row r="488" spans="1:13" x14ac:dyDescent="0.25">
      <c r="A488" s="397"/>
      <c r="B488" s="397"/>
      <c r="C488" s="397"/>
      <c r="D488" s="397"/>
      <c r="E488" s="397"/>
      <c r="F488" s="397"/>
      <c r="G488" s="397"/>
      <c r="H488" s="397"/>
      <c r="I488" s="450"/>
      <c r="J488" s="397"/>
      <c r="K488" s="397"/>
      <c r="L488" s="451"/>
      <c r="M488" s="449"/>
    </row>
    <row r="489" spans="1:13" x14ac:dyDescent="0.25">
      <c r="A489" s="397"/>
      <c r="B489" s="397"/>
      <c r="C489" s="397"/>
      <c r="D489" s="397"/>
      <c r="E489" s="397"/>
      <c r="F489" s="397"/>
      <c r="G489" s="397"/>
      <c r="H489" s="397"/>
      <c r="I489" s="450"/>
      <c r="J489" s="397"/>
      <c r="K489" s="397"/>
      <c r="L489" s="451"/>
      <c r="M489" s="449"/>
    </row>
    <row r="490" spans="1:13" x14ac:dyDescent="0.25">
      <c r="A490" s="397"/>
      <c r="B490" s="397"/>
      <c r="C490" s="397"/>
      <c r="D490" s="397"/>
      <c r="E490" s="397"/>
      <c r="F490" s="397"/>
      <c r="G490" s="397"/>
      <c r="H490" s="397"/>
      <c r="I490" s="450"/>
      <c r="J490" s="397"/>
      <c r="K490" s="397"/>
      <c r="L490" s="451"/>
      <c r="M490" s="449"/>
    </row>
    <row r="491" spans="1:13" x14ac:dyDescent="0.25">
      <c r="A491" s="397"/>
      <c r="B491" s="397"/>
      <c r="C491" s="397"/>
      <c r="D491" s="397"/>
      <c r="E491" s="397"/>
      <c r="F491" s="397"/>
      <c r="G491" s="397"/>
      <c r="H491" s="397"/>
      <c r="I491" s="450"/>
      <c r="J491" s="397"/>
      <c r="K491" s="397"/>
      <c r="L491" s="451"/>
      <c r="M491" s="449"/>
    </row>
    <row r="492" spans="1:13" x14ac:dyDescent="0.25">
      <c r="A492" s="397"/>
      <c r="B492" s="397"/>
      <c r="C492" s="397"/>
      <c r="D492" s="397"/>
      <c r="E492" s="397"/>
      <c r="F492" s="397"/>
      <c r="G492" s="397"/>
      <c r="H492" s="397"/>
      <c r="I492" s="450"/>
      <c r="J492" s="397"/>
      <c r="K492" s="397"/>
      <c r="L492" s="451"/>
      <c r="M492" s="449"/>
    </row>
    <row r="493" spans="1:13" x14ac:dyDescent="0.25">
      <c r="A493" s="397"/>
      <c r="B493" s="397"/>
      <c r="C493" s="397"/>
      <c r="D493" s="397"/>
      <c r="E493" s="397"/>
      <c r="F493" s="397"/>
      <c r="G493" s="397"/>
      <c r="H493" s="397"/>
      <c r="I493" s="450"/>
      <c r="J493" s="397"/>
      <c r="K493" s="397"/>
      <c r="L493" s="451"/>
      <c r="M493" s="449"/>
    </row>
    <row r="494" spans="1:13" x14ac:dyDescent="0.25">
      <c r="A494" s="397"/>
      <c r="B494" s="397"/>
      <c r="C494" s="397"/>
      <c r="D494" s="397"/>
      <c r="E494" s="397"/>
      <c r="F494" s="397"/>
      <c r="G494" s="397"/>
      <c r="H494" s="397"/>
      <c r="I494" s="450"/>
      <c r="J494" s="397"/>
      <c r="K494" s="397"/>
      <c r="L494" s="451"/>
      <c r="M494" s="449"/>
    </row>
    <row r="495" spans="1:13" x14ac:dyDescent="0.25">
      <c r="A495" s="397"/>
      <c r="B495" s="397"/>
      <c r="C495" s="397"/>
      <c r="D495" s="397"/>
      <c r="E495" s="397"/>
      <c r="F495" s="397"/>
      <c r="G495" s="397"/>
      <c r="H495" s="397"/>
      <c r="I495" s="450"/>
      <c r="J495" s="397"/>
      <c r="K495" s="397"/>
      <c r="L495" s="451"/>
      <c r="M495" s="449"/>
    </row>
    <row r="496" spans="1:13" x14ac:dyDescent="0.25">
      <c r="A496" s="397"/>
      <c r="B496" s="397"/>
      <c r="C496" s="397"/>
      <c r="D496" s="397"/>
      <c r="E496" s="397"/>
      <c r="F496" s="397"/>
      <c r="G496" s="397"/>
      <c r="H496" s="397"/>
      <c r="I496" s="450"/>
      <c r="J496" s="397"/>
      <c r="K496" s="397"/>
      <c r="L496" s="451"/>
      <c r="M496" s="449"/>
    </row>
    <row r="497" spans="1:13" x14ac:dyDescent="0.25">
      <c r="A497" s="397"/>
      <c r="B497" s="397"/>
      <c r="C497" s="397"/>
      <c r="D497" s="397"/>
      <c r="E497" s="397"/>
      <c r="F497" s="397"/>
      <c r="G497" s="397"/>
      <c r="H497" s="397"/>
      <c r="I497" s="450"/>
      <c r="J497" s="397"/>
      <c r="K497" s="397"/>
      <c r="L497" s="451"/>
      <c r="M497" s="449"/>
    </row>
    <row r="498" spans="1:13" x14ac:dyDescent="0.25">
      <c r="A498" s="397"/>
      <c r="B498" s="397"/>
      <c r="C498" s="397"/>
      <c r="D498" s="397"/>
      <c r="E498" s="397"/>
      <c r="F498" s="397"/>
      <c r="G498" s="397"/>
      <c r="H498" s="397"/>
      <c r="I498" s="450"/>
      <c r="J498" s="397"/>
      <c r="K498" s="397"/>
      <c r="L498" s="451"/>
      <c r="M498" s="449"/>
    </row>
    <row r="499" spans="1:13" x14ac:dyDescent="0.25">
      <c r="A499" s="397"/>
      <c r="B499" s="397"/>
      <c r="C499" s="397"/>
      <c r="D499" s="397"/>
      <c r="E499" s="397"/>
      <c r="F499" s="397"/>
      <c r="G499" s="397"/>
      <c r="H499" s="397"/>
      <c r="I499" s="450"/>
      <c r="J499" s="397"/>
      <c r="K499" s="397"/>
      <c r="L499" s="451"/>
      <c r="M499" s="449"/>
    </row>
    <row r="500" spans="1:13" x14ac:dyDescent="0.25">
      <c r="A500" s="397"/>
      <c r="B500" s="397"/>
      <c r="C500" s="397"/>
      <c r="D500" s="397"/>
      <c r="E500" s="397"/>
      <c r="F500" s="397"/>
      <c r="G500" s="397"/>
      <c r="H500" s="397"/>
      <c r="I500" s="450"/>
      <c r="J500" s="397"/>
      <c r="K500" s="397"/>
      <c r="L500" s="451"/>
      <c r="M500" s="449"/>
    </row>
    <row r="501" spans="1:13" x14ac:dyDescent="0.25">
      <c r="A501" s="397"/>
      <c r="B501" s="397"/>
      <c r="C501" s="397"/>
      <c r="D501" s="397"/>
      <c r="E501" s="397"/>
      <c r="F501" s="397"/>
      <c r="G501" s="397"/>
      <c r="H501" s="397"/>
      <c r="I501" s="450"/>
      <c r="J501" s="397"/>
      <c r="K501" s="397"/>
      <c r="L501" s="451"/>
      <c r="M501" s="449"/>
    </row>
    <row r="502" spans="1:13" x14ac:dyDescent="0.25">
      <c r="A502" s="397"/>
      <c r="B502" s="397"/>
      <c r="C502" s="397"/>
      <c r="D502" s="397"/>
      <c r="E502" s="397"/>
      <c r="F502" s="397"/>
      <c r="G502" s="397"/>
      <c r="H502" s="397"/>
      <c r="I502" s="450"/>
      <c r="J502" s="397"/>
      <c r="K502" s="397"/>
      <c r="L502" s="451"/>
      <c r="M502" s="449"/>
    </row>
    <row r="503" spans="1:13" x14ac:dyDescent="0.25">
      <c r="A503" s="397"/>
      <c r="B503" s="397"/>
      <c r="C503" s="397"/>
      <c r="D503" s="397"/>
      <c r="E503" s="397"/>
      <c r="F503" s="397"/>
      <c r="G503" s="397"/>
      <c r="H503" s="397"/>
      <c r="I503" s="450"/>
      <c r="J503" s="397"/>
      <c r="K503" s="397"/>
      <c r="L503" s="451"/>
      <c r="M503" s="449"/>
    </row>
    <row r="504" spans="1:13" x14ac:dyDescent="0.25">
      <c r="A504" s="397"/>
      <c r="B504" s="397"/>
      <c r="C504" s="397"/>
      <c r="D504" s="397"/>
      <c r="E504" s="397"/>
      <c r="F504" s="397"/>
      <c r="G504" s="397"/>
      <c r="H504" s="397"/>
      <c r="I504" s="450"/>
      <c r="J504" s="397"/>
      <c r="K504" s="397"/>
      <c r="L504" s="451"/>
      <c r="M504" s="449"/>
    </row>
    <row r="505" spans="1:13" x14ac:dyDescent="0.25">
      <c r="A505" s="397"/>
      <c r="B505" s="397"/>
      <c r="C505" s="397"/>
      <c r="D505" s="397"/>
      <c r="E505" s="397"/>
      <c r="F505" s="397"/>
      <c r="G505" s="397"/>
      <c r="H505" s="397"/>
      <c r="I505" s="450"/>
      <c r="J505" s="397"/>
      <c r="K505" s="397"/>
      <c r="L505" s="451"/>
      <c r="M505" s="449"/>
    </row>
    <row r="506" spans="1:13" x14ac:dyDescent="0.25">
      <c r="A506" s="397"/>
      <c r="B506" s="397"/>
      <c r="C506" s="397"/>
      <c r="D506" s="397"/>
      <c r="E506" s="397"/>
      <c r="F506" s="397"/>
      <c r="G506" s="397"/>
      <c r="H506" s="397"/>
      <c r="I506" s="450"/>
      <c r="J506" s="397"/>
      <c r="K506" s="397"/>
      <c r="L506" s="451"/>
      <c r="M506" s="449"/>
    </row>
    <row r="507" spans="1:13" x14ac:dyDescent="0.25">
      <c r="A507" s="397"/>
      <c r="B507" s="397"/>
      <c r="C507" s="397"/>
      <c r="D507" s="397"/>
      <c r="E507" s="397"/>
      <c r="F507" s="397"/>
      <c r="G507" s="397"/>
      <c r="H507" s="397"/>
      <c r="I507" s="450"/>
      <c r="J507" s="397"/>
      <c r="K507" s="397"/>
      <c r="L507" s="451"/>
      <c r="M507" s="449"/>
    </row>
    <row r="508" spans="1:13" x14ac:dyDescent="0.25">
      <c r="A508" s="397"/>
      <c r="B508" s="397"/>
      <c r="C508" s="397"/>
      <c r="D508" s="397"/>
      <c r="E508" s="397"/>
      <c r="F508" s="397"/>
      <c r="G508" s="397"/>
      <c r="H508" s="397"/>
      <c r="I508" s="450"/>
      <c r="J508" s="397"/>
      <c r="K508" s="397"/>
      <c r="L508" s="451"/>
      <c r="M508" s="449"/>
    </row>
    <row r="509" spans="1:13" x14ac:dyDescent="0.25">
      <c r="A509" s="397"/>
      <c r="B509" s="397"/>
      <c r="C509" s="397"/>
      <c r="D509" s="397"/>
      <c r="E509" s="397"/>
      <c r="F509" s="397"/>
      <c r="G509" s="397"/>
      <c r="H509" s="397"/>
      <c r="I509" s="450"/>
      <c r="J509" s="397"/>
      <c r="K509" s="397"/>
      <c r="L509" s="451"/>
      <c r="M509" s="449"/>
    </row>
    <row r="510" spans="1:13" x14ac:dyDescent="0.25">
      <c r="A510" s="397"/>
      <c r="B510" s="397"/>
      <c r="C510" s="397"/>
      <c r="D510" s="397"/>
      <c r="E510" s="397"/>
      <c r="F510" s="397"/>
      <c r="G510" s="397"/>
      <c r="H510" s="397"/>
      <c r="I510" s="450"/>
      <c r="J510" s="397"/>
      <c r="K510" s="397"/>
      <c r="L510" s="451"/>
      <c r="M510" s="449"/>
    </row>
    <row r="511" spans="1:13" x14ac:dyDescent="0.25">
      <c r="A511" s="397"/>
      <c r="B511" s="397"/>
      <c r="C511" s="397"/>
      <c r="D511" s="397"/>
      <c r="E511" s="397"/>
      <c r="F511" s="397"/>
      <c r="G511" s="397"/>
      <c r="H511" s="397"/>
      <c r="I511" s="450"/>
      <c r="J511" s="397"/>
      <c r="K511" s="397"/>
      <c r="L511" s="451"/>
      <c r="M511" s="449"/>
    </row>
    <row r="512" spans="1:13" x14ac:dyDescent="0.25">
      <c r="A512" s="397"/>
      <c r="B512" s="397"/>
      <c r="C512" s="397"/>
      <c r="D512" s="397"/>
      <c r="E512" s="397"/>
      <c r="F512" s="397"/>
      <c r="G512" s="397"/>
      <c r="H512" s="397"/>
      <c r="I512" s="450"/>
      <c r="J512" s="397"/>
      <c r="K512" s="397"/>
      <c r="L512" s="451"/>
      <c r="M512" s="449"/>
    </row>
    <row r="513" spans="1:13" x14ac:dyDescent="0.25">
      <c r="A513" s="397"/>
      <c r="B513" s="397"/>
      <c r="C513" s="397"/>
      <c r="D513" s="397"/>
      <c r="E513" s="397"/>
      <c r="F513" s="397"/>
      <c r="G513" s="397"/>
      <c r="H513" s="397"/>
      <c r="I513" s="450"/>
      <c r="J513" s="397"/>
      <c r="K513" s="397"/>
      <c r="L513" s="451"/>
      <c r="M513" s="449"/>
    </row>
    <row r="514" spans="1:13" x14ac:dyDescent="0.25">
      <c r="A514" s="397"/>
      <c r="B514" s="397"/>
      <c r="C514" s="397"/>
      <c r="D514" s="397"/>
      <c r="E514" s="397"/>
      <c r="F514" s="397"/>
      <c r="G514" s="397"/>
      <c r="H514" s="397"/>
      <c r="I514" s="450"/>
      <c r="J514" s="397"/>
      <c r="K514" s="397"/>
      <c r="L514" s="451"/>
      <c r="M514" s="449"/>
    </row>
    <row r="515" spans="1:13" x14ac:dyDescent="0.25">
      <c r="A515" s="397"/>
      <c r="B515" s="397"/>
      <c r="C515" s="397"/>
      <c r="D515" s="397"/>
      <c r="E515" s="397"/>
      <c r="F515" s="397"/>
      <c r="G515" s="397"/>
      <c r="H515" s="397"/>
      <c r="I515" s="450"/>
      <c r="J515" s="397"/>
      <c r="K515" s="397"/>
      <c r="L515" s="451"/>
      <c r="M515" s="449"/>
    </row>
    <row r="516" spans="1:13" x14ac:dyDescent="0.25">
      <c r="A516" s="397"/>
      <c r="B516" s="397"/>
      <c r="C516" s="397"/>
      <c r="D516" s="397"/>
      <c r="E516" s="397"/>
      <c r="F516" s="397"/>
      <c r="G516" s="397"/>
      <c r="H516" s="397"/>
      <c r="I516" s="450"/>
      <c r="J516" s="397"/>
      <c r="K516" s="397"/>
      <c r="L516" s="451"/>
      <c r="M516" s="449"/>
    </row>
    <row r="517" spans="1:13" x14ac:dyDescent="0.25">
      <c r="A517" s="397"/>
      <c r="B517" s="397"/>
      <c r="C517" s="397"/>
      <c r="D517" s="397"/>
      <c r="E517" s="397"/>
      <c r="F517" s="397"/>
      <c r="G517" s="397"/>
      <c r="H517" s="397"/>
      <c r="I517" s="450"/>
      <c r="J517" s="397"/>
      <c r="K517" s="397"/>
      <c r="L517" s="451"/>
      <c r="M517" s="449"/>
    </row>
    <row r="518" spans="1:13" x14ac:dyDescent="0.25">
      <c r="A518" s="397"/>
      <c r="B518" s="397"/>
      <c r="C518" s="397"/>
      <c r="D518" s="397"/>
      <c r="E518" s="397"/>
      <c r="F518" s="397"/>
      <c r="G518" s="397"/>
      <c r="H518" s="397"/>
      <c r="I518" s="450"/>
      <c r="J518" s="397"/>
      <c r="K518" s="397"/>
      <c r="L518" s="451"/>
      <c r="M518" s="449"/>
    </row>
    <row r="519" spans="1:13" x14ac:dyDescent="0.25">
      <c r="A519" s="397"/>
      <c r="B519" s="397"/>
      <c r="C519" s="397"/>
      <c r="D519" s="397"/>
      <c r="E519" s="397"/>
      <c r="F519" s="397"/>
      <c r="G519" s="397"/>
      <c r="H519" s="397"/>
      <c r="I519" s="450"/>
      <c r="J519" s="397"/>
      <c r="K519" s="397"/>
      <c r="L519" s="451"/>
      <c r="M519" s="449"/>
    </row>
    <row r="520" spans="1:13" x14ac:dyDescent="0.25">
      <c r="A520" s="397"/>
      <c r="B520" s="397"/>
      <c r="C520" s="397"/>
      <c r="D520" s="397"/>
      <c r="E520" s="397"/>
      <c r="F520" s="397"/>
      <c r="G520" s="397"/>
      <c r="H520" s="397"/>
      <c r="I520" s="450"/>
      <c r="J520" s="397"/>
      <c r="K520" s="397"/>
      <c r="L520" s="451"/>
      <c r="M520" s="449"/>
    </row>
    <row r="521" spans="1:13" x14ac:dyDescent="0.25">
      <c r="A521" s="397"/>
      <c r="B521" s="397"/>
      <c r="C521" s="397"/>
      <c r="D521" s="397"/>
      <c r="E521" s="397"/>
      <c r="F521" s="397"/>
      <c r="G521" s="397"/>
      <c r="H521" s="397"/>
      <c r="I521" s="450"/>
      <c r="J521" s="397"/>
      <c r="K521" s="397"/>
      <c r="L521" s="451"/>
      <c r="M521" s="449"/>
    </row>
    <row r="522" spans="1:13" x14ac:dyDescent="0.25">
      <c r="A522" s="397"/>
      <c r="B522" s="397"/>
      <c r="C522" s="397"/>
      <c r="D522" s="397"/>
      <c r="E522" s="397"/>
      <c r="F522" s="397"/>
      <c r="G522" s="397"/>
      <c r="H522" s="397"/>
      <c r="I522" s="450"/>
      <c r="J522" s="397"/>
      <c r="K522" s="397"/>
      <c r="L522" s="451"/>
      <c r="M522" s="449"/>
    </row>
    <row r="523" spans="1:13" x14ac:dyDescent="0.25">
      <c r="A523" s="397"/>
      <c r="B523" s="397"/>
      <c r="C523" s="397"/>
      <c r="D523" s="397"/>
      <c r="E523" s="397"/>
      <c r="F523" s="397"/>
      <c r="G523" s="397"/>
      <c r="H523" s="397"/>
      <c r="I523" s="450"/>
      <c r="J523" s="397"/>
      <c r="K523" s="397"/>
      <c r="L523" s="451"/>
      <c r="M523" s="449"/>
    </row>
    <row r="524" spans="1:13" x14ac:dyDescent="0.25">
      <c r="A524" s="397"/>
      <c r="B524" s="397"/>
      <c r="C524" s="397"/>
      <c r="D524" s="397"/>
      <c r="E524" s="397"/>
      <c r="F524" s="397"/>
      <c r="G524" s="397"/>
      <c r="H524" s="397"/>
      <c r="I524" s="450"/>
      <c r="J524" s="397"/>
      <c r="K524" s="397"/>
      <c r="L524" s="451"/>
      <c r="M524" s="449"/>
    </row>
    <row r="525" spans="1:13" x14ac:dyDescent="0.25">
      <c r="A525" s="397"/>
      <c r="B525" s="397"/>
      <c r="C525" s="397"/>
      <c r="D525" s="397"/>
      <c r="E525" s="397"/>
      <c r="F525" s="397"/>
      <c r="G525" s="397"/>
      <c r="H525" s="397"/>
      <c r="I525" s="450"/>
      <c r="J525" s="397"/>
      <c r="K525" s="397"/>
      <c r="L525" s="451"/>
      <c r="M525" s="449"/>
    </row>
    <row r="526" spans="1:13" x14ac:dyDescent="0.25">
      <c r="A526" s="397"/>
      <c r="B526" s="397"/>
      <c r="C526" s="397"/>
      <c r="D526" s="397"/>
      <c r="E526" s="397"/>
      <c r="F526" s="397"/>
      <c r="G526" s="397"/>
      <c r="H526" s="397"/>
      <c r="I526" s="450"/>
      <c r="J526" s="397"/>
      <c r="K526" s="397"/>
      <c r="L526" s="451"/>
      <c r="M526" s="449"/>
    </row>
    <row r="527" spans="1:13" x14ac:dyDescent="0.25">
      <c r="A527" s="397"/>
      <c r="B527" s="397"/>
      <c r="C527" s="397"/>
      <c r="D527" s="397"/>
      <c r="E527" s="397"/>
      <c r="F527" s="397"/>
      <c r="G527" s="397"/>
      <c r="H527" s="397"/>
      <c r="I527" s="450"/>
      <c r="J527" s="397"/>
      <c r="K527" s="397"/>
      <c r="L527" s="451"/>
      <c r="M527" s="449"/>
    </row>
    <row r="528" spans="1:13" x14ac:dyDescent="0.25">
      <c r="A528" s="397"/>
      <c r="B528" s="397"/>
      <c r="C528" s="397"/>
      <c r="D528" s="397"/>
      <c r="E528" s="397"/>
      <c r="F528" s="397"/>
      <c r="G528" s="397"/>
      <c r="H528" s="397"/>
      <c r="I528" s="450"/>
      <c r="J528" s="397"/>
      <c r="K528" s="397"/>
      <c r="L528" s="451"/>
      <c r="M528" s="449"/>
    </row>
    <row r="529" spans="1:13" x14ac:dyDescent="0.25">
      <c r="A529" s="397"/>
      <c r="B529" s="397"/>
      <c r="C529" s="397"/>
      <c r="D529" s="397"/>
      <c r="E529" s="397"/>
      <c r="F529" s="397"/>
      <c r="G529" s="397"/>
      <c r="H529" s="397"/>
      <c r="I529" s="450"/>
      <c r="J529" s="397"/>
      <c r="K529" s="397"/>
      <c r="L529" s="451"/>
      <c r="M529" s="449"/>
    </row>
    <row r="530" spans="1:13" x14ac:dyDescent="0.25">
      <c r="A530" s="397"/>
      <c r="B530" s="397"/>
      <c r="C530" s="397"/>
      <c r="D530" s="397"/>
      <c r="E530" s="397"/>
      <c r="F530" s="397"/>
      <c r="G530" s="397"/>
      <c r="H530" s="397"/>
      <c r="I530" s="450"/>
      <c r="J530" s="397"/>
      <c r="K530" s="397"/>
      <c r="L530" s="451"/>
      <c r="M530" s="449"/>
    </row>
    <row r="531" spans="1:13" x14ac:dyDescent="0.25">
      <c r="A531" s="397"/>
      <c r="B531" s="397"/>
      <c r="C531" s="397"/>
      <c r="D531" s="397"/>
      <c r="E531" s="397"/>
      <c r="F531" s="397"/>
      <c r="G531" s="397"/>
      <c r="H531" s="397"/>
      <c r="I531" s="450"/>
      <c r="J531" s="397"/>
      <c r="K531" s="397"/>
      <c r="L531" s="451"/>
      <c r="M531" s="449"/>
    </row>
    <row r="532" spans="1:13" x14ac:dyDescent="0.25">
      <c r="A532" s="397"/>
      <c r="B532" s="397"/>
      <c r="C532" s="397"/>
      <c r="D532" s="397"/>
      <c r="E532" s="397"/>
      <c r="F532" s="397"/>
      <c r="G532" s="397"/>
      <c r="H532" s="397"/>
      <c r="I532" s="450"/>
      <c r="J532" s="397"/>
      <c r="K532" s="397"/>
      <c r="L532" s="451"/>
      <c r="M532" s="449"/>
    </row>
    <row r="533" spans="1:13" x14ac:dyDescent="0.25">
      <c r="A533" s="397"/>
      <c r="B533" s="397"/>
      <c r="C533" s="397"/>
      <c r="D533" s="397"/>
      <c r="E533" s="397"/>
      <c r="F533" s="397"/>
      <c r="G533" s="397"/>
      <c r="H533" s="397"/>
      <c r="I533" s="450"/>
      <c r="J533" s="397"/>
      <c r="K533" s="397"/>
      <c r="L533" s="451"/>
      <c r="M533" s="449"/>
    </row>
    <row r="534" spans="1:13" x14ac:dyDescent="0.25">
      <c r="A534" s="397"/>
      <c r="B534" s="397"/>
      <c r="C534" s="397"/>
      <c r="D534" s="397"/>
      <c r="E534" s="397"/>
      <c r="F534" s="397"/>
      <c r="G534" s="397"/>
      <c r="H534" s="397"/>
      <c r="I534" s="450"/>
      <c r="J534" s="397"/>
      <c r="K534" s="397"/>
      <c r="L534" s="451"/>
      <c r="M534" s="449"/>
    </row>
    <row r="535" spans="1:13" x14ac:dyDescent="0.25">
      <c r="A535" s="397"/>
      <c r="B535" s="397"/>
      <c r="C535" s="397"/>
      <c r="D535" s="397"/>
      <c r="E535" s="397"/>
      <c r="F535" s="397"/>
      <c r="G535" s="397"/>
      <c r="H535" s="397"/>
      <c r="I535" s="450"/>
      <c r="J535" s="397"/>
      <c r="K535" s="397"/>
      <c r="L535" s="451"/>
      <c r="M535" s="449"/>
    </row>
    <row r="536" spans="1:13" x14ac:dyDescent="0.25">
      <c r="A536" s="397"/>
      <c r="B536" s="397"/>
      <c r="C536" s="397"/>
      <c r="D536" s="397"/>
      <c r="E536" s="397"/>
      <c r="F536" s="397"/>
      <c r="G536" s="397"/>
      <c r="H536" s="397"/>
      <c r="I536" s="450"/>
      <c r="J536" s="397"/>
      <c r="K536" s="397"/>
      <c r="L536" s="451"/>
      <c r="M536" s="449"/>
    </row>
    <row r="537" spans="1:13" x14ac:dyDescent="0.25">
      <c r="A537" s="397"/>
      <c r="B537" s="397"/>
      <c r="C537" s="397"/>
      <c r="D537" s="397"/>
      <c r="E537" s="397"/>
      <c r="F537" s="397"/>
      <c r="G537" s="397"/>
      <c r="H537" s="397"/>
      <c r="I537" s="450"/>
      <c r="J537" s="397"/>
      <c r="K537" s="397"/>
      <c r="L537" s="451"/>
      <c r="M537" s="449"/>
    </row>
    <row r="538" spans="1:13" x14ac:dyDescent="0.25">
      <c r="A538" s="397"/>
      <c r="B538" s="397"/>
      <c r="C538" s="397"/>
      <c r="D538" s="397"/>
      <c r="E538" s="397"/>
      <c r="F538" s="397"/>
      <c r="G538" s="397"/>
      <c r="H538" s="397"/>
      <c r="I538" s="450"/>
      <c r="J538" s="397"/>
      <c r="K538" s="397"/>
      <c r="L538" s="451"/>
      <c r="M538" s="449"/>
    </row>
    <row r="539" spans="1:13" x14ac:dyDescent="0.25">
      <c r="A539" s="397"/>
      <c r="B539" s="397"/>
      <c r="C539" s="397"/>
      <c r="D539" s="397"/>
      <c r="E539" s="397"/>
      <c r="F539" s="397"/>
      <c r="G539" s="397"/>
      <c r="H539" s="397"/>
      <c r="I539" s="450"/>
      <c r="J539" s="397"/>
      <c r="K539" s="397"/>
      <c r="L539" s="451"/>
      <c r="M539" s="449"/>
    </row>
    <row r="540" spans="1:13" x14ac:dyDescent="0.25">
      <c r="A540" s="397"/>
      <c r="B540" s="397"/>
      <c r="C540" s="397"/>
      <c r="D540" s="397"/>
      <c r="E540" s="397"/>
      <c r="F540" s="397"/>
      <c r="G540" s="397"/>
      <c r="H540" s="397"/>
      <c r="I540" s="450"/>
      <c r="J540" s="397"/>
      <c r="K540" s="397"/>
      <c r="L540" s="451"/>
      <c r="M540" s="449"/>
    </row>
    <row r="541" spans="1:13" x14ac:dyDescent="0.25">
      <c r="A541" s="397"/>
      <c r="B541" s="397"/>
      <c r="C541" s="397"/>
      <c r="D541" s="397"/>
      <c r="E541" s="397"/>
      <c r="F541" s="397"/>
      <c r="G541" s="397"/>
      <c r="H541" s="397"/>
      <c r="I541" s="450"/>
      <c r="J541" s="397"/>
      <c r="K541" s="397"/>
      <c r="L541" s="451"/>
      <c r="M541" s="449"/>
    </row>
    <row r="542" spans="1:13" x14ac:dyDescent="0.25">
      <c r="A542" s="397"/>
      <c r="B542" s="397"/>
      <c r="C542" s="397"/>
      <c r="D542" s="397"/>
      <c r="E542" s="397"/>
      <c r="F542" s="397"/>
      <c r="G542" s="397"/>
      <c r="H542" s="397"/>
      <c r="I542" s="450"/>
      <c r="J542" s="397"/>
      <c r="K542" s="397"/>
      <c r="L542" s="451"/>
      <c r="M542" s="449"/>
    </row>
    <row r="543" spans="1:13" x14ac:dyDescent="0.25">
      <c r="A543" s="397"/>
      <c r="B543" s="397"/>
      <c r="C543" s="397"/>
      <c r="D543" s="397"/>
      <c r="E543" s="397"/>
      <c r="F543" s="397"/>
      <c r="G543" s="397"/>
      <c r="H543" s="397"/>
      <c r="I543" s="450"/>
      <c r="J543" s="397"/>
      <c r="K543" s="397"/>
      <c r="L543" s="451"/>
      <c r="M543" s="449"/>
    </row>
    <row r="544" spans="1:13" x14ac:dyDescent="0.25">
      <c r="A544" s="397"/>
      <c r="B544" s="397"/>
      <c r="C544" s="397"/>
      <c r="D544" s="397"/>
      <c r="E544" s="397"/>
      <c r="F544" s="397"/>
      <c r="G544" s="397"/>
      <c r="H544" s="397"/>
      <c r="I544" s="450"/>
      <c r="J544" s="397"/>
      <c r="K544" s="397"/>
      <c r="L544" s="451"/>
      <c r="M544" s="449"/>
    </row>
    <row r="545" spans="1:13" x14ac:dyDescent="0.25">
      <c r="A545" s="397"/>
      <c r="B545" s="397"/>
      <c r="C545" s="397"/>
      <c r="D545" s="397"/>
      <c r="E545" s="397"/>
      <c r="F545" s="397"/>
      <c r="G545" s="397"/>
      <c r="H545" s="397"/>
      <c r="I545" s="450"/>
      <c r="J545" s="397"/>
      <c r="K545" s="397"/>
      <c r="L545" s="451"/>
      <c r="M545" s="449"/>
    </row>
    <row r="546" spans="1:13" x14ac:dyDescent="0.25">
      <c r="A546" s="397"/>
      <c r="B546" s="397"/>
      <c r="C546" s="397"/>
      <c r="D546" s="397"/>
      <c r="E546" s="397"/>
      <c r="F546" s="397"/>
      <c r="G546" s="397"/>
      <c r="H546" s="397"/>
      <c r="I546" s="450"/>
      <c r="J546" s="397"/>
      <c r="K546" s="397"/>
      <c r="L546" s="451"/>
      <c r="M546" s="449"/>
    </row>
    <row r="547" spans="1:13" x14ac:dyDescent="0.25">
      <c r="A547" s="397"/>
      <c r="B547" s="397"/>
      <c r="C547" s="397"/>
      <c r="D547" s="397"/>
      <c r="E547" s="397"/>
      <c r="F547" s="397"/>
      <c r="G547" s="397"/>
      <c r="H547" s="397"/>
      <c r="I547" s="450"/>
      <c r="J547" s="397"/>
      <c r="K547" s="397"/>
      <c r="L547" s="451"/>
      <c r="M547" s="449"/>
    </row>
    <row r="548" spans="1:13" x14ac:dyDescent="0.25">
      <c r="A548" s="397"/>
      <c r="B548" s="397"/>
      <c r="C548" s="397"/>
      <c r="D548" s="397"/>
      <c r="E548" s="397"/>
      <c r="F548" s="397"/>
      <c r="G548" s="397"/>
      <c r="H548" s="397"/>
      <c r="I548" s="450"/>
      <c r="J548" s="397"/>
      <c r="K548" s="397"/>
      <c r="L548" s="451"/>
      <c r="M548" s="449"/>
    </row>
    <row r="549" spans="1:13" x14ac:dyDescent="0.25">
      <c r="A549" s="397"/>
      <c r="B549" s="397"/>
      <c r="C549" s="397"/>
      <c r="D549" s="397"/>
      <c r="E549" s="397"/>
      <c r="F549" s="397"/>
      <c r="G549" s="397"/>
      <c r="H549" s="397"/>
      <c r="I549" s="450"/>
      <c r="J549" s="397"/>
      <c r="K549" s="397"/>
      <c r="L549" s="451"/>
      <c r="M549" s="449"/>
    </row>
    <row r="550" spans="1:13" x14ac:dyDescent="0.25">
      <c r="A550" s="397"/>
      <c r="B550" s="397"/>
      <c r="C550" s="397"/>
      <c r="D550" s="397"/>
      <c r="E550" s="397"/>
      <c r="F550" s="397"/>
      <c r="G550" s="397"/>
      <c r="H550" s="397"/>
      <c r="I550" s="450"/>
      <c r="J550" s="397"/>
      <c r="K550" s="397"/>
      <c r="L550" s="451"/>
      <c r="M550" s="449"/>
    </row>
    <row r="551" spans="1:13" x14ac:dyDescent="0.25">
      <c r="A551" s="397"/>
      <c r="B551" s="397"/>
      <c r="C551" s="397"/>
      <c r="D551" s="397"/>
      <c r="E551" s="397"/>
      <c r="F551" s="397"/>
      <c r="G551" s="397"/>
      <c r="H551" s="397"/>
      <c r="I551" s="450"/>
      <c r="J551" s="397"/>
      <c r="K551" s="397"/>
      <c r="L551" s="451"/>
      <c r="M551" s="449"/>
    </row>
    <row r="552" spans="1:13" x14ac:dyDescent="0.25">
      <c r="A552" s="397"/>
      <c r="B552" s="397"/>
      <c r="C552" s="397"/>
      <c r="D552" s="397"/>
      <c r="E552" s="397"/>
      <c r="F552" s="397"/>
      <c r="G552" s="397"/>
      <c r="H552" s="397"/>
      <c r="I552" s="450"/>
      <c r="J552" s="397"/>
      <c r="K552" s="397"/>
      <c r="L552" s="451"/>
      <c r="M552" s="449"/>
    </row>
    <row r="553" spans="1:13" x14ac:dyDescent="0.25">
      <c r="A553" s="397"/>
      <c r="B553" s="397"/>
      <c r="C553" s="397"/>
      <c r="D553" s="397"/>
      <c r="E553" s="397"/>
      <c r="F553" s="397"/>
      <c r="G553" s="397"/>
      <c r="H553" s="397"/>
      <c r="I553" s="450"/>
      <c r="J553" s="397"/>
      <c r="K553" s="397"/>
      <c r="L553" s="451"/>
      <c r="M553" s="449"/>
    </row>
    <row r="554" spans="1:13" x14ac:dyDescent="0.25">
      <c r="A554" s="397"/>
      <c r="B554" s="397"/>
      <c r="C554" s="397"/>
      <c r="D554" s="397"/>
      <c r="E554" s="397"/>
      <c r="F554" s="397"/>
      <c r="G554" s="397"/>
      <c r="H554" s="397"/>
      <c r="I554" s="450"/>
      <c r="J554" s="397"/>
      <c r="K554" s="397"/>
      <c r="L554" s="451"/>
      <c r="M554" s="449"/>
    </row>
    <row r="555" spans="1:13" x14ac:dyDescent="0.25">
      <c r="A555" s="397"/>
      <c r="B555" s="397"/>
      <c r="C555" s="397"/>
      <c r="D555" s="397"/>
      <c r="E555" s="397"/>
      <c r="F555" s="397"/>
      <c r="G555" s="397"/>
      <c r="H555" s="397"/>
      <c r="I555" s="450"/>
      <c r="J555" s="397"/>
      <c r="K555" s="397"/>
      <c r="L555" s="451"/>
      <c r="M555" s="449"/>
    </row>
    <row r="556" spans="1:13" x14ac:dyDescent="0.25">
      <c r="A556" s="397"/>
      <c r="B556" s="397"/>
      <c r="C556" s="397"/>
      <c r="D556" s="397"/>
      <c r="E556" s="397"/>
      <c r="F556" s="397"/>
      <c r="G556" s="397"/>
      <c r="H556" s="397"/>
      <c r="I556" s="450"/>
      <c r="J556" s="397"/>
      <c r="K556" s="397"/>
      <c r="L556" s="451"/>
      <c r="M556" s="449"/>
    </row>
    <row r="557" spans="1:13" x14ac:dyDescent="0.25">
      <c r="A557" s="397"/>
      <c r="B557" s="397"/>
      <c r="C557" s="397"/>
      <c r="D557" s="397"/>
      <c r="E557" s="397"/>
      <c r="F557" s="397"/>
      <c r="G557" s="397"/>
      <c r="H557" s="397"/>
      <c r="I557" s="450"/>
      <c r="J557" s="397"/>
      <c r="K557" s="397"/>
      <c r="L557" s="451"/>
      <c r="M557" s="449"/>
    </row>
    <row r="558" spans="1:13" x14ac:dyDescent="0.25">
      <c r="A558" s="397"/>
      <c r="B558" s="397"/>
      <c r="C558" s="397"/>
      <c r="D558" s="397"/>
      <c r="E558" s="397"/>
      <c r="F558" s="397"/>
      <c r="G558" s="397"/>
      <c r="H558" s="397"/>
      <c r="I558" s="450"/>
      <c r="J558" s="397"/>
      <c r="K558" s="397"/>
      <c r="L558" s="451"/>
      <c r="M558" s="449"/>
    </row>
    <row r="559" spans="1:13" x14ac:dyDescent="0.25">
      <c r="A559" s="397"/>
      <c r="B559" s="397"/>
      <c r="C559" s="397"/>
      <c r="D559" s="397"/>
      <c r="E559" s="397"/>
      <c r="F559" s="397"/>
      <c r="G559" s="397"/>
      <c r="H559" s="397"/>
      <c r="I559" s="450"/>
      <c r="J559" s="397"/>
      <c r="K559" s="397"/>
      <c r="L559" s="451"/>
      <c r="M559" s="449"/>
    </row>
    <row r="560" spans="1:13" x14ac:dyDescent="0.25">
      <c r="A560" s="397"/>
      <c r="B560" s="397"/>
      <c r="C560" s="397"/>
      <c r="D560" s="397"/>
      <c r="E560" s="397"/>
      <c r="F560" s="397"/>
      <c r="G560" s="397"/>
      <c r="H560" s="397"/>
      <c r="I560" s="450"/>
      <c r="J560" s="397"/>
      <c r="K560" s="397"/>
      <c r="L560" s="451"/>
      <c r="M560" s="449"/>
    </row>
    <row r="561" spans="1:13" x14ac:dyDescent="0.25">
      <c r="A561" s="397"/>
      <c r="B561" s="397"/>
      <c r="C561" s="397"/>
      <c r="D561" s="397"/>
      <c r="E561" s="397"/>
      <c r="F561" s="397"/>
      <c r="G561" s="397"/>
      <c r="H561" s="397"/>
      <c r="I561" s="450"/>
      <c r="J561" s="397"/>
      <c r="K561" s="397"/>
      <c r="L561" s="451"/>
      <c r="M561" s="449"/>
    </row>
    <row r="562" spans="1:13" x14ac:dyDescent="0.25">
      <c r="A562" s="397"/>
      <c r="B562" s="397"/>
      <c r="C562" s="397"/>
      <c r="D562" s="397"/>
      <c r="E562" s="397"/>
      <c r="F562" s="397"/>
      <c r="G562" s="397"/>
      <c r="H562" s="397"/>
      <c r="I562" s="450"/>
      <c r="J562" s="397"/>
      <c r="K562" s="397"/>
      <c r="L562" s="451"/>
      <c r="M562" s="449"/>
    </row>
    <row r="563" spans="1:13" x14ac:dyDescent="0.25">
      <c r="A563" s="397"/>
      <c r="B563" s="397"/>
      <c r="C563" s="397"/>
      <c r="D563" s="397"/>
      <c r="E563" s="397"/>
      <c r="F563" s="397"/>
      <c r="G563" s="397"/>
      <c r="H563" s="397"/>
      <c r="I563" s="450"/>
      <c r="J563" s="397"/>
      <c r="K563" s="397"/>
      <c r="L563" s="451"/>
      <c r="M563" s="449"/>
    </row>
    <row r="564" spans="1:13" x14ac:dyDescent="0.25">
      <c r="A564" s="397"/>
      <c r="B564" s="397"/>
      <c r="C564" s="397"/>
      <c r="D564" s="397"/>
      <c r="E564" s="397"/>
      <c r="F564" s="397"/>
      <c r="G564" s="397"/>
      <c r="H564" s="397"/>
      <c r="I564" s="450"/>
      <c r="J564" s="397"/>
      <c r="K564" s="397"/>
      <c r="L564" s="451"/>
      <c r="M564" s="449"/>
    </row>
    <row r="565" spans="1:13" x14ac:dyDescent="0.25">
      <c r="A565" s="397"/>
      <c r="B565" s="397"/>
      <c r="C565" s="397"/>
      <c r="D565" s="397"/>
      <c r="E565" s="397"/>
      <c r="F565" s="397"/>
      <c r="G565" s="397"/>
      <c r="H565" s="397"/>
      <c r="I565" s="450"/>
      <c r="J565" s="397"/>
      <c r="K565" s="397"/>
      <c r="L565" s="451"/>
      <c r="M565" s="449"/>
    </row>
    <row r="566" spans="1:13" x14ac:dyDescent="0.25">
      <c r="A566" s="397"/>
      <c r="B566" s="397"/>
      <c r="C566" s="397"/>
      <c r="D566" s="397"/>
      <c r="E566" s="397"/>
      <c r="F566" s="397"/>
      <c r="G566" s="397"/>
      <c r="H566" s="397"/>
      <c r="I566" s="450"/>
      <c r="J566" s="397"/>
      <c r="K566" s="397"/>
      <c r="L566" s="451"/>
      <c r="M566" s="449"/>
    </row>
    <row r="567" spans="1:13" x14ac:dyDescent="0.25">
      <c r="A567" s="397"/>
      <c r="B567" s="397"/>
      <c r="C567" s="397"/>
      <c r="D567" s="397"/>
      <c r="E567" s="397"/>
      <c r="F567" s="397"/>
      <c r="G567" s="397"/>
      <c r="H567" s="397"/>
      <c r="I567" s="450"/>
      <c r="J567" s="397"/>
      <c r="K567" s="397"/>
      <c r="L567" s="451"/>
      <c r="M567" s="449"/>
    </row>
    <row r="568" spans="1:13" x14ac:dyDescent="0.25">
      <c r="A568" s="397"/>
      <c r="B568" s="397"/>
      <c r="C568" s="397"/>
      <c r="D568" s="397"/>
      <c r="E568" s="397"/>
      <c r="F568" s="397"/>
      <c r="G568" s="397"/>
      <c r="H568" s="397"/>
      <c r="I568" s="450"/>
      <c r="J568" s="397"/>
      <c r="K568" s="397"/>
      <c r="L568" s="451"/>
      <c r="M568" s="449"/>
    </row>
    <row r="569" spans="1:13" x14ac:dyDescent="0.25">
      <c r="A569" s="397"/>
      <c r="B569" s="397"/>
      <c r="C569" s="397"/>
      <c r="D569" s="397"/>
      <c r="E569" s="397"/>
      <c r="F569" s="397"/>
      <c r="G569" s="397"/>
      <c r="H569" s="397"/>
      <c r="I569" s="450"/>
      <c r="J569" s="397"/>
      <c r="K569" s="397"/>
      <c r="L569" s="451"/>
      <c r="M569" s="449"/>
    </row>
    <row r="570" spans="1:13" x14ac:dyDescent="0.25">
      <c r="A570" s="397"/>
      <c r="B570" s="397"/>
      <c r="C570" s="397"/>
      <c r="D570" s="397"/>
      <c r="E570" s="397"/>
      <c r="F570" s="397"/>
      <c r="G570" s="397"/>
      <c r="H570" s="397"/>
      <c r="I570" s="450"/>
      <c r="J570" s="397"/>
      <c r="K570" s="397"/>
      <c r="L570" s="451"/>
      <c r="M570" s="449"/>
    </row>
    <row r="571" spans="1:13" x14ac:dyDescent="0.25">
      <c r="A571" s="397"/>
      <c r="B571" s="397"/>
      <c r="C571" s="397"/>
      <c r="D571" s="397"/>
      <c r="E571" s="397"/>
      <c r="F571" s="397"/>
      <c r="G571" s="397"/>
      <c r="H571" s="397"/>
      <c r="I571" s="450"/>
      <c r="J571" s="397"/>
      <c r="K571" s="397"/>
      <c r="L571" s="451"/>
      <c r="M571" s="449"/>
    </row>
    <row r="572" spans="1:13" x14ac:dyDescent="0.25">
      <c r="A572" s="397"/>
      <c r="B572" s="397"/>
      <c r="C572" s="397"/>
      <c r="D572" s="397"/>
      <c r="E572" s="397"/>
      <c r="F572" s="397"/>
      <c r="G572" s="397"/>
      <c r="H572" s="397"/>
      <c r="I572" s="450"/>
      <c r="J572" s="397"/>
      <c r="K572" s="397"/>
      <c r="L572" s="451"/>
      <c r="M572" s="449"/>
    </row>
    <row r="573" spans="1:13" x14ac:dyDescent="0.25">
      <c r="A573" s="397"/>
      <c r="B573" s="397"/>
      <c r="C573" s="397"/>
      <c r="D573" s="397"/>
      <c r="E573" s="397"/>
      <c r="F573" s="397"/>
      <c r="G573" s="397"/>
      <c r="H573" s="397"/>
      <c r="I573" s="450"/>
      <c r="J573" s="397"/>
      <c r="K573" s="397"/>
      <c r="L573" s="451"/>
      <c r="M573" s="449"/>
    </row>
    <row r="574" spans="1:13" x14ac:dyDescent="0.25">
      <c r="A574" s="397"/>
      <c r="B574" s="397"/>
      <c r="C574" s="397"/>
      <c r="D574" s="397"/>
      <c r="E574" s="397"/>
      <c r="F574" s="397"/>
      <c r="G574" s="397"/>
      <c r="H574" s="397"/>
      <c r="I574" s="450"/>
      <c r="J574" s="397"/>
      <c r="K574" s="397"/>
      <c r="L574" s="451"/>
      <c r="M574" s="449"/>
    </row>
    <row r="575" spans="1:13" x14ac:dyDescent="0.25">
      <c r="A575" s="397"/>
      <c r="B575" s="397"/>
      <c r="C575" s="397"/>
      <c r="D575" s="397"/>
      <c r="E575" s="397"/>
      <c r="F575" s="397"/>
      <c r="G575" s="397"/>
      <c r="H575" s="397"/>
      <c r="I575" s="450"/>
      <c r="J575" s="397"/>
      <c r="K575" s="397"/>
      <c r="L575" s="451"/>
      <c r="M575" s="449"/>
    </row>
    <row r="576" spans="1:13" x14ac:dyDescent="0.25">
      <c r="A576" s="397"/>
      <c r="B576" s="397"/>
      <c r="C576" s="397"/>
      <c r="D576" s="397"/>
      <c r="E576" s="397"/>
      <c r="F576" s="397"/>
      <c r="G576" s="397"/>
      <c r="H576" s="397"/>
      <c r="I576" s="450"/>
      <c r="J576" s="397"/>
      <c r="K576" s="397"/>
      <c r="L576" s="451"/>
      <c r="M576" s="449"/>
    </row>
    <row r="577" spans="1:13" x14ac:dyDescent="0.25">
      <c r="A577" s="397"/>
      <c r="B577" s="397"/>
      <c r="C577" s="397"/>
      <c r="D577" s="397"/>
      <c r="E577" s="397"/>
      <c r="F577" s="397"/>
      <c r="G577" s="397"/>
      <c r="H577" s="397"/>
      <c r="I577" s="450"/>
      <c r="J577" s="397"/>
      <c r="K577" s="397"/>
      <c r="L577" s="451"/>
      <c r="M577" s="449"/>
    </row>
    <row r="578" spans="1:13" x14ac:dyDescent="0.25">
      <c r="A578" s="397"/>
      <c r="B578" s="397"/>
      <c r="C578" s="397"/>
      <c r="D578" s="397"/>
      <c r="E578" s="397"/>
      <c r="F578" s="397"/>
      <c r="G578" s="397"/>
      <c r="H578" s="397"/>
      <c r="I578" s="450"/>
      <c r="J578" s="397"/>
      <c r="K578" s="397"/>
      <c r="L578" s="451"/>
      <c r="M578" s="449"/>
    </row>
    <row r="579" spans="1:13" x14ac:dyDescent="0.25">
      <c r="A579" s="397"/>
      <c r="B579" s="397"/>
      <c r="C579" s="397"/>
      <c r="D579" s="397"/>
      <c r="E579" s="397"/>
      <c r="F579" s="397"/>
      <c r="G579" s="397"/>
      <c r="H579" s="397"/>
      <c r="I579" s="450"/>
      <c r="J579" s="397"/>
      <c r="K579" s="397"/>
      <c r="L579" s="451"/>
      <c r="M579" s="449"/>
    </row>
    <row r="580" spans="1:13" x14ac:dyDescent="0.25">
      <c r="A580" s="397"/>
      <c r="B580" s="397"/>
      <c r="C580" s="397"/>
      <c r="D580" s="397"/>
      <c r="E580" s="397"/>
      <c r="F580" s="397"/>
      <c r="G580" s="397"/>
      <c r="H580" s="397"/>
      <c r="I580" s="450"/>
      <c r="J580" s="397"/>
      <c r="K580" s="397"/>
      <c r="L580" s="451"/>
      <c r="M580" s="449"/>
    </row>
    <row r="581" spans="1:13" x14ac:dyDescent="0.25">
      <c r="A581" s="397"/>
      <c r="B581" s="397"/>
      <c r="C581" s="397"/>
      <c r="D581" s="397"/>
      <c r="E581" s="397"/>
      <c r="F581" s="397"/>
      <c r="G581" s="397"/>
      <c r="H581" s="397"/>
      <c r="I581" s="450"/>
      <c r="J581" s="397"/>
      <c r="K581" s="397"/>
      <c r="L581" s="451"/>
      <c r="M581" s="449"/>
    </row>
    <row r="582" spans="1:13" x14ac:dyDescent="0.25">
      <c r="A582" s="397"/>
      <c r="B582" s="397"/>
      <c r="C582" s="397"/>
      <c r="D582" s="397"/>
      <c r="E582" s="397"/>
      <c r="F582" s="397"/>
      <c r="G582" s="397"/>
      <c r="H582" s="397"/>
      <c r="I582" s="450"/>
      <c r="J582" s="397"/>
      <c r="K582" s="397"/>
      <c r="L582" s="451"/>
      <c r="M582" s="449"/>
    </row>
    <row r="583" spans="1:13" x14ac:dyDescent="0.25">
      <c r="A583" s="397"/>
      <c r="B583" s="397"/>
      <c r="C583" s="397"/>
      <c r="D583" s="397"/>
      <c r="E583" s="397"/>
      <c r="F583" s="397"/>
      <c r="G583" s="397"/>
      <c r="H583" s="397"/>
      <c r="I583" s="450"/>
      <c r="J583" s="397"/>
      <c r="K583" s="397"/>
      <c r="L583" s="451"/>
      <c r="M583" s="449"/>
    </row>
    <row r="584" spans="1:13" x14ac:dyDescent="0.25">
      <c r="A584" s="397"/>
      <c r="B584" s="397"/>
      <c r="C584" s="397"/>
      <c r="D584" s="397"/>
      <c r="E584" s="397"/>
      <c r="F584" s="397"/>
      <c r="G584" s="397"/>
      <c r="H584" s="397"/>
      <c r="I584" s="450"/>
      <c r="J584" s="397"/>
      <c r="K584" s="397"/>
      <c r="L584" s="451"/>
      <c r="M584" s="449"/>
    </row>
    <row r="585" spans="1:13" x14ac:dyDescent="0.25">
      <c r="A585" s="397"/>
      <c r="B585" s="397"/>
      <c r="C585" s="397"/>
      <c r="D585" s="397"/>
      <c r="E585" s="397"/>
      <c r="F585" s="397"/>
      <c r="G585" s="397"/>
      <c r="H585" s="397"/>
      <c r="I585" s="450"/>
      <c r="J585" s="397"/>
      <c r="K585" s="397"/>
      <c r="L585" s="451"/>
      <c r="M585" s="449"/>
    </row>
    <row r="586" spans="1:13" x14ac:dyDescent="0.25">
      <c r="A586" s="397"/>
      <c r="B586" s="397"/>
      <c r="C586" s="397"/>
      <c r="D586" s="397"/>
      <c r="E586" s="397"/>
      <c r="F586" s="397"/>
      <c r="G586" s="397"/>
      <c r="H586" s="397"/>
      <c r="I586" s="450"/>
      <c r="J586" s="397"/>
      <c r="K586" s="397"/>
      <c r="L586" s="451"/>
      <c r="M586" s="449"/>
    </row>
    <row r="587" spans="1:13" x14ac:dyDescent="0.25">
      <c r="A587" s="397"/>
      <c r="B587" s="397"/>
      <c r="C587" s="397"/>
      <c r="D587" s="397"/>
      <c r="E587" s="397"/>
      <c r="F587" s="397"/>
      <c r="G587" s="397"/>
      <c r="H587" s="397"/>
      <c r="I587" s="450"/>
      <c r="J587" s="397"/>
      <c r="K587" s="397"/>
      <c r="L587" s="451"/>
      <c r="M587" s="449"/>
    </row>
    <row r="588" spans="1:13" x14ac:dyDescent="0.25">
      <c r="A588" s="397"/>
      <c r="B588" s="397"/>
      <c r="C588" s="397"/>
      <c r="D588" s="397"/>
      <c r="E588" s="397"/>
      <c r="F588" s="397"/>
      <c r="G588" s="397"/>
      <c r="H588" s="397"/>
      <c r="I588" s="450"/>
      <c r="J588" s="397"/>
      <c r="K588" s="397"/>
      <c r="L588" s="451"/>
      <c r="M588" s="449"/>
    </row>
    <row r="589" spans="1:13" x14ac:dyDescent="0.25">
      <c r="A589" s="397"/>
      <c r="B589" s="397"/>
      <c r="C589" s="397"/>
      <c r="D589" s="397"/>
      <c r="E589" s="397"/>
      <c r="F589" s="397"/>
      <c r="G589" s="397"/>
      <c r="H589" s="397"/>
      <c r="I589" s="450"/>
      <c r="J589" s="397"/>
      <c r="K589" s="397"/>
      <c r="L589" s="451"/>
      <c r="M589" s="449"/>
    </row>
    <row r="590" spans="1:13" x14ac:dyDescent="0.25">
      <c r="A590" s="397"/>
      <c r="B590" s="397"/>
      <c r="C590" s="397"/>
      <c r="D590" s="397"/>
      <c r="E590" s="397"/>
      <c r="F590" s="397"/>
      <c r="G590" s="397"/>
      <c r="H590" s="397"/>
      <c r="I590" s="450"/>
      <c r="J590" s="397"/>
      <c r="K590" s="397"/>
      <c r="L590" s="451"/>
      <c r="M590" s="449"/>
    </row>
    <row r="591" spans="1:13" x14ac:dyDescent="0.25">
      <c r="A591" s="397"/>
      <c r="B591" s="397"/>
      <c r="C591" s="397"/>
      <c r="D591" s="397"/>
      <c r="E591" s="397"/>
      <c r="F591" s="397"/>
      <c r="G591" s="397"/>
      <c r="H591" s="397"/>
      <c r="I591" s="450"/>
      <c r="J591" s="397"/>
      <c r="K591" s="397"/>
      <c r="L591" s="451"/>
      <c r="M591" s="449"/>
    </row>
    <row r="592" spans="1:13" x14ac:dyDescent="0.25">
      <c r="A592" s="397"/>
      <c r="B592" s="397"/>
      <c r="C592" s="397"/>
      <c r="D592" s="397"/>
      <c r="E592" s="397"/>
      <c r="F592" s="397"/>
      <c r="G592" s="397"/>
      <c r="H592" s="397"/>
      <c r="I592" s="450"/>
      <c r="J592" s="397"/>
      <c r="K592" s="397"/>
      <c r="L592" s="451"/>
      <c r="M592" s="449"/>
    </row>
    <row r="593" spans="1:13" x14ac:dyDescent="0.25">
      <c r="A593" s="397"/>
      <c r="B593" s="397"/>
      <c r="C593" s="397"/>
      <c r="D593" s="397"/>
      <c r="E593" s="397"/>
      <c r="F593" s="397"/>
      <c r="G593" s="397"/>
      <c r="H593" s="397"/>
      <c r="I593" s="450"/>
      <c r="J593" s="397"/>
      <c r="K593" s="397"/>
      <c r="L593" s="451"/>
      <c r="M593" s="449"/>
    </row>
    <row r="594" spans="1:13" x14ac:dyDescent="0.25">
      <c r="A594" s="397"/>
      <c r="B594" s="397"/>
      <c r="C594" s="397"/>
      <c r="D594" s="397"/>
      <c r="E594" s="397"/>
      <c r="F594" s="397"/>
      <c r="G594" s="397"/>
      <c r="H594" s="397"/>
      <c r="I594" s="450"/>
      <c r="J594" s="397"/>
      <c r="K594" s="397"/>
      <c r="L594" s="451"/>
      <c r="M594" s="449"/>
    </row>
    <row r="595" spans="1:13" x14ac:dyDescent="0.25">
      <c r="A595" s="397"/>
      <c r="B595" s="397"/>
      <c r="C595" s="397"/>
      <c r="D595" s="397"/>
      <c r="E595" s="397"/>
      <c r="F595" s="397"/>
      <c r="G595" s="397"/>
      <c r="H595" s="397"/>
      <c r="I595" s="450"/>
      <c r="J595" s="397"/>
      <c r="K595" s="397"/>
      <c r="L595" s="451"/>
      <c r="M595" s="449"/>
    </row>
    <row r="596" spans="1:13" x14ac:dyDescent="0.25">
      <c r="A596" s="397"/>
      <c r="B596" s="397"/>
      <c r="C596" s="397"/>
      <c r="D596" s="397"/>
      <c r="E596" s="397"/>
      <c r="F596" s="397"/>
      <c r="G596" s="397"/>
      <c r="H596" s="397"/>
      <c r="I596" s="450"/>
      <c r="J596" s="397"/>
      <c r="K596" s="397"/>
      <c r="L596" s="451"/>
      <c r="M596" s="449"/>
    </row>
    <row r="597" spans="1:13" x14ac:dyDescent="0.25">
      <c r="A597" s="397"/>
      <c r="B597" s="397"/>
      <c r="C597" s="397"/>
      <c r="D597" s="397"/>
      <c r="E597" s="397"/>
      <c r="F597" s="397"/>
      <c r="G597" s="397"/>
      <c r="H597" s="397"/>
      <c r="I597" s="450"/>
      <c r="J597" s="397"/>
      <c r="K597" s="397"/>
      <c r="L597" s="451"/>
      <c r="M597" s="449"/>
    </row>
    <row r="598" spans="1:13" x14ac:dyDescent="0.25">
      <c r="A598" s="397"/>
      <c r="B598" s="397"/>
      <c r="C598" s="397"/>
      <c r="D598" s="397"/>
      <c r="E598" s="397"/>
      <c r="F598" s="397"/>
      <c r="G598" s="397"/>
      <c r="H598" s="397"/>
      <c r="I598" s="450"/>
      <c r="J598" s="397"/>
      <c r="K598" s="397"/>
      <c r="L598" s="451"/>
      <c r="M598" s="449"/>
    </row>
    <row r="599" spans="1:13" x14ac:dyDescent="0.25">
      <c r="A599" s="397"/>
      <c r="B599" s="397"/>
      <c r="C599" s="397"/>
      <c r="D599" s="397"/>
      <c r="E599" s="397"/>
      <c r="F599" s="397"/>
      <c r="G599" s="397"/>
      <c r="H599" s="397"/>
      <c r="I599" s="450"/>
      <c r="J599" s="397"/>
      <c r="K599" s="397"/>
      <c r="L599" s="451"/>
      <c r="M599" s="449"/>
    </row>
    <row r="600" spans="1:13" x14ac:dyDescent="0.25">
      <c r="A600" s="397"/>
      <c r="B600" s="397"/>
      <c r="C600" s="397"/>
      <c r="D600" s="397"/>
      <c r="E600" s="397"/>
      <c r="F600" s="397"/>
      <c r="G600" s="397"/>
      <c r="H600" s="397"/>
      <c r="I600" s="450"/>
      <c r="J600" s="397"/>
      <c r="K600" s="397"/>
      <c r="L600" s="451"/>
      <c r="M600" s="449"/>
    </row>
    <row r="601" spans="1:13" x14ac:dyDescent="0.25">
      <c r="A601" s="397"/>
      <c r="B601" s="397"/>
      <c r="C601" s="397"/>
      <c r="D601" s="397"/>
      <c r="E601" s="397"/>
      <c r="F601" s="397"/>
      <c r="G601" s="397"/>
      <c r="H601" s="397"/>
      <c r="I601" s="450"/>
      <c r="J601" s="397"/>
      <c r="K601" s="397"/>
      <c r="L601" s="451"/>
      <c r="M601" s="449"/>
    </row>
    <row r="602" spans="1:13" x14ac:dyDescent="0.25">
      <c r="A602" s="397"/>
      <c r="B602" s="397"/>
      <c r="C602" s="397"/>
      <c r="D602" s="397"/>
      <c r="E602" s="397"/>
      <c r="F602" s="397"/>
      <c r="G602" s="397"/>
      <c r="H602" s="397"/>
      <c r="I602" s="450"/>
      <c r="J602" s="397"/>
      <c r="K602" s="397"/>
      <c r="L602" s="451"/>
      <c r="M602" s="449"/>
    </row>
    <row r="603" spans="1:13" x14ac:dyDescent="0.25">
      <c r="A603" s="397"/>
      <c r="B603" s="397"/>
      <c r="C603" s="397"/>
      <c r="D603" s="397"/>
      <c r="E603" s="397"/>
      <c r="F603" s="397"/>
      <c r="G603" s="397"/>
      <c r="H603" s="397"/>
      <c r="I603" s="450"/>
      <c r="J603" s="397"/>
      <c r="K603" s="397"/>
      <c r="L603" s="451"/>
      <c r="M603" s="449"/>
    </row>
    <row r="604" spans="1:13" x14ac:dyDescent="0.25">
      <c r="A604" s="397"/>
      <c r="B604" s="397"/>
      <c r="C604" s="397"/>
      <c r="D604" s="397"/>
      <c r="E604" s="397"/>
      <c r="F604" s="397"/>
      <c r="G604" s="397"/>
      <c r="H604" s="397"/>
      <c r="I604" s="450"/>
      <c r="J604" s="397"/>
      <c r="K604" s="397"/>
      <c r="L604" s="451"/>
      <c r="M604" s="449"/>
    </row>
    <row r="605" spans="1:13" x14ac:dyDescent="0.25">
      <c r="A605" s="397"/>
      <c r="B605" s="397"/>
      <c r="C605" s="397"/>
      <c r="D605" s="397"/>
      <c r="E605" s="397"/>
      <c r="F605" s="397"/>
      <c r="G605" s="397"/>
      <c r="H605" s="397"/>
      <c r="I605" s="450"/>
      <c r="J605" s="397"/>
      <c r="K605" s="397"/>
      <c r="L605" s="451"/>
      <c r="M605" s="449"/>
    </row>
    <row r="606" spans="1:13" x14ac:dyDescent="0.25">
      <c r="A606" s="397"/>
      <c r="B606" s="397"/>
      <c r="C606" s="397"/>
      <c r="D606" s="397"/>
      <c r="E606" s="397"/>
      <c r="F606" s="397"/>
      <c r="G606" s="397"/>
      <c r="H606" s="397"/>
      <c r="I606" s="450"/>
      <c r="J606" s="397"/>
      <c r="K606" s="397"/>
      <c r="L606" s="451"/>
      <c r="M606" s="449"/>
    </row>
    <row r="607" spans="1:13" x14ac:dyDescent="0.25">
      <c r="A607" s="397"/>
      <c r="B607" s="397"/>
      <c r="C607" s="397"/>
      <c r="D607" s="397"/>
      <c r="E607" s="397"/>
      <c r="F607" s="397"/>
      <c r="G607" s="397"/>
      <c r="H607" s="397"/>
      <c r="I607" s="450"/>
      <c r="J607" s="397"/>
      <c r="K607" s="397"/>
      <c r="L607" s="451"/>
      <c r="M607" s="449"/>
    </row>
    <row r="608" spans="1:13" x14ac:dyDescent="0.25">
      <c r="A608" s="397"/>
      <c r="B608" s="397"/>
      <c r="C608" s="397"/>
      <c r="D608" s="397"/>
      <c r="E608" s="397"/>
      <c r="F608" s="397"/>
      <c r="G608" s="397"/>
      <c r="H608" s="397"/>
      <c r="I608" s="450"/>
      <c r="J608" s="397"/>
      <c r="K608" s="397"/>
      <c r="L608" s="451"/>
      <c r="M608" s="449"/>
    </row>
    <row r="609" spans="1:13" x14ac:dyDescent="0.25">
      <c r="A609" s="397"/>
      <c r="B609" s="397"/>
      <c r="C609" s="397"/>
      <c r="D609" s="397"/>
      <c r="E609" s="397"/>
      <c r="F609" s="397"/>
      <c r="G609" s="397"/>
      <c r="H609" s="397"/>
      <c r="I609" s="450"/>
      <c r="J609" s="397"/>
      <c r="K609" s="397"/>
      <c r="L609" s="451"/>
      <c r="M609" s="449"/>
    </row>
    <row r="610" spans="1:13" x14ac:dyDescent="0.25">
      <c r="A610" s="397"/>
      <c r="B610" s="397"/>
      <c r="C610" s="397"/>
      <c r="D610" s="397"/>
      <c r="E610" s="397"/>
      <c r="F610" s="397"/>
      <c r="G610" s="397"/>
      <c r="H610" s="397"/>
      <c r="I610" s="450"/>
      <c r="J610" s="397"/>
      <c r="K610" s="397"/>
      <c r="L610" s="451"/>
      <c r="M610" s="449"/>
    </row>
    <row r="611" spans="1:13" x14ac:dyDescent="0.25">
      <c r="A611" s="397"/>
      <c r="B611" s="397"/>
      <c r="C611" s="397"/>
      <c r="D611" s="397"/>
      <c r="E611" s="397"/>
      <c r="F611" s="397"/>
      <c r="G611" s="397"/>
      <c r="H611" s="397"/>
      <c r="I611" s="450"/>
      <c r="J611" s="397"/>
      <c r="K611" s="397"/>
      <c r="L611" s="451"/>
      <c r="M611" s="449"/>
    </row>
    <row r="612" spans="1:13" x14ac:dyDescent="0.25">
      <c r="A612" s="397"/>
      <c r="B612" s="397"/>
      <c r="C612" s="397"/>
      <c r="D612" s="397"/>
      <c r="E612" s="397"/>
      <c r="F612" s="397"/>
      <c r="G612" s="397"/>
      <c r="H612" s="397"/>
      <c r="I612" s="450"/>
      <c r="J612" s="397"/>
      <c r="K612" s="397"/>
      <c r="L612" s="451"/>
      <c r="M612" s="449"/>
    </row>
    <row r="613" spans="1:13" x14ac:dyDescent="0.25">
      <c r="A613" s="397"/>
      <c r="B613" s="397"/>
      <c r="C613" s="397"/>
      <c r="D613" s="397"/>
      <c r="E613" s="397"/>
      <c r="F613" s="397"/>
      <c r="G613" s="397"/>
      <c r="H613" s="397"/>
      <c r="I613" s="450"/>
      <c r="J613" s="397"/>
      <c r="K613" s="397"/>
      <c r="L613" s="451"/>
      <c r="M613" s="449"/>
    </row>
    <row r="614" spans="1:13" x14ac:dyDescent="0.25">
      <c r="A614" s="397"/>
      <c r="B614" s="397"/>
      <c r="C614" s="397"/>
      <c r="D614" s="397"/>
      <c r="E614" s="397"/>
      <c r="F614" s="397"/>
      <c r="G614" s="397"/>
      <c r="H614" s="397"/>
      <c r="I614" s="450"/>
      <c r="J614" s="397"/>
      <c r="K614" s="397"/>
      <c r="L614" s="451"/>
      <c r="M614" s="449"/>
    </row>
    <row r="615" spans="1:13" x14ac:dyDescent="0.25">
      <c r="A615" s="397"/>
      <c r="B615" s="397"/>
      <c r="C615" s="397"/>
      <c r="D615" s="397"/>
      <c r="E615" s="397"/>
      <c r="F615" s="397"/>
      <c r="G615" s="397"/>
      <c r="H615" s="397"/>
      <c r="I615" s="450"/>
      <c r="J615" s="397"/>
      <c r="K615" s="397"/>
      <c r="L615" s="451"/>
      <c r="M615" s="449"/>
    </row>
    <row r="616" spans="1:13" x14ac:dyDescent="0.25">
      <c r="A616" s="397"/>
      <c r="B616" s="397"/>
      <c r="C616" s="397"/>
      <c r="D616" s="397"/>
      <c r="E616" s="397"/>
      <c r="F616" s="397"/>
      <c r="G616" s="397"/>
      <c r="H616" s="397"/>
      <c r="I616" s="450"/>
      <c r="J616" s="397"/>
      <c r="K616" s="397"/>
      <c r="L616" s="451"/>
      <c r="M616" s="449"/>
    </row>
    <row r="617" spans="1:13" x14ac:dyDescent="0.25">
      <c r="A617" s="397"/>
      <c r="B617" s="397"/>
      <c r="C617" s="397"/>
      <c r="D617" s="397"/>
      <c r="E617" s="397"/>
      <c r="F617" s="397"/>
      <c r="G617" s="397"/>
      <c r="H617" s="397"/>
      <c r="I617" s="450"/>
      <c r="J617" s="397"/>
      <c r="K617" s="397"/>
      <c r="L617" s="451"/>
      <c r="M617" s="449"/>
    </row>
    <row r="618" spans="1:13" x14ac:dyDescent="0.25">
      <c r="A618" s="397"/>
      <c r="B618" s="397"/>
      <c r="C618" s="397"/>
      <c r="D618" s="397"/>
      <c r="E618" s="397"/>
      <c r="F618" s="397"/>
      <c r="G618" s="397"/>
      <c r="H618" s="397"/>
      <c r="I618" s="450"/>
      <c r="J618" s="397"/>
      <c r="K618" s="397"/>
      <c r="L618" s="451"/>
      <c r="M618" s="449"/>
    </row>
    <row r="619" spans="1:13" x14ac:dyDescent="0.25">
      <c r="A619" s="397"/>
      <c r="B619" s="397"/>
      <c r="C619" s="397"/>
      <c r="D619" s="397"/>
      <c r="E619" s="397"/>
      <c r="F619" s="397"/>
      <c r="G619" s="397"/>
      <c r="H619" s="397"/>
      <c r="I619" s="450"/>
      <c r="J619" s="397"/>
      <c r="K619" s="397"/>
      <c r="L619" s="451"/>
      <c r="M619" s="449"/>
    </row>
    <row r="620" spans="1:13" x14ac:dyDescent="0.25">
      <c r="A620" s="397"/>
      <c r="B620" s="397"/>
      <c r="C620" s="397"/>
      <c r="D620" s="397"/>
      <c r="E620" s="397"/>
      <c r="F620" s="397"/>
      <c r="G620" s="397"/>
      <c r="H620" s="397"/>
      <c r="I620" s="450"/>
      <c r="J620" s="397"/>
      <c r="K620" s="397"/>
      <c r="L620" s="451"/>
      <c r="M620" s="449"/>
    </row>
    <row r="621" spans="1:13" x14ac:dyDescent="0.25">
      <c r="A621" s="397"/>
      <c r="B621" s="397"/>
      <c r="C621" s="397"/>
      <c r="D621" s="397"/>
      <c r="E621" s="397"/>
      <c r="F621" s="397"/>
      <c r="G621" s="397"/>
      <c r="H621" s="397"/>
      <c r="I621" s="450"/>
      <c r="J621" s="397"/>
      <c r="K621" s="397"/>
      <c r="L621" s="451"/>
      <c r="M621" s="449"/>
    </row>
    <row r="622" spans="1:13" x14ac:dyDescent="0.25">
      <c r="A622" s="397"/>
      <c r="B622" s="397"/>
      <c r="C622" s="397"/>
      <c r="D622" s="397"/>
      <c r="E622" s="397"/>
      <c r="F622" s="397"/>
      <c r="G622" s="397"/>
      <c r="H622" s="397"/>
      <c r="I622" s="450"/>
      <c r="J622" s="397"/>
      <c r="K622" s="397"/>
      <c r="L622" s="451"/>
      <c r="M622" s="449"/>
    </row>
    <row r="623" spans="1:13" x14ac:dyDescent="0.25">
      <c r="A623" s="397"/>
      <c r="B623" s="397"/>
      <c r="C623" s="397"/>
      <c r="D623" s="397"/>
      <c r="E623" s="397"/>
      <c r="F623" s="397"/>
      <c r="G623" s="397"/>
      <c r="H623" s="397"/>
      <c r="I623" s="450"/>
      <c r="J623" s="397"/>
      <c r="K623" s="397"/>
      <c r="L623" s="451"/>
      <c r="M623" s="449"/>
    </row>
    <row r="624" spans="1:13" x14ac:dyDescent="0.25">
      <c r="A624" s="397"/>
      <c r="B624" s="397"/>
      <c r="C624" s="397"/>
      <c r="D624" s="397"/>
      <c r="E624" s="397"/>
      <c r="F624" s="397"/>
      <c r="G624" s="397"/>
      <c r="H624" s="397"/>
      <c r="I624" s="450"/>
      <c r="J624" s="397"/>
      <c r="K624" s="397"/>
      <c r="L624" s="451"/>
      <c r="M624" s="449"/>
    </row>
    <row r="625" spans="1:13" x14ac:dyDescent="0.25">
      <c r="A625" s="397"/>
      <c r="B625" s="397"/>
      <c r="C625" s="397"/>
      <c r="D625" s="397"/>
      <c r="E625" s="397"/>
      <c r="F625" s="397"/>
      <c r="G625" s="397"/>
      <c r="H625" s="397"/>
      <c r="I625" s="450"/>
      <c r="J625" s="397"/>
      <c r="K625" s="397"/>
      <c r="L625" s="451"/>
      <c r="M625" s="449"/>
    </row>
    <row r="626" spans="1:13" x14ac:dyDescent="0.25">
      <c r="A626" s="397"/>
      <c r="B626" s="397"/>
      <c r="C626" s="397"/>
      <c r="D626" s="397"/>
      <c r="E626" s="397"/>
      <c r="F626" s="397"/>
      <c r="G626" s="397"/>
      <c r="H626" s="397"/>
      <c r="I626" s="450"/>
      <c r="J626" s="397"/>
      <c r="K626" s="397"/>
      <c r="L626" s="451"/>
      <c r="M626" s="449"/>
    </row>
    <row r="627" spans="1:13" x14ac:dyDescent="0.25">
      <c r="A627" s="397"/>
      <c r="B627" s="397"/>
      <c r="C627" s="397"/>
      <c r="D627" s="397"/>
      <c r="E627" s="397"/>
      <c r="F627" s="397"/>
      <c r="G627" s="397"/>
      <c r="H627" s="397"/>
      <c r="I627" s="450"/>
      <c r="J627" s="397"/>
      <c r="K627" s="397"/>
      <c r="L627" s="451"/>
      <c r="M627" s="449"/>
    </row>
    <row r="628" spans="1:13" x14ac:dyDescent="0.25">
      <c r="A628" s="397"/>
      <c r="B628" s="397"/>
      <c r="C628" s="397"/>
      <c r="D628" s="397"/>
      <c r="E628" s="397"/>
      <c r="F628" s="397"/>
      <c r="G628" s="397"/>
      <c r="H628" s="397"/>
      <c r="I628" s="450"/>
      <c r="J628" s="397"/>
      <c r="K628" s="397"/>
      <c r="L628" s="451"/>
      <c r="M628" s="449"/>
    </row>
    <row r="629" spans="1:13" x14ac:dyDescent="0.25">
      <c r="A629" s="397"/>
      <c r="B629" s="397"/>
      <c r="C629" s="397"/>
      <c r="D629" s="397"/>
      <c r="E629" s="397"/>
      <c r="F629" s="397"/>
      <c r="G629" s="397"/>
      <c r="H629" s="397"/>
      <c r="I629" s="450"/>
      <c r="J629" s="397"/>
      <c r="K629" s="397"/>
      <c r="L629" s="451"/>
      <c r="M629" s="449"/>
    </row>
    <row r="630" spans="1:13" x14ac:dyDescent="0.25">
      <c r="A630" s="397"/>
      <c r="B630" s="397"/>
      <c r="C630" s="397"/>
      <c r="D630" s="397"/>
      <c r="E630" s="397"/>
      <c r="F630" s="397"/>
      <c r="G630" s="397"/>
      <c r="H630" s="397"/>
      <c r="I630" s="450"/>
      <c r="J630" s="397"/>
      <c r="K630" s="397"/>
      <c r="L630" s="451"/>
      <c r="M630" s="449"/>
    </row>
    <row r="631" spans="1:13" x14ac:dyDescent="0.25">
      <c r="A631" s="397"/>
      <c r="B631" s="397"/>
      <c r="C631" s="397"/>
      <c r="D631" s="397"/>
      <c r="E631" s="397"/>
      <c r="F631" s="397"/>
      <c r="G631" s="397"/>
      <c r="H631" s="397"/>
      <c r="I631" s="450"/>
      <c r="J631" s="397"/>
      <c r="K631" s="397"/>
      <c r="L631" s="451"/>
      <c r="M631" s="449"/>
    </row>
    <row r="632" spans="1:13" x14ac:dyDescent="0.25">
      <c r="A632" s="397"/>
      <c r="B632" s="397"/>
      <c r="C632" s="397"/>
      <c r="D632" s="397"/>
      <c r="E632" s="397"/>
      <c r="F632" s="397"/>
      <c r="G632" s="397"/>
      <c r="H632" s="397"/>
      <c r="I632" s="450"/>
      <c r="J632" s="397"/>
      <c r="K632" s="397"/>
      <c r="L632" s="451"/>
      <c r="M632" s="449"/>
    </row>
    <row r="633" spans="1:13" x14ac:dyDescent="0.25">
      <c r="A633" s="397"/>
      <c r="B633" s="397"/>
      <c r="C633" s="397"/>
      <c r="D633" s="397"/>
      <c r="E633" s="397"/>
      <c r="F633" s="397"/>
      <c r="G633" s="397"/>
      <c r="H633" s="397"/>
      <c r="I633" s="450"/>
      <c r="J633" s="397"/>
      <c r="K633" s="397"/>
      <c r="L633" s="451"/>
      <c r="M633" s="449"/>
    </row>
    <row r="634" spans="1:13" x14ac:dyDescent="0.25">
      <c r="A634" s="397"/>
      <c r="B634" s="397"/>
      <c r="C634" s="397"/>
      <c r="D634" s="397"/>
      <c r="E634" s="397"/>
      <c r="F634" s="397"/>
      <c r="G634" s="397"/>
      <c r="H634" s="397"/>
      <c r="I634" s="450"/>
      <c r="J634" s="397"/>
      <c r="K634" s="397"/>
      <c r="L634" s="451"/>
      <c r="M634" s="449"/>
    </row>
    <row r="635" spans="1:13" x14ac:dyDescent="0.25">
      <c r="A635" s="397"/>
      <c r="B635" s="397"/>
      <c r="C635" s="397"/>
      <c r="D635" s="397"/>
      <c r="E635" s="397"/>
      <c r="F635" s="397"/>
      <c r="G635" s="397"/>
      <c r="H635" s="397"/>
      <c r="I635" s="450"/>
      <c r="J635" s="397"/>
      <c r="K635" s="397"/>
      <c r="L635" s="451"/>
      <c r="M635" s="449"/>
    </row>
    <row r="636" spans="1:13" x14ac:dyDescent="0.25">
      <c r="A636" s="397"/>
      <c r="B636" s="397"/>
      <c r="C636" s="397"/>
      <c r="D636" s="397"/>
      <c r="E636" s="397"/>
      <c r="F636" s="397"/>
      <c r="G636" s="397"/>
      <c r="H636" s="397"/>
      <c r="I636" s="450"/>
      <c r="J636" s="397"/>
      <c r="K636" s="397"/>
      <c r="L636" s="451"/>
      <c r="M636" s="449"/>
    </row>
    <row r="637" spans="1:13" x14ac:dyDescent="0.25">
      <c r="A637" s="397"/>
      <c r="B637" s="397"/>
      <c r="C637" s="397"/>
      <c r="D637" s="397"/>
      <c r="E637" s="397"/>
      <c r="F637" s="397"/>
      <c r="G637" s="397"/>
      <c r="H637" s="397"/>
      <c r="I637" s="450"/>
      <c r="J637" s="397"/>
      <c r="K637" s="397"/>
      <c r="L637" s="451"/>
      <c r="M637" s="449"/>
    </row>
    <row r="638" spans="1:13" x14ac:dyDescent="0.25">
      <c r="A638" s="397"/>
      <c r="B638" s="397"/>
      <c r="C638" s="397"/>
      <c r="D638" s="397"/>
      <c r="E638" s="397"/>
      <c r="F638" s="397"/>
      <c r="G638" s="397"/>
      <c r="H638" s="397"/>
      <c r="I638" s="450"/>
      <c r="J638" s="397"/>
      <c r="K638" s="397"/>
      <c r="L638" s="451"/>
      <c r="M638" s="449"/>
    </row>
    <row r="639" spans="1:13" x14ac:dyDescent="0.25">
      <c r="A639" s="397"/>
      <c r="B639" s="397"/>
      <c r="C639" s="397"/>
      <c r="D639" s="397"/>
      <c r="E639" s="397"/>
      <c r="F639" s="397"/>
      <c r="G639" s="397"/>
      <c r="H639" s="397"/>
      <c r="I639" s="450"/>
      <c r="J639" s="397"/>
      <c r="K639" s="397"/>
      <c r="L639" s="451"/>
      <c r="M639" s="449"/>
    </row>
    <row r="640" spans="1:13" x14ac:dyDescent="0.25">
      <c r="A640" s="397"/>
      <c r="B640" s="397"/>
      <c r="C640" s="397"/>
      <c r="D640" s="397"/>
      <c r="E640" s="397"/>
      <c r="F640" s="397"/>
      <c r="G640" s="397"/>
      <c r="H640" s="397"/>
      <c r="I640" s="450"/>
      <c r="J640" s="397"/>
      <c r="K640" s="397"/>
      <c r="L640" s="451"/>
      <c r="M640" s="449"/>
    </row>
    <row r="641" spans="1:13" x14ac:dyDescent="0.25">
      <c r="A641" s="397"/>
      <c r="B641" s="397"/>
      <c r="C641" s="397"/>
      <c r="D641" s="397"/>
      <c r="E641" s="397"/>
      <c r="F641" s="397"/>
      <c r="G641" s="397"/>
      <c r="H641" s="397"/>
      <c r="I641" s="450"/>
      <c r="J641" s="397"/>
      <c r="K641" s="397"/>
      <c r="L641" s="451"/>
      <c r="M641" s="449"/>
    </row>
    <row r="642" spans="1:13" x14ac:dyDescent="0.25">
      <c r="A642" s="397"/>
      <c r="B642" s="397"/>
      <c r="C642" s="397"/>
      <c r="D642" s="397"/>
      <c r="E642" s="397"/>
      <c r="F642" s="397"/>
      <c r="G642" s="397"/>
      <c r="H642" s="397"/>
      <c r="I642" s="450"/>
      <c r="J642" s="397"/>
      <c r="K642" s="397"/>
      <c r="L642" s="451"/>
      <c r="M642" s="449"/>
    </row>
    <row r="643" spans="1:13" x14ac:dyDescent="0.25">
      <c r="A643" s="397"/>
      <c r="B643" s="397"/>
      <c r="C643" s="397"/>
      <c r="D643" s="397"/>
      <c r="E643" s="397"/>
      <c r="F643" s="397"/>
      <c r="G643" s="397"/>
      <c r="H643" s="397"/>
      <c r="I643" s="450"/>
      <c r="J643" s="397"/>
      <c r="K643" s="397"/>
      <c r="L643" s="451"/>
      <c r="M643" s="449"/>
    </row>
    <row r="644" spans="1:13" x14ac:dyDescent="0.25">
      <c r="A644" s="397"/>
      <c r="B644" s="397"/>
      <c r="C644" s="397"/>
      <c r="D644" s="397"/>
      <c r="E644" s="397"/>
      <c r="F644" s="397"/>
      <c r="G644" s="397"/>
      <c r="H644" s="397"/>
      <c r="I644" s="450"/>
      <c r="J644" s="397"/>
      <c r="K644" s="397"/>
      <c r="L644" s="451"/>
      <c r="M644" s="449"/>
    </row>
    <row r="645" spans="1:13" x14ac:dyDescent="0.25">
      <c r="A645" s="397"/>
      <c r="B645" s="397"/>
      <c r="C645" s="397"/>
      <c r="D645" s="397"/>
      <c r="E645" s="397"/>
      <c r="F645" s="397"/>
      <c r="G645" s="397"/>
      <c r="H645" s="397"/>
      <c r="I645" s="450"/>
      <c r="J645" s="397"/>
      <c r="K645" s="397"/>
      <c r="L645" s="451"/>
      <c r="M645" s="449"/>
    </row>
    <row r="646" spans="1:13" x14ac:dyDescent="0.25">
      <c r="A646" s="397"/>
      <c r="B646" s="397"/>
      <c r="C646" s="397"/>
      <c r="D646" s="397"/>
      <c r="E646" s="397"/>
      <c r="F646" s="397"/>
      <c r="G646" s="397"/>
      <c r="H646" s="397"/>
      <c r="I646" s="450"/>
      <c r="J646" s="397"/>
      <c r="K646" s="397"/>
      <c r="L646" s="451"/>
      <c r="M646" s="449"/>
    </row>
    <row r="647" spans="1:13" x14ac:dyDescent="0.25">
      <c r="A647" s="397"/>
      <c r="B647" s="397"/>
      <c r="C647" s="397"/>
      <c r="D647" s="397"/>
      <c r="E647" s="397"/>
      <c r="F647" s="397"/>
      <c r="G647" s="397"/>
      <c r="H647" s="397"/>
      <c r="I647" s="450"/>
      <c r="J647" s="397"/>
      <c r="K647" s="397"/>
      <c r="L647" s="451"/>
      <c r="M647" s="449"/>
    </row>
    <row r="648" spans="1:13" x14ac:dyDescent="0.25">
      <c r="A648" s="397"/>
      <c r="B648" s="397"/>
      <c r="C648" s="397"/>
      <c r="D648" s="397"/>
      <c r="E648" s="397"/>
      <c r="F648" s="397"/>
      <c r="G648" s="397"/>
      <c r="H648" s="397"/>
      <c r="I648" s="450"/>
      <c r="J648" s="397"/>
      <c r="K648" s="397"/>
      <c r="L648" s="451"/>
      <c r="M648" s="449"/>
    </row>
    <row r="649" spans="1:13" x14ac:dyDescent="0.25">
      <c r="A649" s="397"/>
      <c r="B649" s="397"/>
      <c r="C649" s="397"/>
      <c r="D649" s="397"/>
      <c r="E649" s="397"/>
      <c r="F649" s="397"/>
      <c r="G649" s="397"/>
      <c r="H649" s="397"/>
      <c r="I649" s="450"/>
      <c r="J649" s="397"/>
      <c r="K649" s="397"/>
      <c r="L649" s="451"/>
      <c r="M649" s="449"/>
    </row>
    <row r="650" spans="1:13" x14ac:dyDescent="0.25">
      <c r="A650" s="397"/>
      <c r="B650" s="397"/>
      <c r="C650" s="397"/>
      <c r="D650" s="397"/>
      <c r="E650" s="397"/>
      <c r="F650" s="397"/>
      <c r="G650" s="397"/>
      <c r="H650" s="397"/>
      <c r="I650" s="450"/>
      <c r="J650" s="397"/>
      <c r="K650" s="397"/>
      <c r="L650" s="451"/>
      <c r="M650" s="449"/>
    </row>
    <row r="651" spans="1:13" x14ac:dyDescent="0.25">
      <c r="A651" s="397"/>
      <c r="B651" s="397"/>
      <c r="C651" s="397"/>
      <c r="D651" s="397"/>
      <c r="E651" s="397"/>
      <c r="F651" s="397"/>
      <c r="G651" s="397"/>
      <c r="H651" s="397"/>
      <c r="I651" s="450"/>
      <c r="J651" s="397"/>
      <c r="K651" s="397"/>
      <c r="L651" s="451"/>
      <c r="M651" s="449"/>
    </row>
    <row r="652" spans="1:13" x14ac:dyDescent="0.25">
      <c r="A652" s="397"/>
      <c r="B652" s="397"/>
      <c r="C652" s="397"/>
      <c r="D652" s="397"/>
      <c r="E652" s="397"/>
      <c r="F652" s="397"/>
      <c r="G652" s="397"/>
      <c r="H652" s="397"/>
      <c r="I652" s="450"/>
      <c r="J652" s="397"/>
      <c r="K652" s="397"/>
      <c r="L652" s="451"/>
      <c r="M652" s="449"/>
    </row>
    <row r="653" spans="1:13" x14ac:dyDescent="0.25">
      <c r="A653" s="397"/>
      <c r="B653" s="397"/>
      <c r="C653" s="397"/>
      <c r="D653" s="397"/>
      <c r="E653" s="397"/>
      <c r="F653" s="397"/>
      <c r="G653" s="397"/>
      <c r="H653" s="397"/>
      <c r="I653" s="450"/>
      <c r="J653" s="397"/>
      <c r="K653" s="397"/>
      <c r="L653" s="451"/>
      <c r="M653" s="449"/>
    </row>
    <row r="654" spans="1:13" x14ac:dyDescent="0.25">
      <c r="A654" s="397"/>
      <c r="B654" s="397"/>
      <c r="C654" s="397"/>
      <c r="D654" s="397"/>
      <c r="E654" s="397"/>
      <c r="F654" s="397"/>
      <c r="G654" s="397"/>
      <c r="H654" s="397"/>
      <c r="I654" s="450"/>
      <c r="J654" s="397"/>
      <c r="K654" s="397"/>
      <c r="L654" s="451"/>
      <c r="M654" s="449"/>
    </row>
    <row r="655" spans="1:13" x14ac:dyDescent="0.25">
      <c r="A655" s="397"/>
      <c r="B655" s="397"/>
      <c r="C655" s="397"/>
      <c r="D655" s="397"/>
      <c r="E655" s="397"/>
      <c r="F655" s="397"/>
      <c r="G655" s="397"/>
      <c r="H655" s="397"/>
      <c r="I655" s="450"/>
      <c r="J655" s="397"/>
      <c r="K655" s="397"/>
      <c r="L655" s="451"/>
      <c r="M655" s="449"/>
    </row>
    <row r="656" spans="1:13" x14ac:dyDescent="0.25">
      <c r="A656" s="397"/>
      <c r="B656" s="397"/>
      <c r="C656" s="397"/>
      <c r="D656" s="397"/>
      <c r="E656" s="397"/>
      <c r="F656" s="397"/>
      <c r="G656" s="397"/>
      <c r="H656" s="397"/>
      <c r="I656" s="450"/>
      <c r="J656" s="397"/>
      <c r="K656" s="397"/>
      <c r="L656" s="451"/>
      <c r="M656" s="449"/>
    </row>
    <row r="657" spans="1:13" x14ac:dyDescent="0.25">
      <c r="A657" s="397"/>
      <c r="B657" s="397"/>
      <c r="C657" s="397"/>
      <c r="D657" s="397"/>
      <c r="E657" s="397"/>
      <c r="F657" s="397"/>
      <c r="G657" s="397"/>
      <c r="H657" s="397"/>
      <c r="I657" s="450"/>
      <c r="J657" s="397"/>
      <c r="K657" s="397"/>
      <c r="L657" s="451"/>
      <c r="M657" s="449"/>
    </row>
    <row r="658" spans="1:13" x14ac:dyDescent="0.25">
      <c r="A658" s="397"/>
      <c r="B658" s="397"/>
      <c r="C658" s="397"/>
      <c r="D658" s="397"/>
      <c r="E658" s="397"/>
      <c r="F658" s="397"/>
      <c r="G658" s="397"/>
      <c r="H658" s="397"/>
      <c r="I658" s="450"/>
      <c r="J658" s="397"/>
      <c r="K658" s="397"/>
      <c r="L658" s="451"/>
      <c r="M658" s="449"/>
    </row>
    <row r="659" spans="1:13" x14ac:dyDescent="0.25">
      <c r="A659" s="397"/>
      <c r="B659" s="397"/>
      <c r="C659" s="397"/>
      <c r="D659" s="397"/>
      <c r="E659" s="397"/>
      <c r="F659" s="397"/>
      <c r="G659" s="397"/>
      <c r="H659" s="397"/>
      <c r="I659" s="450"/>
      <c r="J659" s="397"/>
      <c r="K659" s="397"/>
      <c r="L659" s="451"/>
      <c r="M659" s="449"/>
    </row>
    <row r="660" spans="1:13" x14ac:dyDescent="0.25">
      <c r="A660" s="397"/>
      <c r="B660" s="397"/>
      <c r="C660" s="397"/>
      <c r="D660" s="397"/>
      <c r="E660" s="397"/>
      <c r="F660" s="397"/>
      <c r="G660" s="397"/>
      <c r="H660" s="397"/>
      <c r="I660" s="450"/>
      <c r="J660" s="397"/>
      <c r="K660" s="397"/>
      <c r="L660" s="451"/>
      <c r="M660" s="449"/>
    </row>
    <row r="661" spans="1:13" x14ac:dyDescent="0.25">
      <c r="A661" s="397"/>
      <c r="B661" s="397"/>
      <c r="C661" s="397"/>
      <c r="D661" s="397"/>
      <c r="E661" s="397"/>
      <c r="F661" s="397"/>
      <c r="G661" s="397"/>
      <c r="H661" s="397"/>
      <c r="I661" s="450"/>
      <c r="J661" s="397"/>
      <c r="K661" s="397"/>
      <c r="L661" s="451"/>
      <c r="M661" s="449"/>
    </row>
    <row r="662" spans="1:13" x14ac:dyDescent="0.25">
      <c r="A662" s="397"/>
      <c r="B662" s="397"/>
      <c r="C662" s="397"/>
      <c r="D662" s="397"/>
      <c r="E662" s="397"/>
      <c r="F662" s="397"/>
      <c r="G662" s="397"/>
      <c r="H662" s="397"/>
      <c r="I662" s="450"/>
      <c r="J662" s="397"/>
      <c r="K662" s="397"/>
      <c r="L662" s="451"/>
      <c r="M662" s="449"/>
    </row>
    <row r="663" spans="1:13" x14ac:dyDescent="0.25">
      <c r="A663" s="397"/>
      <c r="B663" s="397"/>
      <c r="C663" s="397"/>
      <c r="D663" s="397"/>
      <c r="E663" s="397"/>
      <c r="F663" s="397"/>
      <c r="G663" s="397"/>
      <c r="H663" s="397"/>
      <c r="I663" s="450"/>
      <c r="J663" s="397"/>
      <c r="K663" s="397"/>
      <c r="L663" s="451"/>
      <c r="M663" s="449"/>
    </row>
    <row r="664" spans="1:13" x14ac:dyDescent="0.25">
      <c r="A664" s="397"/>
      <c r="B664" s="397"/>
      <c r="C664" s="397"/>
      <c r="D664" s="397"/>
      <c r="E664" s="397"/>
      <c r="F664" s="397"/>
      <c r="G664" s="397"/>
      <c r="H664" s="397"/>
      <c r="I664" s="450"/>
      <c r="J664" s="397"/>
      <c r="K664" s="397"/>
      <c r="L664" s="451"/>
      <c r="M664" s="449"/>
    </row>
    <row r="665" spans="1:13" x14ac:dyDescent="0.25">
      <c r="A665" s="397"/>
      <c r="B665" s="397"/>
      <c r="C665" s="397"/>
      <c r="D665" s="397"/>
      <c r="E665" s="397"/>
      <c r="F665" s="397"/>
      <c r="G665" s="397"/>
      <c r="H665" s="397"/>
      <c r="I665" s="450"/>
      <c r="J665" s="397"/>
      <c r="K665" s="397"/>
      <c r="L665" s="451"/>
      <c r="M665" s="449"/>
    </row>
    <row r="666" spans="1:13" x14ac:dyDescent="0.25">
      <c r="A666" s="397"/>
      <c r="B666" s="397"/>
      <c r="C666" s="397"/>
      <c r="D666" s="397"/>
      <c r="E666" s="397"/>
      <c r="F666" s="397"/>
      <c r="G666" s="397"/>
      <c r="H666" s="397"/>
      <c r="I666" s="450"/>
      <c r="J666" s="397"/>
      <c r="K666" s="397"/>
      <c r="L666" s="451"/>
      <c r="M666" s="449"/>
    </row>
    <row r="667" spans="1:13" x14ac:dyDescent="0.25">
      <c r="A667" s="397"/>
      <c r="B667" s="397"/>
      <c r="C667" s="397"/>
      <c r="D667" s="397"/>
      <c r="E667" s="397"/>
      <c r="F667" s="397"/>
      <c r="G667" s="397"/>
      <c r="H667" s="397"/>
      <c r="I667" s="450"/>
      <c r="J667" s="397"/>
      <c r="K667" s="397"/>
      <c r="L667" s="451"/>
      <c r="M667" s="449"/>
    </row>
    <row r="668" spans="1:13" x14ac:dyDescent="0.25">
      <c r="A668" s="397"/>
      <c r="B668" s="397"/>
      <c r="C668" s="397"/>
      <c r="D668" s="397"/>
      <c r="E668" s="397"/>
      <c r="F668" s="397"/>
      <c r="G668" s="397"/>
      <c r="H668" s="397"/>
      <c r="I668" s="450"/>
      <c r="J668" s="397"/>
      <c r="K668" s="397"/>
      <c r="L668" s="451"/>
      <c r="M668" s="449"/>
    </row>
    <row r="669" spans="1:13" x14ac:dyDescent="0.25">
      <c r="A669" s="397"/>
      <c r="B669" s="397"/>
      <c r="C669" s="397"/>
      <c r="D669" s="397"/>
      <c r="E669" s="397"/>
      <c r="F669" s="397"/>
      <c r="G669" s="397"/>
      <c r="H669" s="397"/>
      <c r="I669" s="450"/>
      <c r="J669" s="397"/>
      <c r="K669" s="397"/>
      <c r="L669" s="451"/>
      <c r="M669" s="449"/>
    </row>
    <row r="670" spans="1:13" x14ac:dyDescent="0.25">
      <c r="A670" s="397"/>
      <c r="B670" s="397"/>
      <c r="C670" s="397"/>
      <c r="D670" s="397"/>
      <c r="E670" s="397"/>
      <c r="F670" s="397"/>
      <c r="G670" s="397"/>
      <c r="H670" s="397"/>
      <c r="I670" s="450"/>
      <c r="J670" s="397"/>
      <c r="K670" s="397"/>
      <c r="L670" s="451"/>
      <c r="M670" s="449"/>
    </row>
    <row r="671" spans="1:13" x14ac:dyDescent="0.25">
      <c r="A671" s="397"/>
      <c r="B671" s="397"/>
      <c r="C671" s="397"/>
      <c r="D671" s="397"/>
      <c r="E671" s="397"/>
      <c r="F671" s="397"/>
      <c r="G671" s="397"/>
      <c r="H671" s="397"/>
      <c r="I671" s="450"/>
      <c r="J671" s="397"/>
      <c r="K671" s="397"/>
      <c r="L671" s="451"/>
      <c r="M671" s="449"/>
    </row>
    <row r="672" spans="1:13" x14ac:dyDescent="0.25">
      <c r="A672" s="397"/>
      <c r="B672" s="397"/>
      <c r="C672" s="397"/>
      <c r="D672" s="397"/>
      <c r="E672" s="397"/>
      <c r="F672" s="397"/>
      <c r="G672" s="397"/>
      <c r="H672" s="397"/>
      <c r="I672" s="450"/>
      <c r="J672" s="397"/>
      <c r="K672" s="397"/>
      <c r="L672" s="451"/>
      <c r="M672" s="449"/>
    </row>
    <row r="673" spans="1:13" x14ac:dyDescent="0.25">
      <c r="A673" s="397"/>
      <c r="B673" s="397"/>
      <c r="C673" s="397"/>
      <c r="D673" s="397"/>
      <c r="E673" s="397"/>
      <c r="F673" s="397"/>
      <c r="G673" s="397"/>
      <c r="H673" s="397"/>
      <c r="I673" s="450"/>
      <c r="J673" s="397"/>
      <c r="K673" s="397"/>
      <c r="L673" s="451"/>
      <c r="M673" s="449"/>
    </row>
    <row r="674" spans="1:13" x14ac:dyDescent="0.25">
      <c r="A674" s="397"/>
      <c r="B674" s="397"/>
      <c r="C674" s="397"/>
      <c r="D674" s="397"/>
      <c r="E674" s="397"/>
      <c r="F674" s="397"/>
      <c r="G674" s="397"/>
      <c r="H674" s="397"/>
      <c r="I674" s="450"/>
      <c r="J674" s="397"/>
      <c r="K674" s="397"/>
      <c r="L674" s="451"/>
      <c r="M674" s="449"/>
    </row>
    <row r="675" spans="1:13" x14ac:dyDescent="0.25">
      <c r="A675" s="397"/>
      <c r="B675" s="397"/>
      <c r="C675" s="397"/>
      <c r="D675" s="397"/>
      <c r="E675" s="397"/>
      <c r="F675" s="397"/>
      <c r="G675" s="397"/>
      <c r="H675" s="397"/>
      <c r="I675" s="450"/>
      <c r="J675" s="397"/>
      <c r="K675" s="397"/>
      <c r="L675" s="451"/>
      <c r="M675" s="449"/>
    </row>
    <row r="676" spans="1:13" x14ac:dyDescent="0.25">
      <c r="A676" s="397"/>
      <c r="B676" s="397"/>
      <c r="C676" s="397"/>
      <c r="D676" s="397"/>
      <c r="E676" s="397"/>
      <c r="F676" s="397"/>
      <c r="G676" s="397"/>
      <c r="H676" s="397"/>
      <c r="I676" s="450"/>
      <c r="J676" s="397"/>
      <c r="K676" s="397"/>
      <c r="L676" s="451"/>
      <c r="M676" s="449"/>
    </row>
    <row r="677" spans="1:13" x14ac:dyDescent="0.25">
      <c r="A677" s="397"/>
      <c r="B677" s="397"/>
      <c r="C677" s="397"/>
      <c r="D677" s="397"/>
      <c r="E677" s="397"/>
      <c r="F677" s="397"/>
      <c r="G677" s="397"/>
      <c r="H677" s="397"/>
      <c r="I677" s="450"/>
      <c r="J677" s="397"/>
      <c r="K677" s="397"/>
      <c r="L677" s="451"/>
      <c r="M677" s="449"/>
    </row>
    <row r="678" spans="1:13" x14ac:dyDescent="0.25">
      <c r="A678" s="397"/>
      <c r="B678" s="397"/>
      <c r="C678" s="397"/>
      <c r="D678" s="397"/>
      <c r="E678" s="397"/>
      <c r="F678" s="397"/>
      <c r="G678" s="397"/>
      <c r="H678" s="397"/>
      <c r="I678" s="450"/>
      <c r="J678" s="397"/>
      <c r="K678" s="397"/>
      <c r="L678" s="451"/>
      <c r="M678" s="449"/>
    </row>
    <row r="679" spans="1:13" x14ac:dyDescent="0.25">
      <c r="A679" s="397"/>
      <c r="B679" s="397"/>
      <c r="C679" s="397"/>
      <c r="D679" s="397"/>
      <c r="E679" s="397"/>
      <c r="F679" s="397"/>
      <c r="G679" s="397"/>
      <c r="H679" s="397"/>
      <c r="I679" s="450"/>
      <c r="J679" s="397"/>
      <c r="K679" s="397"/>
      <c r="L679" s="451"/>
      <c r="M679" s="449"/>
    </row>
    <row r="680" spans="1:13" x14ac:dyDescent="0.25">
      <c r="A680" s="397"/>
      <c r="B680" s="397"/>
      <c r="C680" s="397"/>
      <c r="D680" s="397"/>
      <c r="E680" s="397"/>
      <c r="F680" s="397"/>
      <c r="G680" s="397"/>
      <c r="H680" s="397"/>
      <c r="I680" s="450"/>
      <c r="J680" s="397"/>
      <c r="K680" s="397"/>
      <c r="L680" s="451"/>
      <c r="M680" s="449"/>
    </row>
    <row r="681" spans="1:13" x14ac:dyDescent="0.25">
      <c r="A681" s="397"/>
      <c r="B681" s="397"/>
      <c r="C681" s="397"/>
      <c r="D681" s="397"/>
      <c r="E681" s="397"/>
      <c r="F681" s="397"/>
      <c r="G681" s="397"/>
      <c r="H681" s="397"/>
      <c r="I681" s="450"/>
      <c r="J681" s="397"/>
      <c r="K681" s="397"/>
      <c r="L681" s="451"/>
      <c r="M681" s="449"/>
    </row>
    <row r="682" spans="1:13" x14ac:dyDescent="0.25">
      <c r="A682" s="397"/>
      <c r="B682" s="397"/>
      <c r="C682" s="397"/>
      <c r="D682" s="397"/>
      <c r="E682" s="397"/>
      <c r="F682" s="397"/>
      <c r="G682" s="397"/>
      <c r="H682" s="397"/>
      <c r="I682" s="450"/>
      <c r="J682" s="397"/>
      <c r="K682" s="397"/>
      <c r="L682" s="451"/>
      <c r="M682" s="449"/>
    </row>
    <row r="683" spans="1:13" x14ac:dyDescent="0.25">
      <c r="A683" s="397"/>
      <c r="B683" s="397"/>
      <c r="C683" s="397"/>
      <c r="D683" s="397"/>
      <c r="E683" s="397"/>
      <c r="F683" s="397"/>
      <c r="G683" s="397"/>
      <c r="H683" s="397"/>
      <c r="I683" s="450"/>
      <c r="J683" s="397"/>
      <c r="K683" s="397"/>
      <c r="L683" s="451"/>
      <c r="M683" s="449"/>
    </row>
    <row r="684" spans="1:13" x14ac:dyDescent="0.25">
      <c r="A684" s="397"/>
      <c r="B684" s="397"/>
      <c r="C684" s="397"/>
      <c r="D684" s="397"/>
      <c r="E684" s="397"/>
      <c r="F684" s="397"/>
      <c r="G684" s="397"/>
      <c r="H684" s="397"/>
      <c r="I684" s="450"/>
      <c r="J684" s="397"/>
      <c r="K684" s="397"/>
      <c r="L684" s="451"/>
      <c r="M684" s="449"/>
    </row>
    <row r="685" spans="1:13" x14ac:dyDescent="0.25">
      <c r="A685" s="397"/>
      <c r="B685" s="397"/>
      <c r="C685" s="397"/>
      <c r="D685" s="397"/>
      <c r="E685" s="397"/>
      <c r="F685" s="397"/>
      <c r="G685" s="397"/>
      <c r="H685" s="397"/>
      <c r="I685" s="450"/>
      <c r="J685" s="397"/>
      <c r="K685" s="397"/>
      <c r="L685" s="451"/>
      <c r="M685" s="449"/>
    </row>
    <row r="686" spans="1:13" x14ac:dyDescent="0.25">
      <c r="A686" s="397"/>
      <c r="B686" s="397"/>
      <c r="C686" s="397"/>
      <c r="D686" s="397"/>
      <c r="E686" s="397"/>
      <c r="F686" s="397"/>
      <c r="G686" s="397"/>
      <c r="H686" s="397"/>
      <c r="I686" s="450"/>
      <c r="J686" s="397"/>
      <c r="K686" s="397"/>
      <c r="L686" s="451"/>
      <c r="M686" s="449"/>
    </row>
    <row r="687" spans="1:13" x14ac:dyDescent="0.25">
      <c r="A687" s="397"/>
      <c r="B687" s="397"/>
      <c r="C687" s="397"/>
      <c r="D687" s="397"/>
      <c r="E687" s="397"/>
      <c r="F687" s="397"/>
      <c r="G687" s="397"/>
      <c r="H687" s="397"/>
      <c r="I687" s="450"/>
      <c r="J687" s="397"/>
      <c r="K687" s="397"/>
      <c r="L687" s="451"/>
      <c r="M687" s="449"/>
    </row>
    <row r="688" spans="1:13" x14ac:dyDescent="0.25">
      <c r="A688" s="397"/>
      <c r="B688" s="397"/>
      <c r="C688" s="397"/>
      <c r="D688" s="397"/>
      <c r="E688" s="397"/>
      <c r="F688" s="397"/>
      <c r="G688" s="397"/>
      <c r="H688" s="397"/>
      <c r="I688" s="450"/>
      <c r="J688" s="397"/>
      <c r="K688" s="397"/>
      <c r="L688" s="451"/>
      <c r="M688" s="449"/>
    </row>
    <row r="689" spans="1:13" x14ac:dyDescent="0.25">
      <c r="A689" s="397"/>
      <c r="B689" s="397"/>
      <c r="C689" s="397"/>
      <c r="D689" s="397"/>
      <c r="E689" s="397"/>
      <c r="F689" s="397"/>
      <c r="G689" s="397"/>
      <c r="H689" s="397"/>
      <c r="I689" s="450"/>
      <c r="J689" s="397"/>
      <c r="K689" s="397"/>
      <c r="L689" s="451"/>
      <c r="M689" s="449"/>
    </row>
    <row r="690" spans="1:13" x14ac:dyDescent="0.25">
      <c r="A690" s="397"/>
      <c r="B690" s="397"/>
      <c r="C690" s="397"/>
      <c r="D690" s="397"/>
      <c r="E690" s="397"/>
      <c r="F690" s="397"/>
      <c r="G690" s="397"/>
      <c r="H690" s="397"/>
      <c r="I690" s="450"/>
      <c r="J690" s="397"/>
      <c r="K690" s="397"/>
      <c r="L690" s="451"/>
      <c r="M690" s="449"/>
    </row>
    <row r="691" spans="1:13" x14ac:dyDescent="0.25">
      <c r="A691" s="397"/>
      <c r="B691" s="397"/>
      <c r="C691" s="397"/>
      <c r="D691" s="397"/>
      <c r="E691" s="397"/>
      <c r="F691" s="397"/>
      <c r="G691" s="397"/>
      <c r="H691" s="397"/>
      <c r="I691" s="450"/>
      <c r="J691" s="397"/>
      <c r="K691" s="397"/>
      <c r="L691" s="451"/>
      <c r="M691" s="449"/>
    </row>
    <row r="692" spans="1:13" x14ac:dyDescent="0.25">
      <c r="A692" s="397"/>
      <c r="B692" s="397"/>
      <c r="C692" s="397"/>
      <c r="D692" s="397"/>
      <c r="E692" s="397"/>
      <c r="F692" s="397"/>
      <c r="G692" s="397"/>
      <c r="H692" s="397"/>
      <c r="I692" s="450"/>
      <c r="J692" s="397"/>
      <c r="K692" s="397"/>
      <c r="L692" s="451"/>
      <c r="M692" s="449"/>
    </row>
    <row r="693" spans="1:13" x14ac:dyDescent="0.25">
      <c r="A693" s="397"/>
      <c r="B693" s="397"/>
      <c r="C693" s="397"/>
      <c r="D693" s="397"/>
      <c r="E693" s="397"/>
      <c r="F693" s="397"/>
      <c r="G693" s="397"/>
      <c r="H693" s="397"/>
      <c r="I693" s="450"/>
      <c r="J693" s="397"/>
      <c r="K693" s="397"/>
      <c r="L693" s="451"/>
      <c r="M693" s="449"/>
    </row>
    <row r="694" spans="1:13" x14ac:dyDescent="0.25">
      <c r="A694" s="397"/>
      <c r="B694" s="397"/>
      <c r="C694" s="397"/>
      <c r="D694" s="397"/>
      <c r="E694" s="397"/>
      <c r="F694" s="397"/>
      <c r="G694" s="397"/>
      <c r="H694" s="397"/>
      <c r="I694" s="450"/>
      <c r="J694" s="397"/>
      <c r="K694" s="397"/>
      <c r="L694" s="451"/>
      <c r="M694" s="449"/>
    </row>
    <row r="695" spans="1:13" x14ac:dyDescent="0.25">
      <c r="A695" s="397"/>
      <c r="B695" s="397"/>
      <c r="C695" s="397"/>
      <c r="D695" s="397"/>
      <c r="E695" s="397"/>
      <c r="F695" s="397"/>
      <c r="G695" s="397"/>
      <c r="H695" s="397"/>
      <c r="I695" s="450"/>
      <c r="J695" s="397"/>
      <c r="K695" s="397"/>
      <c r="L695" s="451"/>
      <c r="M695" s="449"/>
    </row>
    <row r="696" spans="1:13" x14ac:dyDescent="0.25">
      <c r="A696" s="397"/>
      <c r="B696" s="397"/>
      <c r="C696" s="397"/>
      <c r="D696" s="397"/>
      <c r="E696" s="397"/>
      <c r="F696" s="397"/>
      <c r="G696" s="397"/>
      <c r="H696" s="397"/>
      <c r="I696" s="450"/>
      <c r="J696" s="397"/>
      <c r="K696" s="397"/>
      <c r="L696" s="451"/>
      <c r="M696" s="449"/>
    </row>
    <row r="697" spans="1:13" x14ac:dyDescent="0.25">
      <c r="A697" s="397"/>
      <c r="B697" s="397"/>
      <c r="C697" s="397"/>
      <c r="D697" s="397"/>
      <c r="E697" s="397"/>
      <c r="F697" s="397"/>
      <c r="G697" s="397"/>
      <c r="H697" s="397"/>
      <c r="I697" s="450"/>
      <c r="J697" s="397"/>
      <c r="K697" s="397"/>
      <c r="L697" s="451"/>
      <c r="M697" s="449"/>
    </row>
    <row r="698" spans="1:13" x14ac:dyDescent="0.25">
      <c r="A698" s="397"/>
      <c r="B698" s="397"/>
      <c r="C698" s="397"/>
      <c r="D698" s="397"/>
      <c r="E698" s="397"/>
      <c r="F698" s="397"/>
      <c r="G698" s="397"/>
      <c r="H698" s="397"/>
      <c r="I698" s="450"/>
      <c r="J698" s="397"/>
      <c r="K698" s="397"/>
      <c r="L698" s="451"/>
      <c r="M698" s="449"/>
    </row>
    <row r="699" spans="1:13" x14ac:dyDescent="0.25">
      <c r="A699" s="397"/>
      <c r="B699" s="397"/>
      <c r="C699" s="397"/>
      <c r="D699" s="397"/>
      <c r="E699" s="397"/>
      <c r="F699" s="397"/>
      <c r="G699" s="397"/>
      <c r="H699" s="397"/>
      <c r="I699" s="450"/>
      <c r="J699" s="397"/>
      <c r="K699" s="397"/>
      <c r="L699" s="451"/>
      <c r="M699" s="449"/>
    </row>
    <row r="700" spans="1:13" x14ac:dyDescent="0.25">
      <c r="A700" s="397"/>
      <c r="B700" s="397"/>
      <c r="C700" s="397"/>
      <c r="D700" s="397"/>
      <c r="E700" s="397"/>
      <c r="F700" s="397"/>
      <c r="G700" s="397"/>
      <c r="H700" s="397"/>
      <c r="I700" s="450"/>
      <c r="J700" s="397"/>
      <c r="K700" s="397"/>
      <c r="L700" s="451"/>
      <c r="M700" s="449"/>
    </row>
    <row r="701" spans="1:13" x14ac:dyDescent="0.25">
      <c r="A701" s="397"/>
      <c r="B701" s="397"/>
      <c r="C701" s="397"/>
      <c r="D701" s="397"/>
      <c r="E701" s="397"/>
      <c r="F701" s="397"/>
      <c r="G701" s="397"/>
      <c r="H701" s="397"/>
      <c r="I701" s="450"/>
      <c r="J701" s="397"/>
      <c r="K701" s="397"/>
      <c r="L701" s="451"/>
      <c r="M701" s="449"/>
    </row>
    <row r="702" spans="1:13" x14ac:dyDescent="0.25">
      <c r="A702" s="397"/>
      <c r="B702" s="397"/>
      <c r="C702" s="397"/>
      <c r="D702" s="397"/>
      <c r="E702" s="397"/>
      <c r="F702" s="397"/>
      <c r="G702" s="397"/>
      <c r="H702" s="397"/>
      <c r="I702" s="450"/>
      <c r="J702" s="397"/>
      <c r="K702" s="397"/>
      <c r="L702" s="451"/>
      <c r="M702" s="449"/>
    </row>
    <row r="703" spans="1:13" x14ac:dyDescent="0.25">
      <c r="A703" s="397"/>
      <c r="B703" s="397"/>
      <c r="C703" s="397"/>
      <c r="D703" s="397"/>
      <c r="E703" s="397"/>
      <c r="F703" s="397"/>
      <c r="G703" s="397"/>
      <c r="H703" s="397"/>
      <c r="I703" s="450"/>
      <c r="J703" s="397"/>
      <c r="K703" s="397"/>
      <c r="L703" s="451"/>
      <c r="M703" s="449"/>
    </row>
    <row r="704" spans="1:13" x14ac:dyDescent="0.25">
      <c r="A704" s="397"/>
      <c r="B704" s="397"/>
      <c r="C704" s="397"/>
      <c r="D704" s="397"/>
      <c r="E704" s="397"/>
      <c r="F704" s="397"/>
      <c r="G704" s="397"/>
      <c r="H704" s="397"/>
      <c r="I704" s="450"/>
      <c r="J704" s="397"/>
      <c r="K704" s="397"/>
      <c r="L704" s="451"/>
      <c r="M704" s="449"/>
    </row>
    <row r="705" spans="1:13" x14ac:dyDescent="0.25">
      <c r="A705" s="397"/>
      <c r="B705" s="397"/>
      <c r="C705" s="397"/>
      <c r="D705" s="397"/>
      <c r="E705" s="397"/>
      <c r="F705" s="397"/>
      <c r="G705" s="397"/>
      <c r="H705" s="397"/>
      <c r="I705" s="450"/>
      <c r="J705" s="397"/>
      <c r="K705" s="397"/>
      <c r="L705" s="451"/>
      <c r="M705" s="449"/>
    </row>
    <row r="706" spans="1:13" x14ac:dyDescent="0.25">
      <c r="A706" s="397"/>
      <c r="B706" s="397"/>
      <c r="C706" s="397"/>
      <c r="D706" s="397"/>
      <c r="E706" s="397"/>
      <c r="F706" s="397"/>
      <c r="G706" s="397"/>
      <c r="H706" s="397"/>
      <c r="I706" s="450"/>
      <c r="J706" s="397"/>
      <c r="K706" s="397"/>
      <c r="L706" s="451"/>
      <c r="M706" s="449"/>
    </row>
    <row r="707" spans="1:13" x14ac:dyDescent="0.25">
      <c r="A707" s="397"/>
      <c r="B707" s="397"/>
      <c r="C707" s="397"/>
      <c r="D707" s="397"/>
      <c r="E707" s="397"/>
      <c r="F707" s="397"/>
      <c r="G707" s="397"/>
      <c r="H707" s="397"/>
      <c r="I707" s="450"/>
      <c r="J707" s="397"/>
      <c r="K707" s="397"/>
      <c r="L707" s="451"/>
      <c r="M707" s="449"/>
    </row>
    <row r="708" spans="1:13" x14ac:dyDescent="0.25">
      <c r="A708" s="397"/>
      <c r="B708" s="397"/>
      <c r="C708" s="397"/>
      <c r="D708" s="397"/>
      <c r="E708" s="397"/>
      <c r="F708" s="397"/>
      <c r="G708" s="397"/>
      <c r="H708" s="397"/>
      <c r="I708" s="450"/>
      <c r="J708" s="397"/>
      <c r="K708" s="397"/>
      <c r="L708" s="451"/>
      <c r="M708" s="449"/>
    </row>
    <row r="709" spans="1:13" x14ac:dyDescent="0.25">
      <c r="A709" s="397"/>
      <c r="B709" s="397"/>
      <c r="C709" s="397"/>
      <c r="D709" s="397"/>
      <c r="E709" s="397"/>
      <c r="F709" s="397"/>
      <c r="G709" s="397"/>
      <c r="H709" s="397"/>
      <c r="I709" s="450"/>
      <c r="J709" s="397"/>
      <c r="K709" s="397"/>
      <c r="L709" s="451"/>
      <c r="M709" s="449"/>
    </row>
    <row r="710" spans="1:13" x14ac:dyDescent="0.25">
      <c r="A710" s="397"/>
      <c r="B710" s="397"/>
      <c r="C710" s="397"/>
      <c r="D710" s="397"/>
      <c r="E710" s="397"/>
      <c r="F710" s="397"/>
      <c r="G710" s="397"/>
      <c r="H710" s="397"/>
      <c r="I710" s="450"/>
      <c r="J710" s="397"/>
      <c r="K710" s="397"/>
      <c r="L710" s="451"/>
      <c r="M710" s="449"/>
    </row>
    <row r="711" spans="1:13" x14ac:dyDescent="0.25">
      <c r="A711" s="397"/>
      <c r="B711" s="397"/>
      <c r="C711" s="397"/>
      <c r="D711" s="397"/>
      <c r="E711" s="397"/>
      <c r="F711" s="397"/>
      <c r="G711" s="397"/>
      <c r="H711" s="397"/>
      <c r="I711" s="450"/>
      <c r="J711" s="397"/>
      <c r="K711" s="397"/>
      <c r="L711" s="451"/>
      <c r="M711" s="449"/>
    </row>
    <row r="712" spans="1:13" x14ac:dyDescent="0.25">
      <c r="A712" s="397"/>
      <c r="B712" s="397"/>
      <c r="C712" s="397"/>
      <c r="D712" s="397"/>
      <c r="E712" s="397"/>
      <c r="F712" s="397"/>
      <c r="G712" s="397"/>
      <c r="H712" s="397"/>
      <c r="I712" s="450"/>
      <c r="J712" s="397"/>
      <c r="K712" s="397"/>
      <c r="L712" s="451"/>
      <c r="M712" s="449"/>
    </row>
    <row r="713" spans="1:13" x14ac:dyDescent="0.25">
      <c r="A713" s="397"/>
      <c r="B713" s="397"/>
      <c r="C713" s="397"/>
      <c r="D713" s="397"/>
      <c r="E713" s="397"/>
      <c r="F713" s="397"/>
      <c r="G713" s="397"/>
      <c r="H713" s="397"/>
      <c r="I713" s="450"/>
      <c r="J713" s="397"/>
      <c r="K713" s="397"/>
      <c r="L713" s="451"/>
      <c r="M713" s="449"/>
    </row>
    <row r="714" spans="1:13" x14ac:dyDescent="0.25">
      <c r="A714" s="397"/>
      <c r="B714" s="397"/>
      <c r="C714" s="397"/>
      <c r="D714" s="397"/>
      <c r="E714" s="397"/>
      <c r="F714" s="397"/>
      <c r="G714" s="397"/>
      <c r="H714" s="397"/>
      <c r="I714" s="450"/>
      <c r="J714" s="397"/>
      <c r="K714" s="397"/>
      <c r="L714" s="451"/>
      <c r="M714" s="449"/>
    </row>
    <row r="715" spans="1:13" x14ac:dyDescent="0.25">
      <c r="A715" s="397"/>
      <c r="B715" s="397"/>
      <c r="C715" s="397"/>
      <c r="D715" s="397"/>
      <c r="E715" s="397"/>
      <c r="F715" s="397"/>
      <c r="G715" s="397"/>
      <c r="H715" s="397"/>
      <c r="I715" s="450"/>
      <c r="J715" s="397"/>
      <c r="K715" s="397"/>
      <c r="L715" s="451"/>
      <c r="M715" s="449"/>
    </row>
    <row r="716" spans="1:13" x14ac:dyDescent="0.25">
      <c r="A716" s="397"/>
      <c r="B716" s="397"/>
      <c r="C716" s="397"/>
      <c r="D716" s="397"/>
      <c r="E716" s="397"/>
      <c r="F716" s="397"/>
      <c r="G716" s="397"/>
      <c r="H716" s="397"/>
      <c r="I716" s="450"/>
      <c r="J716" s="397"/>
      <c r="K716" s="397"/>
      <c r="L716" s="451"/>
      <c r="M716" s="449"/>
    </row>
    <row r="717" spans="1:13" x14ac:dyDescent="0.25">
      <c r="A717" s="397"/>
      <c r="B717" s="397"/>
      <c r="C717" s="397"/>
      <c r="D717" s="397"/>
      <c r="E717" s="397"/>
      <c r="F717" s="397"/>
      <c r="G717" s="397"/>
      <c r="H717" s="397"/>
      <c r="I717" s="450"/>
      <c r="J717" s="397"/>
      <c r="K717" s="397"/>
      <c r="L717" s="451"/>
      <c r="M717" s="449"/>
    </row>
    <row r="718" spans="1:13" x14ac:dyDescent="0.25">
      <c r="A718" s="397"/>
      <c r="B718" s="397"/>
      <c r="C718" s="397"/>
      <c r="D718" s="397"/>
      <c r="E718" s="397"/>
      <c r="F718" s="397"/>
      <c r="G718" s="397"/>
      <c r="H718" s="397"/>
      <c r="I718" s="450"/>
      <c r="J718" s="397"/>
      <c r="K718" s="397"/>
      <c r="L718" s="451"/>
      <c r="M718" s="449"/>
    </row>
    <row r="719" spans="1:13" x14ac:dyDescent="0.25">
      <c r="A719" s="397"/>
      <c r="B719" s="397"/>
      <c r="C719" s="397"/>
      <c r="D719" s="397"/>
      <c r="E719" s="397"/>
      <c r="F719" s="397"/>
      <c r="G719" s="397"/>
      <c r="H719" s="397"/>
      <c r="I719" s="450"/>
      <c r="J719" s="397"/>
      <c r="K719" s="397"/>
      <c r="L719" s="451"/>
      <c r="M719" s="449"/>
    </row>
    <row r="720" spans="1:13" x14ac:dyDescent="0.25">
      <c r="A720" s="397"/>
      <c r="B720" s="397"/>
      <c r="C720" s="397"/>
      <c r="D720" s="397"/>
      <c r="E720" s="397"/>
      <c r="F720" s="397"/>
      <c r="G720" s="397"/>
      <c r="H720" s="397"/>
      <c r="I720" s="450"/>
      <c r="J720" s="397"/>
      <c r="K720" s="397"/>
      <c r="L720" s="451"/>
      <c r="M720" s="449"/>
    </row>
    <row r="721" spans="1:13" x14ac:dyDescent="0.25">
      <c r="A721" s="397"/>
      <c r="B721" s="397"/>
      <c r="C721" s="397"/>
      <c r="D721" s="397"/>
      <c r="E721" s="397"/>
      <c r="F721" s="397"/>
      <c r="G721" s="397"/>
      <c r="H721" s="397"/>
      <c r="I721" s="450"/>
      <c r="J721" s="397"/>
      <c r="K721" s="397"/>
      <c r="L721" s="451"/>
      <c r="M721" s="449"/>
    </row>
    <row r="722" spans="1:13" x14ac:dyDescent="0.25">
      <c r="A722" s="397"/>
      <c r="B722" s="397"/>
      <c r="C722" s="397"/>
      <c r="D722" s="397"/>
      <c r="E722" s="397"/>
      <c r="F722" s="397"/>
      <c r="G722" s="397"/>
      <c r="H722" s="397"/>
      <c r="I722" s="450"/>
      <c r="J722" s="397"/>
      <c r="K722" s="397"/>
      <c r="L722" s="451"/>
      <c r="M722" s="449"/>
    </row>
    <row r="723" spans="1:13" x14ac:dyDescent="0.25">
      <c r="A723" s="397"/>
      <c r="B723" s="397"/>
      <c r="C723" s="397"/>
      <c r="D723" s="397"/>
      <c r="E723" s="397"/>
      <c r="F723" s="397"/>
      <c r="G723" s="397"/>
      <c r="H723" s="397"/>
      <c r="I723" s="450"/>
      <c r="J723" s="397"/>
      <c r="K723" s="397"/>
      <c r="L723" s="451"/>
      <c r="M723" s="449"/>
    </row>
    <row r="724" spans="1:13" x14ac:dyDescent="0.25">
      <c r="A724" s="397"/>
      <c r="B724" s="397"/>
      <c r="C724" s="397"/>
      <c r="D724" s="397"/>
      <c r="E724" s="397"/>
      <c r="F724" s="397"/>
      <c r="G724" s="397"/>
      <c r="H724" s="397"/>
      <c r="I724" s="450"/>
      <c r="J724" s="397"/>
      <c r="K724" s="397"/>
      <c r="L724" s="451"/>
      <c r="M724" s="449"/>
    </row>
    <row r="725" spans="1:13" x14ac:dyDescent="0.25">
      <c r="A725" s="397"/>
      <c r="B725" s="397"/>
      <c r="C725" s="397"/>
      <c r="D725" s="397"/>
      <c r="E725" s="397"/>
      <c r="F725" s="397"/>
      <c r="G725" s="397"/>
      <c r="H725" s="397"/>
      <c r="I725" s="450"/>
      <c r="J725" s="397"/>
      <c r="K725" s="397"/>
      <c r="L725" s="451"/>
      <c r="M725" s="449"/>
    </row>
    <row r="726" spans="1:13" x14ac:dyDescent="0.25">
      <c r="A726" s="397"/>
      <c r="B726" s="397"/>
      <c r="C726" s="397"/>
      <c r="D726" s="397"/>
      <c r="E726" s="397"/>
      <c r="F726" s="397"/>
      <c r="G726" s="397"/>
      <c r="H726" s="397"/>
      <c r="I726" s="450"/>
      <c r="J726" s="397"/>
      <c r="K726" s="397"/>
      <c r="L726" s="451"/>
      <c r="M726" s="449"/>
    </row>
    <row r="727" spans="1:13" x14ac:dyDescent="0.25">
      <c r="A727" s="397"/>
      <c r="B727" s="397"/>
      <c r="C727" s="397"/>
      <c r="D727" s="397"/>
      <c r="E727" s="397"/>
      <c r="F727" s="397"/>
      <c r="G727" s="397"/>
      <c r="H727" s="397"/>
      <c r="I727" s="450"/>
      <c r="J727" s="397"/>
      <c r="K727" s="397"/>
      <c r="L727" s="451"/>
      <c r="M727" s="449"/>
    </row>
    <row r="728" spans="1:13" x14ac:dyDescent="0.25">
      <c r="A728" s="397"/>
      <c r="B728" s="397"/>
      <c r="C728" s="397"/>
      <c r="D728" s="397"/>
      <c r="E728" s="397"/>
      <c r="F728" s="397"/>
      <c r="G728" s="397"/>
      <c r="H728" s="397"/>
      <c r="I728" s="450"/>
      <c r="J728" s="397"/>
      <c r="K728" s="397"/>
      <c r="L728" s="451"/>
      <c r="M728" s="449"/>
    </row>
    <row r="729" spans="1:13" x14ac:dyDescent="0.25">
      <c r="A729" s="397"/>
      <c r="B729" s="397"/>
      <c r="C729" s="397"/>
      <c r="D729" s="397"/>
      <c r="E729" s="397"/>
      <c r="F729" s="397"/>
      <c r="G729" s="397"/>
      <c r="H729" s="397"/>
      <c r="I729" s="450"/>
      <c r="J729" s="397"/>
      <c r="K729" s="397"/>
      <c r="L729" s="451"/>
      <c r="M729" s="449"/>
    </row>
    <row r="730" spans="1:13" x14ac:dyDescent="0.25">
      <c r="A730" s="397"/>
      <c r="B730" s="397"/>
      <c r="C730" s="397"/>
      <c r="D730" s="397"/>
      <c r="E730" s="397"/>
      <c r="F730" s="397"/>
      <c r="G730" s="397"/>
      <c r="H730" s="397"/>
      <c r="I730" s="450"/>
      <c r="J730" s="397"/>
      <c r="K730" s="397"/>
      <c r="L730" s="451"/>
      <c r="M730" s="449"/>
    </row>
    <row r="731" spans="1:13" x14ac:dyDescent="0.25">
      <c r="A731" s="397"/>
      <c r="B731" s="397"/>
      <c r="C731" s="397"/>
      <c r="D731" s="397"/>
      <c r="E731" s="397"/>
      <c r="F731" s="397"/>
      <c r="G731" s="397"/>
      <c r="H731" s="397"/>
      <c r="I731" s="450"/>
      <c r="J731" s="397"/>
      <c r="K731" s="397"/>
      <c r="L731" s="451"/>
      <c r="M731" s="449"/>
    </row>
    <row r="732" spans="1:13" x14ac:dyDescent="0.25">
      <c r="A732" s="397"/>
      <c r="B732" s="397"/>
      <c r="C732" s="397"/>
      <c r="D732" s="397"/>
      <c r="E732" s="397"/>
      <c r="F732" s="397"/>
      <c r="G732" s="397"/>
      <c r="H732" s="397"/>
      <c r="I732" s="450"/>
      <c r="J732" s="397"/>
      <c r="K732" s="397"/>
      <c r="L732" s="451"/>
      <c r="M732" s="449"/>
    </row>
    <row r="733" spans="1:13" x14ac:dyDescent="0.25">
      <c r="A733" s="397"/>
      <c r="B733" s="397"/>
      <c r="C733" s="397"/>
      <c r="D733" s="397"/>
      <c r="E733" s="397"/>
      <c r="F733" s="397"/>
      <c r="G733" s="397"/>
      <c r="H733" s="397"/>
      <c r="I733" s="450"/>
      <c r="J733" s="397"/>
      <c r="K733" s="397"/>
      <c r="L733" s="451"/>
      <c r="M733" s="449"/>
    </row>
    <row r="734" spans="1:13" x14ac:dyDescent="0.25">
      <c r="A734" s="397"/>
      <c r="B734" s="397"/>
      <c r="C734" s="397"/>
      <c r="D734" s="397"/>
      <c r="E734" s="397"/>
      <c r="F734" s="397"/>
      <c r="G734" s="397"/>
      <c r="H734" s="397"/>
      <c r="I734" s="450"/>
      <c r="J734" s="397"/>
      <c r="K734" s="397"/>
      <c r="L734" s="451"/>
      <c r="M734" s="449"/>
    </row>
    <row r="735" spans="1:13" x14ac:dyDescent="0.25">
      <c r="A735" s="397"/>
      <c r="B735" s="397"/>
      <c r="C735" s="397"/>
      <c r="D735" s="397"/>
      <c r="E735" s="397"/>
      <c r="F735" s="397"/>
      <c r="G735" s="397"/>
      <c r="H735" s="397"/>
      <c r="I735" s="450"/>
      <c r="J735" s="397"/>
      <c r="K735" s="397"/>
      <c r="L735" s="451"/>
      <c r="M735" s="449"/>
    </row>
    <row r="736" spans="1:13" x14ac:dyDescent="0.25">
      <c r="A736" s="397"/>
      <c r="B736" s="397"/>
      <c r="C736" s="397"/>
      <c r="D736" s="397"/>
      <c r="E736" s="397"/>
      <c r="F736" s="397"/>
      <c r="G736" s="397"/>
      <c r="H736" s="397"/>
      <c r="I736" s="450"/>
      <c r="J736" s="397"/>
      <c r="K736" s="397"/>
      <c r="L736" s="451"/>
      <c r="M736" s="449"/>
    </row>
    <row r="737" spans="1:13" x14ac:dyDescent="0.25">
      <c r="A737" s="397"/>
      <c r="B737" s="397"/>
      <c r="C737" s="397"/>
      <c r="D737" s="397"/>
      <c r="E737" s="397"/>
      <c r="F737" s="397"/>
      <c r="G737" s="397"/>
      <c r="H737" s="397"/>
      <c r="I737" s="450"/>
      <c r="J737" s="397"/>
      <c r="K737" s="397"/>
      <c r="L737" s="451"/>
      <c r="M737" s="449"/>
    </row>
    <row r="738" spans="1:13" x14ac:dyDescent="0.25">
      <c r="A738" s="397"/>
      <c r="B738" s="397"/>
      <c r="C738" s="397"/>
      <c r="D738" s="397"/>
      <c r="E738" s="397"/>
      <c r="F738" s="397"/>
      <c r="G738" s="397"/>
      <c r="H738" s="397"/>
      <c r="I738" s="450"/>
      <c r="J738" s="397"/>
      <c r="K738" s="397"/>
      <c r="L738" s="451"/>
      <c r="M738" s="449"/>
    </row>
    <row r="739" spans="1:13" x14ac:dyDescent="0.25">
      <c r="A739" s="397"/>
      <c r="B739" s="397"/>
      <c r="C739" s="397"/>
      <c r="D739" s="397"/>
      <c r="E739" s="397"/>
      <c r="F739" s="397"/>
      <c r="G739" s="397"/>
      <c r="H739" s="397"/>
      <c r="I739" s="450"/>
      <c r="J739" s="397"/>
      <c r="K739" s="397"/>
      <c r="L739" s="451"/>
      <c r="M739" s="449"/>
    </row>
    <row r="740" spans="1:13" x14ac:dyDescent="0.25">
      <c r="A740" s="397"/>
      <c r="B740" s="397"/>
      <c r="C740" s="397"/>
      <c r="D740" s="397"/>
      <c r="E740" s="397"/>
      <c r="F740" s="397"/>
      <c r="G740" s="397"/>
      <c r="H740" s="397"/>
      <c r="I740" s="450"/>
      <c r="J740" s="397"/>
      <c r="K740" s="397"/>
      <c r="L740" s="451"/>
      <c r="M740" s="449"/>
    </row>
    <row r="741" spans="1:13" x14ac:dyDescent="0.25">
      <c r="A741" s="397"/>
      <c r="B741" s="397"/>
      <c r="C741" s="397"/>
      <c r="D741" s="397"/>
      <c r="E741" s="397"/>
      <c r="F741" s="397"/>
      <c r="G741" s="397"/>
      <c r="H741" s="397"/>
      <c r="I741" s="450"/>
      <c r="J741" s="397"/>
      <c r="K741" s="397"/>
      <c r="L741" s="451"/>
      <c r="M741" s="449"/>
    </row>
    <row r="742" spans="1:13" x14ac:dyDescent="0.25">
      <c r="A742" s="397"/>
      <c r="B742" s="397"/>
      <c r="C742" s="397"/>
      <c r="D742" s="397"/>
      <c r="E742" s="397"/>
      <c r="F742" s="397"/>
      <c r="G742" s="397"/>
      <c r="H742" s="397"/>
      <c r="I742" s="450"/>
      <c r="J742" s="397"/>
      <c r="K742" s="397"/>
      <c r="L742" s="451"/>
      <c r="M742" s="449"/>
    </row>
    <row r="743" spans="1:13" x14ac:dyDescent="0.25">
      <c r="A743" s="397"/>
      <c r="B743" s="397"/>
      <c r="C743" s="397"/>
      <c r="D743" s="397"/>
      <c r="E743" s="397"/>
      <c r="F743" s="397"/>
      <c r="G743" s="397"/>
      <c r="H743" s="397"/>
      <c r="I743" s="450"/>
      <c r="J743" s="397"/>
      <c r="K743" s="397"/>
      <c r="L743" s="451"/>
      <c r="M743" s="449"/>
    </row>
    <row r="744" spans="1:13" x14ac:dyDescent="0.25">
      <c r="A744" s="397"/>
      <c r="B744" s="397"/>
      <c r="C744" s="397"/>
      <c r="D744" s="397"/>
      <c r="E744" s="397"/>
      <c r="F744" s="397"/>
      <c r="G744" s="397"/>
      <c r="H744" s="397"/>
      <c r="I744" s="450"/>
      <c r="J744" s="397"/>
      <c r="K744" s="397"/>
      <c r="L744" s="451"/>
      <c r="M744" s="449"/>
    </row>
    <row r="745" spans="1:13" x14ac:dyDescent="0.25">
      <c r="A745" s="397"/>
      <c r="B745" s="397"/>
      <c r="C745" s="397"/>
      <c r="D745" s="397"/>
      <c r="E745" s="397"/>
      <c r="F745" s="397"/>
      <c r="G745" s="397"/>
      <c r="H745" s="397"/>
      <c r="I745" s="450"/>
      <c r="J745" s="397"/>
      <c r="K745" s="397"/>
      <c r="L745" s="451"/>
      <c r="M745" s="449"/>
    </row>
    <row r="746" spans="1:13" x14ac:dyDescent="0.25">
      <c r="A746" s="397"/>
      <c r="B746" s="397"/>
      <c r="C746" s="397"/>
      <c r="D746" s="397"/>
      <c r="E746" s="397"/>
      <c r="F746" s="397"/>
      <c r="G746" s="397"/>
      <c r="H746" s="397"/>
      <c r="I746" s="450"/>
      <c r="J746" s="397"/>
      <c r="K746" s="397"/>
      <c r="L746" s="451"/>
      <c r="M746" s="449"/>
    </row>
    <row r="747" spans="1:13" x14ac:dyDescent="0.25">
      <c r="A747" s="397"/>
      <c r="B747" s="397"/>
      <c r="C747" s="397"/>
      <c r="D747" s="397"/>
      <c r="E747" s="397"/>
      <c r="F747" s="397"/>
      <c r="G747" s="397"/>
      <c r="H747" s="397"/>
      <c r="I747" s="450"/>
      <c r="J747" s="397"/>
      <c r="K747" s="397"/>
      <c r="L747" s="451"/>
      <c r="M747" s="449"/>
    </row>
    <row r="748" spans="1:13" x14ac:dyDescent="0.25">
      <c r="A748" s="397"/>
      <c r="B748" s="397"/>
      <c r="C748" s="397"/>
      <c r="D748" s="397"/>
      <c r="E748" s="397"/>
      <c r="F748" s="397"/>
      <c r="G748" s="397"/>
      <c r="H748" s="397"/>
      <c r="I748" s="450"/>
      <c r="J748" s="397"/>
      <c r="K748" s="397"/>
      <c r="L748" s="451"/>
      <c r="M748" s="449"/>
    </row>
    <row r="749" spans="1:13" x14ac:dyDescent="0.25">
      <c r="A749" s="397"/>
      <c r="B749" s="397"/>
      <c r="C749" s="397"/>
      <c r="D749" s="397"/>
      <c r="E749" s="397"/>
      <c r="F749" s="397"/>
      <c r="G749" s="397"/>
      <c r="H749" s="397"/>
      <c r="I749" s="450"/>
      <c r="J749" s="397"/>
      <c r="K749" s="397"/>
      <c r="L749" s="451"/>
      <c r="M749" s="449"/>
    </row>
    <row r="750" spans="1:13" x14ac:dyDescent="0.25">
      <c r="A750" s="397"/>
      <c r="B750" s="397"/>
      <c r="C750" s="397"/>
      <c r="D750" s="397"/>
      <c r="E750" s="397"/>
      <c r="F750" s="397"/>
      <c r="G750" s="397"/>
      <c r="H750" s="397"/>
      <c r="I750" s="450"/>
      <c r="J750" s="397"/>
      <c r="K750" s="397"/>
      <c r="L750" s="451"/>
      <c r="M750" s="449"/>
    </row>
    <row r="751" spans="1:13" x14ac:dyDescent="0.25">
      <c r="A751" s="397"/>
      <c r="B751" s="397"/>
      <c r="C751" s="397"/>
      <c r="D751" s="397"/>
      <c r="E751" s="397"/>
      <c r="F751" s="397"/>
      <c r="G751" s="397"/>
      <c r="H751" s="397"/>
      <c r="I751" s="450"/>
      <c r="J751" s="397"/>
      <c r="K751" s="397"/>
      <c r="L751" s="451"/>
      <c r="M751" s="449"/>
    </row>
    <row r="752" spans="1:13" x14ac:dyDescent="0.25">
      <c r="A752" s="397"/>
      <c r="B752" s="397"/>
      <c r="C752" s="397"/>
      <c r="D752" s="397"/>
      <c r="E752" s="397"/>
      <c r="F752" s="397"/>
      <c r="G752" s="397"/>
      <c r="H752" s="397"/>
      <c r="I752" s="450"/>
      <c r="J752" s="397"/>
      <c r="K752" s="397"/>
      <c r="L752" s="451"/>
      <c r="M752" s="449"/>
    </row>
    <row r="753" spans="1:13" x14ac:dyDescent="0.25">
      <c r="A753" s="397"/>
      <c r="B753" s="397"/>
      <c r="C753" s="397"/>
      <c r="D753" s="397"/>
      <c r="E753" s="397"/>
      <c r="F753" s="397"/>
      <c r="G753" s="397"/>
      <c r="H753" s="397"/>
      <c r="I753" s="450"/>
      <c r="J753" s="397"/>
      <c r="K753" s="397"/>
      <c r="L753" s="451"/>
      <c r="M753" s="449"/>
    </row>
    <row r="754" spans="1:13" x14ac:dyDescent="0.25">
      <c r="A754" s="397"/>
      <c r="B754" s="397"/>
      <c r="C754" s="397"/>
      <c r="D754" s="397"/>
      <c r="E754" s="397"/>
      <c r="F754" s="397"/>
      <c r="G754" s="397"/>
      <c r="H754" s="397"/>
      <c r="I754" s="450"/>
      <c r="J754" s="397"/>
      <c r="K754" s="397"/>
      <c r="L754" s="451"/>
      <c r="M754" s="449"/>
    </row>
    <row r="755" spans="1:13" x14ac:dyDescent="0.25">
      <c r="A755" s="397"/>
      <c r="B755" s="397"/>
      <c r="C755" s="397"/>
      <c r="D755" s="397"/>
      <c r="E755" s="397"/>
      <c r="F755" s="397"/>
      <c r="G755" s="397"/>
      <c r="H755" s="397"/>
      <c r="I755" s="450"/>
      <c r="J755" s="397"/>
      <c r="K755" s="397"/>
      <c r="L755" s="451"/>
      <c r="M755" s="449"/>
    </row>
    <row r="756" spans="1:13" x14ac:dyDescent="0.25">
      <c r="A756" s="397"/>
      <c r="B756" s="397"/>
      <c r="C756" s="397"/>
      <c r="D756" s="397"/>
      <c r="E756" s="397"/>
      <c r="F756" s="397"/>
      <c r="G756" s="397"/>
      <c r="H756" s="397"/>
      <c r="I756" s="450"/>
      <c r="J756" s="397"/>
      <c r="K756" s="397"/>
      <c r="L756" s="451"/>
      <c r="M756" s="449"/>
    </row>
    <row r="757" spans="1:13" x14ac:dyDescent="0.25">
      <c r="A757" s="397"/>
      <c r="B757" s="397"/>
      <c r="C757" s="397"/>
      <c r="D757" s="397"/>
      <c r="E757" s="397"/>
      <c r="F757" s="397"/>
      <c r="G757" s="397"/>
      <c r="H757" s="397"/>
      <c r="I757" s="450"/>
      <c r="J757" s="397"/>
      <c r="K757" s="397"/>
      <c r="L757" s="451"/>
      <c r="M757" s="449"/>
    </row>
    <row r="758" spans="1:13" x14ac:dyDescent="0.25">
      <c r="A758" s="397"/>
      <c r="B758" s="397"/>
      <c r="C758" s="397"/>
      <c r="D758" s="397"/>
      <c r="E758" s="397"/>
      <c r="F758" s="397"/>
      <c r="G758" s="397"/>
      <c r="H758" s="397"/>
      <c r="I758" s="450"/>
      <c r="J758" s="397"/>
      <c r="K758" s="397"/>
      <c r="L758" s="451"/>
      <c r="M758" s="449"/>
    </row>
    <row r="759" spans="1:13" x14ac:dyDescent="0.25">
      <c r="A759" s="397"/>
      <c r="B759" s="397"/>
      <c r="C759" s="397"/>
      <c r="D759" s="397"/>
      <c r="E759" s="397"/>
      <c r="F759" s="397"/>
      <c r="G759" s="397"/>
      <c r="H759" s="397"/>
      <c r="I759" s="450"/>
      <c r="J759" s="397"/>
      <c r="K759" s="397"/>
      <c r="L759" s="451"/>
      <c r="M759" s="449"/>
    </row>
    <row r="760" spans="1:13" x14ac:dyDescent="0.25">
      <c r="A760" s="397"/>
      <c r="B760" s="397"/>
      <c r="C760" s="397"/>
      <c r="D760" s="397"/>
      <c r="E760" s="397"/>
      <c r="F760" s="397"/>
      <c r="G760" s="397"/>
      <c r="H760" s="397"/>
      <c r="I760" s="450"/>
      <c r="J760" s="397"/>
      <c r="K760" s="397"/>
      <c r="L760" s="451"/>
      <c r="M760" s="449"/>
    </row>
    <row r="761" spans="1:13" x14ac:dyDescent="0.25">
      <c r="A761" s="397"/>
      <c r="B761" s="397"/>
      <c r="C761" s="397"/>
      <c r="D761" s="397"/>
      <c r="E761" s="397"/>
      <c r="F761" s="397"/>
      <c r="G761" s="397"/>
      <c r="H761" s="397"/>
      <c r="I761" s="450"/>
      <c r="J761" s="397"/>
      <c r="K761" s="397"/>
      <c r="L761" s="451"/>
      <c r="M761" s="449"/>
    </row>
    <row r="762" spans="1:13" x14ac:dyDescent="0.25">
      <c r="A762" s="397"/>
      <c r="B762" s="397"/>
      <c r="C762" s="397"/>
      <c r="D762" s="397"/>
      <c r="E762" s="397"/>
      <c r="F762" s="397"/>
      <c r="G762" s="397"/>
      <c r="H762" s="397"/>
      <c r="I762" s="450"/>
      <c r="J762" s="397"/>
      <c r="K762" s="397"/>
      <c r="L762" s="451"/>
      <c r="M762" s="449"/>
    </row>
    <row r="763" spans="1:13" x14ac:dyDescent="0.25">
      <c r="A763" s="397"/>
      <c r="B763" s="397"/>
      <c r="C763" s="397"/>
      <c r="D763" s="397"/>
      <c r="E763" s="397"/>
      <c r="F763" s="397"/>
      <c r="G763" s="397"/>
      <c r="H763" s="397"/>
      <c r="I763" s="450"/>
      <c r="J763" s="397"/>
      <c r="K763" s="397"/>
      <c r="L763" s="451"/>
      <c r="M763" s="449"/>
    </row>
    <row r="764" spans="1:13" x14ac:dyDescent="0.25">
      <c r="A764" s="397"/>
      <c r="B764" s="397"/>
      <c r="C764" s="397"/>
      <c r="D764" s="397"/>
      <c r="E764" s="397"/>
      <c r="F764" s="397"/>
      <c r="G764" s="397"/>
      <c r="H764" s="397"/>
      <c r="I764" s="450"/>
      <c r="J764" s="397"/>
      <c r="K764" s="397"/>
      <c r="L764" s="451"/>
      <c r="M764" s="449"/>
    </row>
    <row r="765" spans="1:13" x14ac:dyDescent="0.25">
      <c r="A765" s="397"/>
      <c r="B765" s="397"/>
      <c r="C765" s="397"/>
      <c r="D765" s="397"/>
      <c r="E765" s="397"/>
      <c r="F765" s="397"/>
      <c r="G765" s="397"/>
      <c r="H765" s="397"/>
      <c r="I765" s="450"/>
      <c r="J765" s="397"/>
      <c r="K765" s="397"/>
      <c r="L765" s="451"/>
      <c r="M765" s="449"/>
    </row>
    <row r="766" spans="1:13" x14ac:dyDescent="0.25">
      <c r="A766" s="397"/>
      <c r="B766" s="397"/>
      <c r="C766" s="397"/>
      <c r="D766" s="397"/>
      <c r="E766" s="397"/>
      <c r="F766" s="397"/>
      <c r="G766" s="397"/>
      <c r="H766" s="397"/>
      <c r="I766" s="450"/>
      <c r="J766" s="397"/>
      <c r="K766" s="397"/>
      <c r="L766" s="451"/>
      <c r="M766" s="449"/>
    </row>
    <row r="767" spans="1:13" x14ac:dyDescent="0.25">
      <c r="A767" s="397"/>
      <c r="B767" s="397"/>
      <c r="C767" s="397"/>
      <c r="D767" s="397"/>
      <c r="E767" s="397"/>
      <c r="F767" s="397"/>
      <c r="G767" s="397"/>
      <c r="H767" s="397"/>
      <c r="I767" s="450"/>
      <c r="J767" s="397"/>
      <c r="K767" s="397"/>
      <c r="L767" s="451"/>
      <c r="M767" s="449"/>
    </row>
    <row r="768" spans="1:13" x14ac:dyDescent="0.25">
      <c r="A768" s="397"/>
      <c r="B768" s="397"/>
      <c r="C768" s="397"/>
      <c r="D768" s="397"/>
      <c r="E768" s="397"/>
      <c r="F768" s="397"/>
      <c r="G768" s="397"/>
      <c r="H768" s="397"/>
      <c r="I768" s="450"/>
      <c r="J768" s="397"/>
      <c r="K768" s="397"/>
      <c r="L768" s="451"/>
      <c r="M768" s="449"/>
    </row>
    <row r="769" spans="1:13" x14ac:dyDescent="0.25">
      <c r="A769" s="397"/>
      <c r="B769" s="397"/>
      <c r="C769" s="397"/>
      <c r="D769" s="397"/>
      <c r="E769" s="397"/>
      <c r="F769" s="397"/>
      <c r="G769" s="397"/>
      <c r="H769" s="397"/>
      <c r="I769" s="450"/>
      <c r="J769" s="397"/>
      <c r="K769" s="397"/>
      <c r="L769" s="451"/>
      <c r="M769" s="449"/>
    </row>
    <row r="770" spans="1:13" x14ac:dyDescent="0.25">
      <c r="A770" s="397"/>
      <c r="B770" s="397"/>
      <c r="C770" s="397"/>
      <c r="D770" s="397"/>
      <c r="E770" s="397"/>
      <c r="F770" s="397"/>
      <c r="G770" s="397"/>
      <c r="H770" s="397"/>
      <c r="I770" s="450"/>
      <c r="J770" s="397"/>
      <c r="K770" s="397"/>
      <c r="L770" s="451"/>
      <c r="M770" s="449"/>
    </row>
    <row r="771" spans="1:13" x14ac:dyDescent="0.25">
      <c r="A771" s="397"/>
      <c r="B771" s="397"/>
      <c r="C771" s="397"/>
      <c r="D771" s="397"/>
      <c r="E771" s="397"/>
      <c r="F771" s="397"/>
      <c r="G771" s="397"/>
      <c r="H771" s="397"/>
      <c r="I771" s="450"/>
      <c r="J771" s="397"/>
      <c r="K771" s="397"/>
      <c r="L771" s="451"/>
      <c r="M771" s="449"/>
    </row>
    <row r="772" spans="1:13" x14ac:dyDescent="0.25">
      <c r="A772" s="397"/>
      <c r="B772" s="397"/>
      <c r="C772" s="397"/>
      <c r="D772" s="397"/>
      <c r="E772" s="397"/>
      <c r="F772" s="397"/>
      <c r="G772" s="397"/>
      <c r="H772" s="397"/>
      <c r="I772" s="450"/>
      <c r="J772" s="397"/>
      <c r="K772" s="397"/>
      <c r="L772" s="451"/>
      <c r="M772" s="449"/>
    </row>
    <row r="773" spans="1:13" x14ac:dyDescent="0.25">
      <c r="A773" s="397"/>
      <c r="B773" s="397"/>
      <c r="C773" s="397"/>
      <c r="D773" s="397"/>
      <c r="E773" s="397"/>
      <c r="F773" s="397"/>
      <c r="G773" s="397"/>
      <c r="H773" s="397"/>
      <c r="I773" s="450"/>
      <c r="J773" s="397"/>
      <c r="K773" s="397"/>
      <c r="L773" s="451"/>
      <c r="M773" s="449"/>
    </row>
    <row r="774" spans="1:13" x14ac:dyDescent="0.25">
      <c r="A774" s="397"/>
      <c r="B774" s="397"/>
      <c r="C774" s="397"/>
      <c r="D774" s="397"/>
      <c r="E774" s="397"/>
      <c r="F774" s="397"/>
      <c r="G774" s="397"/>
      <c r="H774" s="397"/>
      <c r="I774" s="450"/>
      <c r="J774" s="397"/>
      <c r="K774" s="397"/>
      <c r="L774" s="451"/>
      <c r="M774" s="449"/>
    </row>
    <row r="775" spans="1:13" x14ac:dyDescent="0.25">
      <c r="A775" s="397"/>
      <c r="B775" s="397"/>
      <c r="C775" s="397"/>
      <c r="D775" s="397"/>
      <c r="E775" s="397"/>
      <c r="F775" s="397"/>
      <c r="G775" s="397"/>
      <c r="H775" s="397"/>
      <c r="I775" s="450"/>
      <c r="J775" s="397"/>
      <c r="K775" s="397"/>
      <c r="L775" s="451"/>
      <c r="M775" s="449"/>
    </row>
    <row r="776" spans="1:13" x14ac:dyDescent="0.25">
      <c r="A776" s="397"/>
      <c r="B776" s="397"/>
      <c r="C776" s="397"/>
      <c r="D776" s="397"/>
      <c r="E776" s="397"/>
      <c r="F776" s="397"/>
      <c r="G776" s="397"/>
      <c r="H776" s="397"/>
      <c r="I776" s="450"/>
      <c r="J776" s="397"/>
      <c r="K776" s="397"/>
      <c r="L776" s="451"/>
      <c r="M776" s="449"/>
    </row>
    <row r="777" spans="1:13" x14ac:dyDescent="0.25">
      <c r="A777" s="397"/>
      <c r="B777" s="397"/>
      <c r="C777" s="397"/>
      <c r="D777" s="397"/>
      <c r="E777" s="397"/>
      <c r="F777" s="397"/>
      <c r="G777" s="397"/>
      <c r="H777" s="397"/>
      <c r="I777" s="450"/>
      <c r="J777" s="397"/>
      <c r="K777" s="397"/>
      <c r="L777" s="451"/>
      <c r="M777" s="449"/>
    </row>
    <row r="778" spans="1:13" x14ac:dyDescent="0.25">
      <c r="A778" s="397"/>
      <c r="B778" s="397"/>
      <c r="C778" s="397"/>
      <c r="D778" s="397"/>
      <c r="E778" s="397"/>
      <c r="F778" s="397"/>
      <c r="G778" s="397"/>
      <c r="H778" s="397"/>
      <c r="I778" s="450"/>
      <c r="J778" s="397"/>
      <c r="K778" s="397"/>
      <c r="L778" s="451"/>
      <c r="M778" s="449"/>
    </row>
    <row r="779" spans="1:13" x14ac:dyDescent="0.25">
      <c r="A779" s="397"/>
      <c r="B779" s="397"/>
      <c r="C779" s="397"/>
      <c r="D779" s="397"/>
      <c r="E779" s="397"/>
      <c r="F779" s="397"/>
      <c r="G779" s="397"/>
      <c r="H779" s="397"/>
      <c r="I779" s="450"/>
      <c r="J779" s="397"/>
      <c r="K779" s="397"/>
      <c r="L779" s="451"/>
      <c r="M779" s="449"/>
    </row>
    <row r="780" spans="1:13" x14ac:dyDescent="0.25">
      <c r="A780" s="397"/>
      <c r="B780" s="397"/>
      <c r="C780" s="397"/>
      <c r="D780" s="397"/>
      <c r="E780" s="397"/>
      <c r="F780" s="397"/>
      <c r="G780" s="397"/>
      <c r="H780" s="397"/>
      <c r="I780" s="450"/>
      <c r="J780" s="397"/>
      <c r="K780" s="397"/>
      <c r="L780" s="451"/>
      <c r="M780" s="449"/>
    </row>
    <row r="781" spans="1:13" x14ac:dyDescent="0.25">
      <c r="A781" s="397"/>
      <c r="B781" s="397"/>
      <c r="C781" s="397"/>
      <c r="D781" s="397"/>
      <c r="E781" s="397"/>
      <c r="F781" s="397"/>
      <c r="G781" s="397"/>
      <c r="H781" s="397"/>
      <c r="I781" s="450"/>
      <c r="J781" s="397"/>
      <c r="K781" s="397"/>
      <c r="L781" s="451"/>
      <c r="M781" s="449"/>
    </row>
    <row r="782" spans="1:13" x14ac:dyDescent="0.25">
      <c r="A782" s="397"/>
      <c r="B782" s="397"/>
      <c r="C782" s="397"/>
      <c r="D782" s="397"/>
      <c r="E782" s="397"/>
      <c r="F782" s="397"/>
      <c r="G782" s="397"/>
      <c r="H782" s="397"/>
      <c r="I782" s="450"/>
      <c r="J782" s="397"/>
      <c r="K782" s="397"/>
      <c r="L782" s="451"/>
      <c r="M782" s="449"/>
    </row>
    <row r="783" spans="1:13" x14ac:dyDescent="0.25">
      <c r="A783" s="397"/>
      <c r="B783" s="397"/>
      <c r="C783" s="397"/>
      <c r="D783" s="397"/>
      <c r="E783" s="397"/>
      <c r="F783" s="397"/>
      <c r="G783" s="397"/>
      <c r="H783" s="397"/>
      <c r="I783" s="450"/>
      <c r="J783" s="397"/>
      <c r="K783" s="397"/>
      <c r="L783" s="451"/>
      <c r="M783" s="449"/>
    </row>
    <row r="784" spans="1:13" x14ac:dyDescent="0.25">
      <c r="A784" s="397"/>
      <c r="B784" s="397"/>
      <c r="C784" s="397"/>
      <c r="D784" s="397"/>
      <c r="E784" s="397"/>
      <c r="F784" s="397"/>
      <c r="G784" s="397"/>
      <c r="H784" s="397"/>
      <c r="I784" s="450"/>
      <c r="J784" s="397"/>
      <c r="K784" s="397"/>
      <c r="L784" s="451"/>
      <c r="M784" s="449"/>
    </row>
    <row r="785" spans="1:13" x14ac:dyDescent="0.25">
      <c r="A785" s="397"/>
      <c r="B785" s="397"/>
      <c r="C785" s="397"/>
      <c r="D785" s="397"/>
      <c r="E785" s="397"/>
      <c r="F785" s="397"/>
      <c r="G785" s="397"/>
      <c r="H785" s="397"/>
      <c r="I785" s="450"/>
      <c r="J785" s="397"/>
      <c r="K785" s="397"/>
      <c r="L785" s="451"/>
      <c r="M785" s="449"/>
    </row>
    <row r="786" spans="1:13" x14ac:dyDescent="0.25">
      <c r="A786" s="397"/>
      <c r="B786" s="397"/>
      <c r="C786" s="397"/>
      <c r="D786" s="397"/>
      <c r="E786" s="397"/>
      <c r="F786" s="397"/>
      <c r="G786" s="397"/>
      <c r="H786" s="397"/>
      <c r="I786" s="450"/>
      <c r="J786" s="397"/>
      <c r="K786" s="397"/>
      <c r="L786" s="451"/>
      <c r="M786" s="449"/>
    </row>
    <row r="787" spans="1:13" x14ac:dyDescent="0.25">
      <c r="A787" s="397"/>
      <c r="B787" s="397"/>
      <c r="C787" s="397"/>
      <c r="D787" s="397"/>
      <c r="E787" s="397"/>
      <c r="F787" s="397"/>
      <c r="G787" s="397"/>
      <c r="H787" s="397"/>
      <c r="I787" s="450"/>
      <c r="J787" s="397"/>
      <c r="K787" s="397"/>
      <c r="L787" s="451"/>
      <c r="M787" s="449"/>
    </row>
    <row r="788" spans="1:13" x14ac:dyDescent="0.25">
      <c r="A788" s="397"/>
      <c r="B788" s="397"/>
      <c r="C788" s="397"/>
      <c r="D788" s="397"/>
      <c r="E788" s="397"/>
      <c r="F788" s="397"/>
      <c r="G788" s="397"/>
      <c r="H788" s="397"/>
      <c r="I788" s="450"/>
      <c r="J788" s="397"/>
      <c r="K788" s="397"/>
      <c r="L788" s="451"/>
      <c r="M788" s="449"/>
    </row>
    <row r="789" spans="1:13" x14ac:dyDescent="0.25">
      <c r="A789" s="397"/>
      <c r="B789" s="397"/>
      <c r="C789" s="397"/>
      <c r="D789" s="397"/>
      <c r="E789" s="397"/>
      <c r="F789" s="397"/>
      <c r="G789" s="397"/>
      <c r="H789" s="397"/>
      <c r="I789" s="450"/>
      <c r="J789" s="397"/>
      <c r="K789" s="397"/>
      <c r="L789" s="451"/>
      <c r="M789" s="449"/>
    </row>
    <row r="790" spans="1:13" x14ac:dyDescent="0.25">
      <c r="A790" s="397"/>
      <c r="B790" s="397"/>
      <c r="C790" s="397"/>
      <c r="D790" s="397"/>
      <c r="E790" s="397"/>
      <c r="F790" s="397"/>
      <c r="G790" s="397"/>
      <c r="H790" s="397"/>
      <c r="I790" s="450"/>
      <c r="J790" s="397"/>
      <c r="K790" s="397"/>
      <c r="L790" s="451"/>
      <c r="M790" s="449"/>
    </row>
    <row r="791" spans="1:13" x14ac:dyDescent="0.25">
      <c r="A791" s="397"/>
      <c r="B791" s="397"/>
      <c r="C791" s="397"/>
      <c r="D791" s="397"/>
      <c r="E791" s="397"/>
      <c r="F791" s="397"/>
      <c r="G791" s="397"/>
      <c r="H791" s="397"/>
      <c r="I791" s="450"/>
      <c r="J791" s="397"/>
      <c r="K791" s="397"/>
      <c r="L791" s="451"/>
      <c r="M791" s="449"/>
    </row>
    <row r="792" spans="1:13" x14ac:dyDescent="0.25">
      <c r="A792" s="397"/>
      <c r="B792" s="397"/>
      <c r="C792" s="397"/>
      <c r="D792" s="397"/>
      <c r="E792" s="397"/>
      <c r="F792" s="397"/>
      <c r="G792" s="397"/>
      <c r="H792" s="397"/>
      <c r="I792" s="450"/>
      <c r="J792" s="397"/>
      <c r="K792" s="397"/>
      <c r="L792" s="451"/>
      <c r="M792" s="449"/>
    </row>
    <row r="793" spans="1:13" x14ac:dyDescent="0.25">
      <c r="A793" s="397"/>
      <c r="B793" s="397"/>
      <c r="C793" s="397"/>
      <c r="D793" s="397"/>
      <c r="E793" s="397"/>
      <c r="F793" s="397"/>
      <c r="G793" s="397"/>
      <c r="H793" s="397"/>
      <c r="I793" s="450"/>
      <c r="J793" s="397"/>
      <c r="K793" s="397"/>
      <c r="L793" s="451"/>
      <c r="M793" s="449"/>
    </row>
    <row r="794" spans="1:13" x14ac:dyDescent="0.25">
      <c r="A794" s="397"/>
      <c r="B794" s="397"/>
      <c r="C794" s="397"/>
      <c r="D794" s="397"/>
      <c r="E794" s="397"/>
      <c r="F794" s="397"/>
      <c r="G794" s="397"/>
      <c r="H794" s="397"/>
      <c r="I794" s="450"/>
      <c r="J794" s="397"/>
      <c r="K794" s="397"/>
      <c r="L794" s="451"/>
      <c r="M794" s="449"/>
    </row>
    <row r="795" spans="1:13" x14ac:dyDescent="0.25">
      <c r="A795" s="397"/>
      <c r="B795" s="397"/>
      <c r="C795" s="397"/>
      <c r="D795" s="397"/>
      <c r="E795" s="397"/>
      <c r="F795" s="397"/>
      <c r="G795" s="397"/>
      <c r="H795" s="397"/>
      <c r="I795" s="450"/>
      <c r="J795" s="397"/>
      <c r="K795" s="397"/>
      <c r="L795" s="451"/>
      <c r="M795" s="449"/>
    </row>
    <row r="796" spans="1:13" x14ac:dyDescent="0.25">
      <c r="A796" s="397"/>
      <c r="B796" s="397"/>
      <c r="C796" s="397"/>
      <c r="D796" s="397"/>
      <c r="E796" s="397"/>
      <c r="F796" s="397"/>
      <c r="G796" s="397"/>
      <c r="H796" s="397"/>
      <c r="I796" s="450"/>
      <c r="J796" s="397"/>
      <c r="K796" s="397"/>
      <c r="L796" s="451"/>
      <c r="M796" s="449"/>
    </row>
    <row r="797" spans="1:13" x14ac:dyDescent="0.25">
      <c r="A797" s="397"/>
      <c r="B797" s="397"/>
      <c r="C797" s="397"/>
      <c r="D797" s="397"/>
      <c r="E797" s="397"/>
      <c r="F797" s="397"/>
      <c r="G797" s="397"/>
      <c r="H797" s="397"/>
      <c r="I797" s="450"/>
      <c r="J797" s="397"/>
      <c r="K797" s="397"/>
      <c r="L797" s="451"/>
      <c r="M797" s="449"/>
    </row>
    <row r="798" spans="1:13" x14ac:dyDescent="0.25">
      <c r="A798" s="397"/>
      <c r="B798" s="397"/>
      <c r="C798" s="397"/>
      <c r="D798" s="397"/>
      <c r="E798" s="397"/>
      <c r="F798" s="397"/>
      <c r="G798" s="397"/>
      <c r="H798" s="397"/>
      <c r="I798" s="450"/>
      <c r="J798" s="397"/>
      <c r="K798" s="397"/>
      <c r="L798" s="451"/>
      <c r="M798" s="449"/>
    </row>
    <row r="799" spans="1:13" x14ac:dyDescent="0.25">
      <c r="A799" s="397"/>
      <c r="B799" s="397"/>
      <c r="C799" s="397"/>
      <c r="D799" s="397"/>
      <c r="E799" s="397"/>
      <c r="F799" s="397"/>
      <c r="G799" s="397"/>
      <c r="H799" s="397"/>
      <c r="I799" s="450"/>
      <c r="J799" s="397"/>
      <c r="K799" s="397"/>
      <c r="L799" s="451"/>
      <c r="M799" s="449"/>
    </row>
    <row r="800" spans="1:13" x14ac:dyDescent="0.25">
      <c r="A800" s="397"/>
      <c r="B800" s="397"/>
      <c r="C800" s="397"/>
      <c r="D800" s="397"/>
      <c r="E800" s="397"/>
      <c r="F800" s="397"/>
      <c r="G800" s="397"/>
      <c r="H800" s="397"/>
      <c r="I800" s="450"/>
      <c r="J800" s="397"/>
      <c r="K800" s="397"/>
      <c r="L800" s="451"/>
      <c r="M800" s="449"/>
    </row>
    <row r="801" spans="1:13" x14ac:dyDescent="0.25">
      <c r="A801" s="397"/>
      <c r="B801" s="397"/>
      <c r="C801" s="397"/>
      <c r="D801" s="397"/>
      <c r="E801" s="397"/>
      <c r="F801" s="397"/>
      <c r="G801" s="397"/>
      <c r="H801" s="397"/>
      <c r="I801" s="450"/>
      <c r="J801" s="397"/>
      <c r="K801" s="397"/>
      <c r="L801" s="451"/>
      <c r="M801" s="449"/>
    </row>
    <row r="802" spans="1:13" x14ac:dyDescent="0.25">
      <c r="A802" s="397"/>
      <c r="B802" s="397"/>
      <c r="C802" s="397"/>
      <c r="D802" s="397"/>
      <c r="E802" s="397"/>
      <c r="F802" s="397"/>
      <c r="G802" s="397"/>
      <c r="H802" s="397"/>
      <c r="I802" s="450"/>
      <c r="J802" s="397"/>
      <c r="K802" s="397"/>
      <c r="L802" s="451"/>
      <c r="M802" s="449"/>
    </row>
    <row r="803" spans="1:13" x14ac:dyDescent="0.25">
      <c r="A803" s="397"/>
      <c r="B803" s="397"/>
      <c r="C803" s="397"/>
      <c r="D803" s="397"/>
      <c r="E803" s="397"/>
      <c r="F803" s="397"/>
      <c r="G803" s="397"/>
      <c r="H803" s="397"/>
      <c r="I803" s="450"/>
      <c r="J803" s="397"/>
      <c r="K803" s="397"/>
      <c r="L803" s="451"/>
      <c r="M803" s="449"/>
    </row>
    <row r="804" spans="1:13" x14ac:dyDescent="0.25">
      <c r="A804" s="397"/>
      <c r="B804" s="397"/>
      <c r="C804" s="397"/>
      <c r="D804" s="397"/>
      <c r="E804" s="397"/>
      <c r="F804" s="397"/>
      <c r="G804" s="397"/>
      <c r="H804" s="397"/>
      <c r="I804" s="450"/>
      <c r="J804" s="397"/>
      <c r="K804" s="397"/>
      <c r="L804" s="451"/>
      <c r="M804" s="449"/>
    </row>
    <row r="805" spans="1:13" x14ac:dyDescent="0.25">
      <c r="A805" s="397"/>
      <c r="B805" s="397"/>
      <c r="C805" s="397"/>
      <c r="D805" s="397"/>
      <c r="E805" s="397"/>
      <c r="F805" s="397"/>
      <c r="G805" s="397"/>
      <c r="H805" s="397"/>
      <c r="I805" s="450"/>
      <c r="J805" s="397"/>
      <c r="K805" s="397"/>
      <c r="L805" s="451"/>
      <c r="M805" s="449"/>
    </row>
    <row r="806" spans="1:13" x14ac:dyDescent="0.25">
      <c r="A806" s="397"/>
      <c r="B806" s="397"/>
      <c r="C806" s="397"/>
      <c r="D806" s="397"/>
      <c r="E806" s="397"/>
      <c r="F806" s="397"/>
      <c r="G806" s="397"/>
      <c r="H806" s="397"/>
      <c r="I806" s="450"/>
      <c r="J806" s="397"/>
      <c r="K806" s="397"/>
      <c r="L806" s="451"/>
      <c r="M806" s="449"/>
    </row>
    <row r="807" spans="1:13" x14ac:dyDescent="0.25">
      <c r="A807" s="397"/>
      <c r="B807" s="397"/>
      <c r="C807" s="397"/>
      <c r="D807" s="397"/>
      <c r="E807" s="397"/>
      <c r="F807" s="397"/>
      <c r="G807" s="397"/>
      <c r="H807" s="397"/>
      <c r="I807" s="450"/>
      <c r="J807" s="397"/>
      <c r="K807" s="397"/>
      <c r="L807" s="451"/>
      <c r="M807" s="449"/>
    </row>
    <row r="808" spans="1:13" x14ac:dyDescent="0.25">
      <c r="A808" s="397"/>
      <c r="B808" s="397"/>
      <c r="C808" s="397"/>
      <c r="D808" s="397"/>
      <c r="E808" s="397"/>
      <c r="F808" s="397"/>
      <c r="G808" s="397"/>
      <c r="H808" s="397"/>
      <c r="I808" s="450"/>
      <c r="J808" s="397"/>
      <c r="K808" s="397"/>
      <c r="L808" s="451"/>
      <c r="M808" s="449"/>
    </row>
    <row r="809" spans="1:13" x14ac:dyDescent="0.25">
      <c r="A809" s="397"/>
      <c r="B809" s="397"/>
      <c r="C809" s="397"/>
      <c r="D809" s="397"/>
      <c r="E809" s="397"/>
      <c r="F809" s="397"/>
      <c r="G809" s="397"/>
      <c r="H809" s="397"/>
      <c r="I809" s="450"/>
      <c r="J809" s="397"/>
      <c r="K809" s="397"/>
      <c r="L809" s="451"/>
      <c r="M809" s="449"/>
    </row>
    <row r="810" spans="1:13" x14ac:dyDescent="0.25">
      <c r="A810" s="397"/>
      <c r="B810" s="397"/>
      <c r="C810" s="397"/>
      <c r="D810" s="397"/>
      <c r="E810" s="397"/>
      <c r="F810" s="397"/>
      <c r="G810" s="397"/>
      <c r="H810" s="397"/>
      <c r="I810" s="450"/>
      <c r="J810" s="397"/>
      <c r="K810" s="397"/>
      <c r="L810" s="451"/>
      <c r="M810" s="449"/>
    </row>
    <row r="811" spans="1:13" x14ac:dyDescent="0.25">
      <c r="A811" s="397"/>
      <c r="B811" s="397"/>
      <c r="C811" s="397"/>
      <c r="D811" s="397"/>
      <c r="E811" s="397"/>
      <c r="F811" s="397"/>
      <c r="G811" s="397"/>
      <c r="H811" s="397"/>
      <c r="I811" s="450"/>
      <c r="J811" s="397"/>
      <c r="K811" s="397"/>
      <c r="L811" s="451"/>
      <c r="M811" s="449"/>
    </row>
    <row r="812" spans="1:13" x14ac:dyDescent="0.25">
      <c r="A812" s="397"/>
      <c r="B812" s="397"/>
      <c r="C812" s="397"/>
      <c r="D812" s="397"/>
      <c r="E812" s="397"/>
      <c r="F812" s="397"/>
      <c r="G812" s="397"/>
      <c r="H812" s="397"/>
      <c r="I812" s="450"/>
      <c r="J812" s="397"/>
      <c r="K812" s="397"/>
      <c r="L812" s="451"/>
      <c r="M812" s="449"/>
    </row>
    <row r="813" spans="1:13" x14ac:dyDescent="0.25">
      <c r="A813" s="397"/>
      <c r="B813" s="397"/>
      <c r="C813" s="397"/>
      <c r="D813" s="397"/>
      <c r="E813" s="397"/>
      <c r="F813" s="397"/>
      <c r="G813" s="397"/>
      <c r="H813" s="397"/>
      <c r="I813" s="450"/>
      <c r="J813" s="397"/>
      <c r="K813" s="397"/>
      <c r="L813" s="451"/>
      <c r="M813" s="449"/>
    </row>
    <row r="814" spans="1:13" x14ac:dyDescent="0.25">
      <c r="A814" s="397"/>
      <c r="B814" s="397"/>
      <c r="C814" s="397"/>
      <c r="D814" s="397"/>
      <c r="E814" s="397"/>
      <c r="F814" s="397"/>
      <c r="G814" s="397"/>
      <c r="H814" s="397"/>
      <c r="I814" s="450"/>
      <c r="J814" s="397"/>
      <c r="K814" s="397"/>
      <c r="L814" s="451"/>
      <c r="M814" s="449"/>
    </row>
    <row r="815" spans="1:13" x14ac:dyDescent="0.25">
      <c r="A815" s="397"/>
      <c r="B815" s="397"/>
      <c r="C815" s="397"/>
      <c r="D815" s="397"/>
      <c r="E815" s="397"/>
      <c r="F815" s="397"/>
      <c r="G815" s="397"/>
      <c r="H815" s="397"/>
      <c r="I815" s="450"/>
      <c r="J815" s="397"/>
      <c r="K815" s="397"/>
      <c r="L815" s="451"/>
      <c r="M815" s="449"/>
    </row>
    <row r="816" spans="1:13" x14ac:dyDescent="0.25">
      <c r="A816" s="397"/>
      <c r="B816" s="397"/>
      <c r="C816" s="397"/>
      <c r="D816" s="397"/>
      <c r="E816" s="397"/>
      <c r="F816" s="397"/>
      <c r="G816" s="397"/>
      <c r="H816" s="397"/>
      <c r="I816" s="450"/>
      <c r="J816" s="397"/>
      <c r="K816" s="397"/>
      <c r="L816" s="451"/>
      <c r="M816" s="449"/>
    </row>
    <row r="817" spans="1:13" x14ac:dyDescent="0.25">
      <c r="A817" s="397"/>
      <c r="B817" s="397"/>
      <c r="C817" s="397"/>
      <c r="D817" s="397"/>
      <c r="E817" s="397"/>
      <c r="F817" s="397"/>
      <c r="G817" s="397"/>
      <c r="H817" s="397"/>
      <c r="I817" s="450"/>
      <c r="J817" s="397"/>
      <c r="K817" s="397"/>
      <c r="L817" s="451"/>
      <c r="M817" s="449"/>
    </row>
    <row r="818" spans="1:13" x14ac:dyDescent="0.25">
      <c r="A818" s="397"/>
      <c r="B818" s="397"/>
      <c r="C818" s="397"/>
      <c r="D818" s="397"/>
      <c r="E818" s="397"/>
      <c r="F818" s="397"/>
      <c r="G818" s="397"/>
      <c r="H818" s="397"/>
      <c r="I818" s="450"/>
      <c r="J818" s="397"/>
      <c r="K818" s="397"/>
      <c r="L818" s="451"/>
      <c r="M818" s="449"/>
    </row>
    <row r="819" spans="1:13" x14ac:dyDescent="0.25">
      <c r="A819" s="397"/>
      <c r="B819" s="397"/>
      <c r="C819" s="397"/>
      <c r="D819" s="397"/>
      <c r="E819" s="397"/>
      <c r="F819" s="397"/>
      <c r="G819" s="397"/>
      <c r="H819" s="397"/>
      <c r="I819" s="450"/>
      <c r="J819" s="397"/>
      <c r="K819" s="397"/>
      <c r="L819" s="451"/>
      <c r="M819" s="449"/>
    </row>
    <row r="820" spans="1:13" x14ac:dyDescent="0.25">
      <c r="A820" s="397"/>
      <c r="B820" s="397"/>
      <c r="C820" s="397"/>
      <c r="D820" s="397"/>
      <c r="E820" s="397"/>
      <c r="F820" s="397"/>
      <c r="G820" s="397"/>
      <c r="H820" s="397"/>
      <c r="I820" s="450"/>
      <c r="J820" s="397"/>
      <c r="K820" s="397"/>
      <c r="L820" s="451"/>
      <c r="M820" s="449"/>
    </row>
    <row r="821" spans="1:13" x14ac:dyDescent="0.25">
      <c r="A821" s="397"/>
      <c r="B821" s="397"/>
      <c r="C821" s="397"/>
      <c r="D821" s="397"/>
      <c r="E821" s="397"/>
      <c r="F821" s="397"/>
      <c r="G821" s="397"/>
      <c r="H821" s="397"/>
      <c r="I821" s="450"/>
      <c r="J821" s="397"/>
      <c r="K821" s="397"/>
      <c r="L821" s="451"/>
      <c r="M821" s="449"/>
    </row>
    <row r="822" spans="1:13" x14ac:dyDescent="0.25">
      <c r="A822" s="397"/>
      <c r="B822" s="397"/>
      <c r="C822" s="397"/>
      <c r="D822" s="397"/>
      <c r="E822" s="397"/>
      <c r="F822" s="397"/>
      <c r="G822" s="397"/>
      <c r="H822" s="397"/>
      <c r="I822" s="450"/>
      <c r="J822" s="397"/>
      <c r="K822" s="397"/>
      <c r="L822" s="451"/>
      <c r="M822" s="449"/>
    </row>
    <row r="823" spans="1:13" x14ac:dyDescent="0.25">
      <c r="A823" s="397"/>
      <c r="B823" s="397"/>
      <c r="C823" s="397"/>
      <c r="D823" s="397"/>
      <c r="E823" s="397"/>
      <c r="F823" s="397"/>
      <c r="G823" s="397"/>
      <c r="H823" s="397"/>
      <c r="I823" s="450"/>
      <c r="J823" s="397"/>
      <c r="K823" s="397"/>
      <c r="L823" s="451"/>
      <c r="M823" s="449"/>
    </row>
    <row r="824" spans="1:13" x14ac:dyDescent="0.25">
      <c r="A824" s="397"/>
      <c r="B824" s="397"/>
      <c r="C824" s="397"/>
      <c r="D824" s="397"/>
      <c r="E824" s="397"/>
      <c r="F824" s="397"/>
      <c r="G824" s="397"/>
      <c r="H824" s="397"/>
      <c r="I824" s="450"/>
      <c r="J824" s="397"/>
      <c r="K824" s="397"/>
      <c r="L824" s="451"/>
      <c r="M824" s="449"/>
    </row>
    <row r="825" spans="1:13" x14ac:dyDescent="0.25">
      <c r="A825" s="397"/>
      <c r="B825" s="397"/>
      <c r="C825" s="397"/>
      <c r="D825" s="397"/>
      <c r="E825" s="397"/>
      <c r="F825" s="397"/>
      <c r="G825" s="397"/>
      <c r="H825" s="397"/>
      <c r="I825" s="450"/>
      <c r="J825" s="397"/>
      <c r="K825" s="397"/>
      <c r="L825" s="451"/>
      <c r="M825" s="449"/>
    </row>
    <row r="826" spans="1:13" x14ac:dyDescent="0.25">
      <c r="A826" s="397"/>
      <c r="B826" s="397"/>
      <c r="C826" s="397"/>
      <c r="D826" s="397"/>
      <c r="E826" s="397"/>
      <c r="F826" s="397"/>
      <c r="G826" s="397"/>
      <c r="H826" s="397"/>
      <c r="I826" s="450"/>
      <c r="J826" s="397"/>
      <c r="K826" s="397"/>
      <c r="L826" s="451"/>
      <c r="M826" s="449"/>
    </row>
    <row r="827" spans="1:13" x14ac:dyDescent="0.25">
      <c r="A827" s="397"/>
      <c r="B827" s="397"/>
      <c r="C827" s="397"/>
      <c r="D827" s="397"/>
      <c r="E827" s="397"/>
      <c r="F827" s="397"/>
      <c r="G827" s="397"/>
      <c r="H827" s="397"/>
      <c r="I827" s="450"/>
      <c r="J827" s="397"/>
      <c r="K827" s="397"/>
      <c r="L827" s="451"/>
      <c r="M827" s="449"/>
    </row>
    <row r="828" spans="1:13" x14ac:dyDescent="0.25">
      <c r="A828" s="397"/>
      <c r="B828" s="397"/>
      <c r="C828" s="397"/>
      <c r="D828" s="397"/>
      <c r="E828" s="397"/>
      <c r="F828" s="397"/>
      <c r="G828" s="397"/>
      <c r="H828" s="397"/>
      <c r="I828" s="450"/>
      <c r="J828" s="397"/>
      <c r="K828" s="397"/>
      <c r="L828" s="451"/>
      <c r="M828" s="449"/>
    </row>
    <row r="829" spans="1:13" x14ac:dyDescent="0.25">
      <c r="A829" s="397"/>
      <c r="B829" s="397"/>
      <c r="C829" s="397"/>
      <c r="D829" s="397"/>
      <c r="E829" s="397"/>
      <c r="F829" s="397"/>
      <c r="G829" s="397"/>
      <c r="H829" s="397"/>
      <c r="I829" s="450"/>
      <c r="J829" s="397"/>
      <c r="K829" s="397"/>
      <c r="L829" s="451"/>
      <c r="M829" s="449"/>
    </row>
    <row r="830" spans="1:13" x14ac:dyDescent="0.25">
      <c r="A830" s="397"/>
      <c r="B830" s="397"/>
      <c r="C830" s="397"/>
      <c r="D830" s="397"/>
      <c r="E830" s="397"/>
      <c r="F830" s="397"/>
      <c r="G830" s="397"/>
      <c r="H830" s="397"/>
      <c r="I830" s="450"/>
      <c r="J830" s="397"/>
      <c r="K830" s="397"/>
      <c r="L830" s="451"/>
      <c r="M830" s="449"/>
    </row>
    <row r="831" spans="1:13" x14ac:dyDescent="0.25">
      <c r="A831" s="397"/>
      <c r="B831" s="397"/>
      <c r="C831" s="397"/>
      <c r="D831" s="397"/>
      <c r="E831" s="397"/>
      <c r="F831" s="397"/>
      <c r="G831" s="397"/>
      <c r="H831" s="397"/>
      <c r="I831" s="450"/>
      <c r="J831" s="397"/>
      <c r="K831" s="397"/>
      <c r="L831" s="451"/>
      <c r="M831" s="449"/>
    </row>
    <row r="832" spans="1:13" x14ac:dyDescent="0.25">
      <c r="A832" s="397"/>
      <c r="B832" s="397"/>
      <c r="C832" s="397"/>
      <c r="D832" s="397"/>
      <c r="E832" s="397"/>
      <c r="F832" s="397"/>
      <c r="G832" s="397"/>
      <c r="H832" s="397"/>
      <c r="I832" s="450"/>
      <c r="J832" s="397"/>
      <c r="K832" s="397"/>
      <c r="L832" s="451"/>
      <c r="M832" s="449"/>
    </row>
    <row r="833" spans="1:13" x14ac:dyDescent="0.25">
      <c r="A833" s="397"/>
      <c r="B833" s="397"/>
      <c r="C833" s="397"/>
      <c r="D833" s="397"/>
      <c r="E833" s="397"/>
      <c r="F833" s="397"/>
      <c r="G833" s="397"/>
      <c r="H833" s="397"/>
      <c r="I833" s="450"/>
      <c r="J833" s="397"/>
      <c r="K833" s="397"/>
      <c r="L833" s="451"/>
      <c r="M833" s="449"/>
    </row>
    <row r="834" spans="1:13" x14ac:dyDescent="0.25">
      <c r="A834" s="397"/>
      <c r="B834" s="397"/>
      <c r="C834" s="397"/>
      <c r="D834" s="397"/>
      <c r="E834" s="397"/>
      <c r="F834" s="397"/>
      <c r="G834" s="397"/>
      <c r="H834" s="397"/>
      <c r="I834" s="450"/>
      <c r="J834" s="397"/>
      <c r="K834" s="397"/>
      <c r="L834" s="451"/>
      <c r="M834" s="449"/>
    </row>
    <row r="835" spans="1:13" x14ac:dyDescent="0.25">
      <c r="A835" s="397"/>
      <c r="B835" s="397"/>
      <c r="C835" s="397"/>
      <c r="D835" s="397"/>
      <c r="E835" s="397"/>
      <c r="F835" s="397"/>
      <c r="G835" s="397"/>
      <c r="H835" s="397"/>
      <c r="I835" s="450"/>
      <c r="J835" s="397"/>
      <c r="K835" s="397"/>
      <c r="L835" s="451"/>
      <c r="M835" s="449"/>
    </row>
    <row r="836" spans="1:13" x14ac:dyDescent="0.25">
      <c r="A836" s="397"/>
      <c r="B836" s="397"/>
      <c r="C836" s="397"/>
      <c r="D836" s="397"/>
      <c r="E836" s="397"/>
      <c r="F836" s="397"/>
      <c r="G836" s="397"/>
      <c r="H836" s="397"/>
      <c r="I836" s="450"/>
      <c r="J836" s="397"/>
      <c r="K836" s="397"/>
      <c r="L836" s="451"/>
      <c r="M836" s="449"/>
    </row>
    <row r="837" spans="1:13" x14ac:dyDescent="0.25">
      <c r="A837" s="397"/>
      <c r="B837" s="397"/>
      <c r="C837" s="397"/>
      <c r="D837" s="397"/>
      <c r="E837" s="397"/>
      <c r="F837" s="397"/>
      <c r="G837" s="397"/>
      <c r="H837" s="397"/>
      <c r="I837" s="450"/>
      <c r="J837" s="397"/>
      <c r="K837" s="397"/>
      <c r="L837" s="451"/>
      <c r="M837" s="449"/>
    </row>
    <row r="838" spans="1:13" x14ac:dyDescent="0.25">
      <c r="A838" s="397"/>
      <c r="B838" s="397"/>
      <c r="C838" s="397"/>
      <c r="D838" s="397"/>
      <c r="E838" s="397"/>
      <c r="F838" s="397"/>
      <c r="G838" s="397"/>
      <c r="H838" s="397"/>
      <c r="I838" s="450"/>
      <c r="J838" s="397"/>
      <c r="K838" s="397"/>
      <c r="L838" s="451"/>
      <c r="M838" s="449"/>
    </row>
    <row r="839" spans="1:13" x14ac:dyDescent="0.25">
      <c r="A839" s="397"/>
      <c r="B839" s="397"/>
      <c r="C839" s="397"/>
      <c r="D839" s="397"/>
      <c r="E839" s="397"/>
      <c r="F839" s="397"/>
      <c r="G839" s="397"/>
      <c r="H839" s="397"/>
      <c r="I839" s="450"/>
      <c r="J839" s="397"/>
      <c r="K839" s="397"/>
      <c r="L839" s="451"/>
      <c r="M839" s="449"/>
    </row>
    <row r="840" spans="1:13" x14ac:dyDescent="0.25">
      <c r="A840" s="397"/>
      <c r="B840" s="397"/>
      <c r="C840" s="397"/>
      <c r="D840" s="397"/>
      <c r="E840" s="397"/>
      <c r="F840" s="397"/>
      <c r="G840" s="397"/>
      <c r="H840" s="397"/>
      <c r="I840" s="450"/>
      <c r="J840" s="397"/>
      <c r="K840" s="397"/>
      <c r="L840" s="451"/>
      <c r="M840" s="449"/>
    </row>
    <row r="841" spans="1:13" x14ac:dyDescent="0.25">
      <c r="A841" s="397"/>
      <c r="B841" s="397"/>
      <c r="C841" s="397"/>
      <c r="D841" s="397"/>
      <c r="E841" s="397"/>
      <c r="F841" s="397"/>
      <c r="G841" s="397"/>
      <c r="H841" s="397"/>
      <c r="I841" s="450"/>
      <c r="J841" s="397"/>
      <c r="K841" s="397"/>
      <c r="L841" s="451"/>
      <c r="M841" s="449"/>
    </row>
    <row r="842" spans="1:13" x14ac:dyDescent="0.25">
      <c r="A842" s="397"/>
      <c r="B842" s="397"/>
      <c r="C842" s="397"/>
      <c r="D842" s="397"/>
      <c r="E842" s="397"/>
      <c r="F842" s="397"/>
      <c r="G842" s="397"/>
      <c r="H842" s="397"/>
      <c r="I842" s="450"/>
      <c r="J842" s="397"/>
      <c r="K842" s="397"/>
      <c r="L842" s="451"/>
      <c r="M842" s="449"/>
    </row>
    <row r="843" spans="1:13" x14ac:dyDescent="0.25">
      <c r="A843" s="397"/>
      <c r="B843" s="397"/>
      <c r="C843" s="397"/>
      <c r="D843" s="397"/>
      <c r="E843" s="397"/>
      <c r="F843" s="397"/>
      <c r="G843" s="397"/>
      <c r="H843" s="397"/>
      <c r="I843" s="450"/>
      <c r="J843" s="397"/>
      <c r="K843" s="397"/>
      <c r="L843" s="451"/>
      <c r="M843" s="449"/>
    </row>
    <row r="844" spans="1:13" x14ac:dyDescent="0.25">
      <c r="A844" s="397"/>
      <c r="B844" s="397"/>
      <c r="C844" s="397"/>
      <c r="D844" s="397"/>
      <c r="E844" s="397"/>
      <c r="F844" s="397"/>
      <c r="G844" s="397"/>
      <c r="H844" s="397"/>
      <c r="I844" s="450"/>
      <c r="J844" s="397"/>
      <c r="K844" s="397"/>
      <c r="L844" s="451"/>
      <c r="M844" s="449"/>
    </row>
    <row r="845" spans="1:13" x14ac:dyDescent="0.25">
      <c r="A845" s="397"/>
      <c r="B845" s="397"/>
      <c r="C845" s="397"/>
      <c r="D845" s="397"/>
      <c r="E845" s="397"/>
      <c r="F845" s="397"/>
      <c r="G845" s="397"/>
      <c r="H845" s="397"/>
      <c r="I845" s="450"/>
      <c r="J845" s="397"/>
      <c r="K845" s="397"/>
      <c r="L845" s="451"/>
      <c r="M845" s="449"/>
    </row>
    <row r="846" spans="1:13" x14ac:dyDescent="0.25">
      <c r="A846" s="397"/>
      <c r="B846" s="397"/>
      <c r="C846" s="397"/>
      <c r="D846" s="397"/>
      <c r="E846" s="397"/>
      <c r="F846" s="397"/>
      <c r="G846" s="397"/>
      <c r="H846" s="397"/>
      <c r="I846" s="450"/>
      <c r="J846" s="397"/>
      <c r="K846" s="397"/>
      <c r="L846" s="451"/>
      <c r="M846" s="449"/>
    </row>
    <row r="847" spans="1:13" x14ac:dyDescent="0.25">
      <c r="A847" s="397"/>
      <c r="B847" s="397"/>
      <c r="C847" s="397"/>
      <c r="D847" s="397"/>
      <c r="E847" s="397"/>
      <c r="F847" s="397"/>
      <c r="G847" s="397"/>
      <c r="H847" s="397"/>
      <c r="I847" s="450"/>
      <c r="J847" s="397"/>
      <c r="K847" s="397"/>
      <c r="L847" s="451"/>
      <c r="M847" s="449"/>
    </row>
    <row r="848" spans="1:13" x14ac:dyDescent="0.25">
      <c r="A848" s="397"/>
      <c r="B848" s="397"/>
      <c r="C848" s="397"/>
      <c r="D848" s="397"/>
      <c r="E848" s="397"/>
      <c r="F848" s="397"/>
      <c r="G848" s="397"/>
      <c r="H848" s="397"/>
      <c r="I848" s="450"/>
      <c r="J848" s="397"/>
      <c r="K848" s="397"/>
      <c r="L848" s="451"/>
      <c r="M848" s="449"/>
    </row>
    <row r="849" spans="1:13" x14ac:dyDescent="0.25">
      <c r="A849" s="397"/>
      <c r="B849" s="397"/>
      <c r="C849" s="397"/>
      <c r="D849" s="397"/>
      <c r="E849" s="397"/>
      <c r="F849" s="397"/>
      <c r="G849" s="397"/>
      <c r="H849" s="397"/>
      <c r="I849" s="450"/>
      <c r="J849" s="397"/>
      <c r="K849" s="397"/>
      <c r="L849" s="451"/>
      <c r="M849" s="449"/>
    </row>
    <row r="850" spans="1:13" x14ac:dyDescent="0.25">
      <c r="A850" s="397"/>
      <c r="B850" s="397"/>
      <c r="C850" s="397"/>
      <c r="D850" s="397"/>
      <c r="E850" s="397"/>
      <c r="F850" s="397"/>
      <c r="G850" s="397"/>
      <c r="H850" s="397"/>
      <c r="I850" s="450"/>
      <c r="J850" s="397"/>
      <c r="K850" s="397"/>
      <c r="L850" s="451"/>
      <c r="M850" s="449"/>
    </row>
    <row r="851" spans="1:13" x14ac:dyDescent="0.25">
      <c r="A851" s="397"/>
      <c r="B851" s="397"/>
      <c r="C851" s="397"/>
      <c r="D851" s="397"/>
      <c r="E851" s="397"/>
      <c r="F851" s="397"/>
      <c r="G851" s="397"/>
      <c r="H851" s="397"/>
      <c r="I851" s="450"/>
      <c r="J851" s="397"/>
      <c r="K851" s="397"/>
      <c r="L851" s="451"/>
      <c r="M851" s="449"/>
    </row>
    <row r="852" spans="1:13" x14ac:dyDescent="0.25">
      <c r="A852" s="397"/>
      <c r="B852" s="397"/>
      <c r="C852" s="397"/>
      <c r="D852" s="397"/>
      <c r="E852" s="397"/>
      <c r="F852" s="397"/>
      <c r="G852" s="397"/>
      <c r="H852" s="397"/>
      <c r="I852" s="450"/>
      <c r="J852" s="397"/>
      <c r="K852" s="397"/>
      <c r="L852" s="451"/>
      <c r="M852" s="449"/>
    </row>
    <row r="853" spans="1:13" x14ac:dyDescent="0.25">
      <c r="A853" s="397"/>
      <c r="B853" s="397"/>
      <c r="C853" s="397"/>
      <c r="D853" s="397"/>
      <c r="E853" s="397"/>
      <c r="F853" s="397"/>
      <c r="G853" s="397"/>
      <c r="H853" s="397"/>
      <c r="I853" s="450"/>
      <c r="J853" s="397"/>
      <c r="K853" s="397"/>
      <c r="L853" s="451"/>
      <c r="M853" s="449"/>
    </row>
    <row r="854" spans="1:13" x14ac:dyDescent="0.25">
      <c r="A854" s="397"/>
      <c r="B854" s="397"/>
      <c r="C854" s="397"/>
      <c r="D854" s="397"/>
      <c r="E854" s="397"/>
      <c r="F854" s="397"/>
      <c r="G854" s="397"/>
      <c r="H854" s="397"/>
      <c r="I854" s="450"/>
      <c r="J854" s="397"/>
      <c r="K854" s="397"/>
      <c r="L854" s="451"/>
      <c r="M854" s="449"/>
    </row>
    <row r="855" spans="1:13" x14ac:dyDescent="0.25">
      <c r="A855" s="397"/>
      <c r="B855" s="397"/>
      <c r="C855" s="397"/>
      <c r="D855" s="397"/>
      <c r="E855" s="397"/>
      <c r="F855" s="397"/>
      <c r="G855" s="397"/>
      <c r="H855" s="397"/>
      <c r="I855" s="450"/>
      <c r="J855" s="397"/>
      <c r="K855" s="397"/>
      <c r="L855" s="451"/>
      <c r="M855" s="449"/>
    </row>
    <row r="856" spans="1:13" x14ac:dyDescent="0.25">
      <c r="A856" s="397"/>
      <c r="B856" s="397"/>
      <c r="C856" s="397"/>
      <c r="D856" s="397"/>
      <c r="E856" s="397"/>
      <c r="F856" s="397"/>
      <c r="G856" s="397"/>
      <c r="H856" s="397"/>
      <c r="I856" s="450"/>
      <c r="J856" s="397"/>
      <c r="K856" s="397"/>
      <c r="L856" s="451"/>
      <c r="M856" s="449"/>
    </row>
    <row r="857" spans="1:13" x14ac:dyDescent="0.25">
      <c r="A857" s="397"/>
      <c r="B857" s="397"/>
      <c r="C857" s="397"/>
      <c r="D857" s="397"/>
      <c r="E857" s="397"/>
      <c r="F857" s="397"/>
      <c r="G857" s="397"/>
      <c r="H857" s="397"/>
      <c r="I857" s="450"/>
      <c r="J857" s="397"/>
      <c r="K857" s="397"/>
      <c r="L857" s="451"/>
      <c r="M857" s="449"/>
    </row>
    <row r="858" spans="1:13" x14ac:dyDescent="0.25">
      <c r="A858" s="397"/>
      <c r="B858" s="397"/>
      <c r="C858" s="397"/>
      <c r="D858" s="397"/>
      <c r="E858" s="397"/>
      <c r="F858" s="397"/>
      <c r="G858" s="397"/>
      <c r="H858" s="397"/>
      <c r="I858" s="450"/>
      <c r="J858" s="397"/>
      <c r="K858" s="397"/>
      <c r="L858" s="451"/>
      <c r="M858" s="449"/>
    </row>
    <row r="859" spans="1:13" x14ac:dyDescent="0.25">
      <c r="A859" s="397"/>
      <c r="B859" s="397"/>
      <c r="C859" s="397"/>
      <c r="D859" s="397"/>
      <c r="E859" s="397"/>
      <c r="F859" s="397"/>
      <c r="G859" s="397"/>
      <c r="H859" s="397"/>
      <c r="I859" s="450"/>
      <c r="J859" s="397"/>
      <c r="K859" s="397"/>
      <c r="L859" s="451"/>
      <c r="M859" s="449"/>
    </row>
    <row r="860" spans="1:13" x14ac:dyDescent="0.25">
      <c r="A860" s="397"/>
      <c r="B860" s="397"/>
      <c r="C860" s="397"/>
      <c r="D860" s="397"/>
      <c r="E860" s="397"/>
      <c r="F860" s="397"/>
      <c r="G860" s="397"/>
      <c r="H860" s="397"/>
      <c r="I860" s="450"/>
      <c r="J860" s="397"/>
      <c r="K860" s="397"/>
      <c r="L860" s="451"/>
      <c r="M860" s="449"/>
    </row>
    <row r="861" spans="1:13" x14ac:dyDescent="0.25">
      <c r="A861" s="397"/>
      <c r="B861" s="397"/>
      <c r="C861" s="397"/>
      <c r="D861" s="397"/>
      <c r="E861" s="397"/>
      <c r="F861" s="397"/>
      <c r="G861" s="397"/>
      <c r="H861" s="397"/>
      <c r="I861" s="450"/>
      <c r="J861" s="397"/>
      <c r="K861" s="397"/>
      <c r="L861" s="451"/>
      <c r="M861" s="449"/>
    </row>
    <row r="862" spans="1:13" x14ac:dyDescent="0.25">
      <c r="A862" s="397"/>
      <c r="B862" s="397"/>
      <c r="C862" s="397"/>
      <c r="D862" s="397"/>
      <c r="E862" s="397"/>
      <c r="F862" s="397"/>
      <c r="G862" s="397"/>
      <c r="H862" s="397"/>
      <c r="I862" s="450"/>
      <c r="J862" s="397"/>
      <c r="K862" s="397"/>
      <c r="L862" s="451"/>
      <c r="M862" s="449"/>
    </row>
    <row r="863" spans="1:13" x14ac:dyDescent="0.25">
      <c r="A863" s="397"/>
      <c r="B863" s="397"/>
      <c r="C863" s="397"/>
      <c r="D863" s="397"/>
      <c r="E863" s="397"/>
      <c r="F863" s="397"/>
      <c r="G863" s="397"/>
      <c r="H863" s="397"/>
      <c r="I863" s="450"/>
      <c r="J863" s="397"/>
      <c r="K863" s="397"/>
      <c r="L863" s="451"/>
      <c r="M863" s="449"/>
    </row>
    <row r="864" spans="1:13" x14ac:dyDescent="0.25">
      <c r="A864" s="397"/>
      <c r="B864" s="397"/>
      <c r="C864" s="397"/>
      <c r="D864" s="397"/>
      <c r="E864" s="397"/>
      <c r="F864" s="397"/>
      <c r="G864" s="397"/>
      <c r="H864" s="397"/>
      <c r="I864" s="450"/>
      <c r="J864" s="397"/>
      <c r="K864" s="397"/>
      <c r="L864" s="451"/>
      <c r="M864" s="449"/>
    </row>
    <row r="865" spans="1:13" x14ac:dyDescent="0.25">
      <c r="A865" s="397"/>
      <c r="B865" s="397"/>
      <c r="C865" s="397"/>
      <c r="D865" s="397"/>
      <c r="E865" s="397"/>
      <c r="F865" s="397"/>
      <c r="G865" s="397"/>
      <c r="H865" s="397"/>
      <c r="I865" s="450"/>
      <c r="J865" s="397"/>
      <c r="K865" s="397"/>
      <c r="L865" s="451"/>
      <c r="M865" s="449"/>
    </row>
    <row r="866" spans="1:13" x14ac:dyDescent="0.25">
      <c r="A866" s="397"/>
      <c r="B866" s="397"/>
      <c r="C866" s="397"/>
      <c r="D866" s="397"/>
      <c r="E866" s="397"/>
      <c r="F866" s="397"/>
      <c r="G866" s="397"/>
      <c r="H866" s="397"/>
      <c r="I866" s="450"/>
      <c r="J866" s="397"/>
      <c r="K866" s="397"/>
      <c r="L866" s="451"/>
      <c r="M866" s="449"/>
    </row>
    <row r="867" spans="1:13" x14ac:dyDescent="0.25">
      <c r="A867" s="397"/>
      <c r="B867" s="397"/>
      <c r="C867" s="397"/>
      <c r="D867" s="397"/>
      <c r="E867" s="397"/>
      <c r="F867" s="397"/>
      <c r="G867" s="397"/>
      <c r="H867" s="397"/>
      <c r="I867" s="450"/>
      <c r="J867" s="397"/>
      <c r="K867" s="397"/>
      <c r="L867" s="451"/>
      <c r="M867" s="449"/>
    </row>
    <row r="868" spans="1:13" x14ac:dyDescent="0.25">
      <c r="A868" s="397"/>
      <c r="B868" s="397"/>
      <c r="C868" s="397"/>
      <c r="D868" s="397"/>
      <c r="E868" s="397"/>
      <c r="F868" s="397"/>
      <c r="G868" s="397"/>
      <c r="H868" s="397"/>
      <c r="I868" s="450"/>
      <c r="J868" s="397"/>
      <c r="K868" s="397"/>
      <c r="L868" s="451"/>
      <c r="M868" s="449"/>
    </row>
    <row r="869" spans="1:13" x14ac:dyDescent="0.25">
      <c r="A869" s="397"/>
      <c r="B869" s="397"/>
      <c r="C869" s="397"/>
      <c r="D869" s="397"/>
      <c r="E869" s="397"/>
      <c r="F869" s="397"/>
      <c r="G869" s="397"/>
      <c r="H869" s="397"/>
      <c r="I869" s="450"/>
      <c r="J869" s="397"/>
      <c r="K869" s="397"/>
      <c r="L869" s="451"/>
      <c r="M869" s="449"/>
    </row>
    <row r="870" spans="1:13" x14ac:dyDescent="0.25">
      <c r="A870" s="397"/>
      <c r="B870" s="397"/>
      <c r="C870" s="397"/>
      <c r="D870" s="397"/>
      <c r="E870" s="397"/>
      <c r="F870" s="397"/>
      <c r="G870" s="397"/>
      <c r="H870" s="397"/>
      <c r="I870" s="450"/>
      <c r="J870" s="397"/>
      <c r="K870" s="397"/>
      <c r="L870" s="451"/>
      <c r="M870" s="449"/>
    </row>
    <row r="871" spans="1:13" x14ac:dyDescent="0.25">
      <c r="A871" s="397"/>
      <c r="B871" s="397"/>
      <c r="C871" s="397"/>
      <c r="D871" s="397"/>
      <c r="E871" s="397"/>
      <c r="F871" s="397"/>
      <c r="G871" s="397"/>
      <c r="H871" s="397"/>
      <c r="I871" s="450"/>
      <c r="J871" s="397"/>
      <c r="K871" s="397"/>
      <c r="L871" s="451"/>
      <c r="M871" s="449"/>
    </row>
    <row r="872" spans="1:13" x14ac:dyDescent="0.25">
      <c r="A872" s="397"/>
      <c r="B872" s="397"/>
      <c r="C872" s="397"/>
      <c r="D872" s="397"/>
      <c r="E872" s="397"/>
      <c r="F872" s="397"/>
      <c r="G872" s="397"/>
      <c r="H872" s="397"/>
      <c r="I872" s="450"/>
      <c r="J872" s="397"/>
      <c r="K872" s="397"/>
      <c r="L872" s="451"/>
      <c r="M872" s="449"/>
    </row>
    <row r="873" spans="1:13" x14ac:dyDescent="0.25">
      <c r="A873" s="397"/>
      <c r="B873" s="397"/>
      <c r="C873" s="397"/>
      <c r="D873" s="397"/>
      <c r="E873" s="397"/>
      <c r="F873" s="397"/>
      <c r="G873" s="397"/>
      <c r="H873" s="397"/>
      <c r="I873" s="450"/>
      <c r="J873" s="397"/>
      <c r="K873" s="397"/>
      <c r="L873" s="451"/>
      <c r="M873" s="449"/>
    </row>
    <row r="874" spans="1:13" x14ac:dyDescent="0.25">
      <c r="A874" s="397"/>
      <c r="B874" s="397"/>
      <c r="C874" s="397"/>
      <c r="D874" s="397"/>
      <c r="E874" s="397"/>
      <c r="F874" s="397"/>
      <c r="G874" s="397"/>
      <c r="H874" s="397"/>
      <c r="I874" s="450"/>
      <c r="J874" s="397"/>
      <c r="K874" s="397"/>
      <c r="L874" s="451"/>
      <c r="M874" s="449"/>
    </row>
    <row r="875" spans="1:13" x14ac:dyDescent="0.25">
      <c r="A875" s="397"/>
      <c r="B875" s="397"/>
      <c r="C875" s="397"/>
      <c r="D875" s="397"/>
      <c r="E875" s="397"/>
      <c r="F875" s="397"/>
      <c r="G875" s="397"/>
      <c r="H875" s="397"/>
      <c r="I875" s="450"/>
      <c r="J875" s="397"/>
      <c r="K875" s="397"/>
      <c r="L875" s="451"/>
      <c r="M875" s="449"/>
    </row>
    <row r="876" spans="1:13" x14ac:dyDescent="0.25">
      <c r="A876" s="397"/>
      <c r="B876" s="397"/>
      <c r="C876" s="397"/>
      <c r="D876" s="397"/>
      <c r="E876" s="397"/>
      <c r="F876" s="397"/>
      <c r="G876" s="397"/>
      <c r="H876" s="397"/>
      <c r="I876" s="450"/>
      <c r="J876" s="397"/>
      <c r="K876" s="397"/>
      <c r="L876" s="451"/>
      <c r="M876" s="449"/>
    </row>
    <row r="877" spans="1:13" x14ac:dyDescent="0.25">
      <c r="A877" s="397"/>
      <c r="B877" s="397"/>
      <c r="C877" s="397"/>
      <c r="D877" s="397"/>
      <c r="E877" s="397"/>
      <c r="F877" s="397"/>
      <c r="G877" s="397"/>
      <c r="H877" s="397"/>
      <c r="I877" s="450"/>
      <c r="J877" s="397"/>
      <c r="K877" s="397"/>
      <c r="L877" s="451"/>
      <c r="M877" s="449"/>
    </row>
    <row r="878" spans="1:13" x14ac:dyDescent="0.25">
      <c r="A878" s="397"/>
      <c r="B878" s="397"/>
      <c r="C878" s="397"/>
      <c r="D878" s="397"/>
      <c r="E878" s="397"/>
      <c r="F878" s="397"/>
      <c r="G878" s="397"/>
      <c r="H878" s="397"/>
      <c r="I878" s="450"/>
      <c r="J878" s="397"/>
      <c r="K878" s="397"/>
      <c r="L878" s="451"/>
      <c r="M878" s="449"/>
    </row>
    <row r="879" spans="1:13" x14ac:dyDescent="0.25">
      <c r="A879" s="397"/>
      <c r="B879" s="397"/>
      <c r="C879" s="397"/>
      <c r="D879" s="397"/>
      <c r="E879" s="397"/>
      <c r="F879" s="397"/>
      <c r="G879" s="397"/>
      <c r="H879" s="397"/>
      <c r="I879" s="450"/>
      <c r="J879" s="397"/>
      <c r="K879" s="397"/>
      <c r="L879" s="451"/>
      <c r="M879" s="449"/>
    </row>
    <row r="880" spans="1:13" x14ac:dyDescent="0.25">
      <c r="A880" s="397"/>
      <c r="B880" s="397"/>
      <c r="C880" s="397"/>
      <c r="D880" s="397"/>
      <c r="E880" s="397"/>
      <c r="F880" s="397"/>
      <c r="G880" s="397"/>
      <c r="H880" s="397"/>
      <c r="I880" s="450"/>
      <c r="J880" s="397"/>
      <c r="K880" s="397"/>
      <c r="L880" s="451"/>
      <c r="M880" s="449"/>
    </row>
    <row r="881" spans="1:13" x14ac:dyDescent="0.25">
      <c r="A881" s="397"/>
      <c r="B881" s="397"/>
      <c r="C881" s="397"/>
      <c r="D881" s="397"/>
      <c r="E881" s="397"/>
      <c r="F881" s="397"/>
      <c r="G881" s="397"/>
      <c r="H881" s="397"/>
      <c r="I881" s="450"/>
      <c r="J881" s="397"/>
      <c r="K881" s="397"/>
      <c r="L881" s="451"/>
      <c r="M881" s="449"/>
    </row>
    <row r="882" spans="1:13" x14ac:dyDescent="0.25">
      <c r="A882" s="397"/>
      <c r="B882" s="397"/>
      <c r="C882" s="397"/>
      <c r="D882" s="397"/>
      <c r="E882" s="397"/>
      <c r="F882" s="397"/>
      <c r="G882" s="397"/>
      <c r="H882" s="397"/>
      <c r="I882" s="450"/>
      <c r="J882" s="397"/>
      <c r="K882" s="397"/>
      <c r="L882" s="451"/>
      <c r="M882" s="449"/>
    </row>
    <row r="883" spans="1:13" x14ac:dyDescent="0.25">
      <c r="A883" s="397"/>
      <c r="B883" s="397"/>
      <c r="C883" s="397"/>
      <c r="D883" s="397"/>
      <c r="E883" s="397"/>
      <c r="F883" s="397"/>
      <c r="G883" s="397"/>
      <c r="H883" s="397"/>
      <c r="I883" s="450"/>
      <c r="J883" s="397"/>
      <c r="K883" s="397"/>
      <c r="L883" s="451"/>
      <c r="M883" s="449"/>
    </row>
    <row r="884" spans="1:13" x14ac:dyDescent="0.25">
      <c r="A884" s="397"/>
      <c r="B884" s="397"/>
      <c r="C884" s="397"/>
      <c r="D884" s="397"/>
      <c r="E884" s="397"/>
      <c r="F884" s="397"/>
      <c r="G884" s="397"/>
      <c r="H884" s="397"/>
      <c r="I884" s="450"/>
      <c r="J884" s="397"/>
      <c r="K884" s="397"/>
      <c r="L884" s="451"/>
      <c r="M884" s="449"/>
    </row>
    <row r="885" spans="1:13" x14ac:dyDescent="0.25">
      <c r="A885" s="397"/>
      <c r="B885" s="397"/>
      <c r="C885" s="397"/>
      <c r="D885" s="397"/>
      <c r="E885" s="397"/>
      <c r="F885" s="397"/>
      <c r="G885" s="397"/>
      <c r="H885" s="397"/>
      <c r="I885" s="450"/>
      <c r="J885" s="397"/>
      <c r="K885" s="397"/>
      <c r="L885" s="451"/>
      <c r="M885" s="449"/>
    </row>
    <row r="886" spans="1:13" x14ac:dyDescent="0.25">
      <c r="A886" s="397"/>
      <c r="B886" s="397"/>
      <c r="C886" s="397"/>
      <c r="D886" s="397"/>
      <c r="E886" s="397"/>
      <c r="F886" s="397"/>
      <c r="G886" s="397"/>
      <c r="H886" s="397"/>
      <c r="I886" s="450"/>
      <c r="J886" s="397"/>
      <c r="K886" s="397"/>
      <c r="L886" s="451"/>
      <c r="M886" s="449"/>
    </row>
    <row r="887" spans="1:13" x14ac:dyDescent="0.25">
      <c r="A887" s="397"/>
      <c r="B887" s="397"/>
      <c r="C887" s="397"/>
      <c r="D887" s="397"/>
      <c r="E887" s="397"/>
      <c r="F887" s="397"/>
      <c r="G887" s="397"/>
      <c r="H887" s="397"/>
      <c r="I887" s="450"/>
      <c r="J887" s="397"/>
      <c r="K887" s="397"/>
      <c r="L887" s="451"/>
      <c r="M887" s="449"/>
    </row>
    <row r="888" spans="1:13" x14ac:dyDescent="0.25">
      <c r="A888" s="397"/>
      <c r="B888" s="397"/>
      <c r="C888" s="397"/>
      <c r="D888" s="397"/>
      <c r="E888" s="397"/>
      <c r="F888" s="397"/>
      <c r="G888" s="397"/>
      <c r="H888" s="397"/>
      <c r="I888" s="450"/>
      <c r="J888" s="397"/>
      <c r="K888" s="397"/>
      <c r="L888" s="451"/>
      <c r="M888" s="449"/>
    </row>
    <row r="889" spans="1:13" x14ac:dyDescent="0.25">
      <c r="A889" s="397"/>
      <c r="B889" s="397"/>
      <c r="C889" s="397"/>
      <c r="D889" s="397"/>
      <c r="E889" s="397"/>
      <c r="F889" s="397"/>
      <c r="G889" s="397"/>
      <c r="H889" s="397"/>
      <c r="I889" s="450"/>
      <c r="J889" s="397"/>
      <c r="K889" s="397"/>
      <c r="L889" s="451"/>
      <c r="M889" s="449"/>
    </row>
    <row r="890" spans="1:13" x14ac:dyDescent="0.25">
      <c r="A890" s="397"/>
      <c r="B890" s="397"/>
      <c r="C890" s="397"/>
      <c r="D890" s="397"/>
      <c r="E890" s="397"/>
      <c r="F890" s="397"/>
      <c r="G890" s="397"/>
      <c r="H890" s="397"/>
      <c r="I890" s="450"/>
      <c r="J890" s="397"/>
      <c r="K890" s="397"/>
      <c r="L890" s="451"/>
      <c r="M890" s="449"/>
    </row>
    <row r="891" spans="1:13" x14ac:dyDescent="0.25">
      <c r="A891" s="397"/>
      <c r="B891" s="397"/>
      <c r="C891" s="397"/>
      <c r="D891" s="397"/>
      <c r="E891" s="397"/>
      <c r="F891" s="397"/>
      <c r="G891" s="397"/>
      <c r="H891" s="397"/>
      <c r="I891" s="450"/>
      <c r="J891" s="397"/>
      <c r="K891" s="397"/>
      <c r="L891" s="451"/>
      <c r="M891" s="449"/>
    </row>
    <row r="892" spans="1:13" x14ac:dyDescent="0.25">
      <c r="A892" s="397"/>
      <c r="B892" s="397"/>
      <c r="C892" s="397"/>
      <c r="D892" s="397"/>
      <c r="E892" s="397"/>
      <c r="F892" s="397"/>
      <c r="G892" s="397"/>
      <c r="H892" s="397"/>
      <c r="I892" s="450"/>
      <c r="J892" s="397"/>
      <c r="K892" s="397"/>
      <c r="L892" s="451"/>
      <c r="M892" s="449"/>
    </row>
    <row r="893" spans="1:13" x14ac:dyDescent="0.25">
      <c r="A893" s="397"/>
      <c r="B893" s="397"/>
      <c r="C893" s="397"/>
      <c r="D893" s="397"/>
      <c r="E893" s="397"/>
      <c r="F893" s="397"/>
      <c r="G893" s="397"/>
      <c r="H893" s="397"/>
      <c r="I893" s="450"/>
      <c r="J893" s="397"/>
      <c r="K893" s="397"/>
      <c r="L893" s="451"/>
      <c r="M893" s="449"/>
    </row>
    <row r="894" spans="1:13" x14ac:dyDescent="0.25">
      <c r="A894" s="397"/>
      <c r="B894" s="397"/>
      <c r="C894" s="397"/>
      <c r="D894" s="397"/>
      <c r="E894" s="397"/>
      <c r="F894" s="397"/>
      <c r="G894" s="397"/>
      <c r="H894" s="397"/>
      <c r="I894" s="450"/>
      <c r="J894" s="397"/>
      <c r="K894" s="397"/>
      <c r="L894" s="451"/>
      <c r="M894" s="449"/>
    </row>
    <row r="895" spans="1:13" x14ac:dyDescent="0.25">
      <c r="A895" s="397"/>
      <c r="B895" s="397"/>
      <c r="C895" s="397"/>
      <c r="D895" s="397"/>
      <c r="E895" s="397"/>
      <c r="F895" s="397"/>
      <c r="G895" s="397"/>
      <c r="H895" s="397"/>
      <c r="I895" s="450"/>
      <c r="J895" s="397"/>
      <c r="K895" s="397"/>
      <c r="L895" s="451"/>
      <c r="M895" s="449"/>
    </row>
    <row r="896" spans="1:13" x14ac:dyDescent="0.25">
      <c r="A896" s="397"/>
      <c r="B896" s="397"/>
      <c r="C896" s="397"/>
      <c r="D896" s="397"/>
      <c r="E896" s="397"/>
      <c r="F896" s="397"/>
      <c r="G896" s="397"/>
      <c r="H896" s="397"/>
      <c r="I896" s="450"/>
      <c r="J896" s="397"/>
      <c r="K896" s="397"/>
      <c r="L896" s="451"/>
      <c r="M896" s="449"/>
    </row>
    <row r="897" spans="1:13" x14ac:dyDescent="0.25">
      <c r="A897" s="397"/>
      <c r="B897" s="397"/>
      <c r="C897" s="397"/>
      <c r="D897" s="397"/>
      <c r="E897" s="397"/>
      <c r="F897" s="397"/>
      <c r="G897" s="397"/>
      <c r="H897" s="397"/>
      <c r="I897" s="450"/>
      <c r="J897" s="397"/>
      <c r="K897" s="397"/>
      <c r="L897" s="451"/>
      <c r="M897" s="449"/>
    </row>
    <row r="898" spans="1:13" x14ac:dyDescent="0.25">
      <c r="A898" s="397"/>
      <c r="B898" s="397"/>
      <c r="C898" s="397"/>
      <c r="D898" s="397"/>
      <c r="E898" s="397"/>
      <c r="F898" s="397"/>
      <c r="G898" s="397"/>
      <c r="H898" s="397"/>
      <c r="I898" s="450"/>
      <c r="J898" s="397"/>
      <c r="K898" s="397"/>
      <c r="L898" s="451"/>
      <c r="M898" s="449"/>
    </row>
    <row r="899" spans="1:13" x14ac:dyDescent="0.25">
      <c r="A899" s="397"/>
      <c r="B899" s="397"/>
      <c r="C899" s="397"/>
      <c r="D899" s="397"/>
      <c r="E899" s="397"/>
      <c r="F899" s="397"/>
      <c r="G899" s="397"/>
      <c r="H899" s="397"/>
      <c r="I899" s="450"/>
      <c r="J899" s="397"/>
      <c r="K899" s="397"/>
      <c r="L899" s="451"/>
      <c r="M899" s="449"/>
    </row>
    <row r="900" spans="1:13" x14ac:dyDescent="0.25">
      <c r="A900" s="397"/>
      <c r="B900" s="397"/>
      <c r="C900" s="397"/>
      <c r="D900" s="397"/>
      <c r="E900" s="397"/>
      <c r="F900" s="397"/>
      <c r="G900" s="397"/>
      <c r="H900" s="397"/>
      <c r="I900" s="450"/>
      <c r="J900" s="397"/>
      <c r="K900" s="397"/>
      <c r="L900" s="451"/>
      <c r="M900" s="449"/>
    </row>
    <row r="901" spans="1:13" x14ac:dyDescent="0.25">
      <c r="A901" s="397"/>
      <c r="B901" s="397"/>
      <c r="C901" s="397"/>
      <c r="D901" s="397"/>
      <c r="E901" s="397"/>
      <c r="F901" s="397"/>
      <c r="G901" s="397"/>
      <c r="H901" s="397"/>
      <c r="I901" s="450"/>
      <c r="J901" s="397"/>
      <c r="K901" s="397"/>
      <c r="L901" s="451"/>
      <c r="M901" s="449"/>
    </row>
    <row r="902" spans="1:13" x14ac:dyDescent="0.25">
      <c r="A902" s="397"/>
      <c r="B902" s="397"/>
      <c r="C902" s="397"/>
      <c r="D902" s="397"/>
      <c r="E902" s="397"/>
      <c r="F902" s="397"/>
      <c r="G902" s="397"/>
      <c r="H902" s="397"/>
      <c r="I902" s="450"/>
      <c r="J902" s="397"/>
      <c r="K902" s="397"/>
      <c r="L902" s="451"/>
      <c r="M902" s="449"/>
    </row>
    <row r="903" spans="1:13" x14ac:dyDescent="0.25">
      <c r="A903" s="397"/>
      <c r="B903" s="397"/>
      <c r="C903" s="397"/>
      <c r="D903" s="397"/>
      <c r="E903" s="397"/>
      <c r="F903" s="397"/>
      <c r="G903" s="397"/>
      <c r="H903" s="397"/>
      <c r="I903" s="450"/>
      <c r="J903" s="397"/>
      <c r="K903" s="397"/>
      <c r="L903" s="451"/>
      <c r="M903" s="449"/>
    </row>
    <row r="904" spans="1:13" x14ac:dyDescent="0.25">
      <c r="A904" s="397"/>
      <c r="B904" s="397"/>
      <c r="C904" s="397"/>
      <c r="D904" s="397"/>
      <c r="E904" s="397"/>
      <c r="F904" s="397"/>
      <c r="G904" s="397"/>
      <c r="H904" s="397"/>
      <c r="I904" s="450"/>
      <c r="J904" s="397"/>
      <c r="K904" s="397"/>
      <c r="L904" s="451"/>
      <c r="M904" s="449"/>
    </row>
    <row r="905" spans="1:13" x14ac:dyDescent="0.25">
      <c r="A905" s="397"/>
      <c r="B905" s="397"/>
      <c r="C905" s="397"/>
      <c r="D905" s="397"/>
      <c r="E905" s="397"/>
      <c r="F905" s="397"/>
      <c r="G905" s="397"/>
      <c r="H905" s="397"/>
      <c r="I905" s="450"/>
      <c r="J905" s="397"/>
      <c r="K905" s="397"/>
      <c r="L905" s="451"/>
      <c r="M905" s="449"/>
    </row>
    <row r="906" spans="1:13" x14ac:dyDescent="0.25">
      <c r="A906" s="397"/>
      <c r="B906" s="397"/>
      <c r="C906" s="397"/>
      <c r="D906" s="397"/>
      <c r="E906" s="397"/>
      <c r="F906" s="397"/>
      <c r="G906" s="397"/>
      <c r="H906" s="397"/>
      <c r="I906" s="450"/>
      <c r="J906" s="397"/>
      <c r="K906" s="397"/>
      <c r="L906" s="451"/>
      <c r="M906" s="449"/>
    </row>
    <row r="907" spans="1:13" x14ac:dyDescent="0.25">
      <c r="A907" s="397"/>
      <c r="B907" s="397"/>
      <c r="C907" s="397"/>
      <c r="D907" s="397"/>
      <c r="E907" s="397"/>
      <c r="F907" s="397"/>
      <c r="G907" s="397"/>
      <c r="H907" s="397"/>
      <c r="I907" s="450"/>
      <c r="J907" s="397"/>
      <c r="K907" s="397"/>
      <c r="L907" s="451"/>
      <c r="M907" s="449"/>
    </row>
    <row r="908" spans="1:13" x14ac:dyDescent="0.25">
      <c r="A908" s="397"/>
      <c r="B908" s="397"/>
      <c r="C908" s="397"/>
      <c r="D908" s="397"/>
      <c r="E908" s="397"/>
      <c r="F908" s="397"/>
      <c r="G908" s="397"/>
      <c r="H908" s="397"/>
      <c r="I908" s="450"/>
      <c r="J908" s="397"/>
      <c r="K908" s="397"/>
      <c r="L908" s="451"/>
      <c r="M908" s="449"/>
    </row>
    <row r="909" spans="1:13" x14ac:dyDescent="0.25">
      <c r="A909" s="397"/>
      <c r="B909" s="397"/>
      <c r="C909" s="397"/>
      <c r="D909" s="397"/>
      <c r="E909" s="397"/>
      <c r="F909" s="397"/>
      <c r="G909" s="397"/>
      <c r="H909" s="397"/>
      <c r="I909" s="450"/>
      <c r="J909" s="397"/>
      <c r="K909" s="397"/>
      <c r="L909" s="451"/>
      <c r="M909" s="449"/>
    </row>
    <row r="910" spans="1:13" x14ac:dyDescent="0.25">
      <c r="A910" s="397"/>
      <c r="B910" s="397"/>
      <c r="C910" s="397"/>
      <c r="D910" s="397"/>
      <c r="E910" s="397"/>
      <c r="F910" s="397"/>
      <c r="G910" s="397"/>
      <c r="H910" s="397"/>
      <c r="I910" s="450"/>
      <c r="J910" s="397"/>
      <c r="K910" s="397"/>
      <c r="L910" s="451"/>
      <c r="M910" s="449"/>
    </row>
    <row r="911" spans="1:13" x14ac:dyDescent="0.25">
      <c r="A911" s="397"/>
      <c r="B911" s="397"/>
      <c r="C911" s="397"/>
      <c r="D911" s="397"/>
      <c r="E911" s="397"/>
      <c r="F911" s="397"/>
      <c r="G911" s="397"/>
      <c r="H911" s="397"/>
      <c r="I911" s="450"/>
      <c r="J911" s="397"/>
      <c r="K911" s="397"/>
      <c r="L911" s="451"/>
      <c r="M911" s="449"/>
    </row>
    <row r="912" spans="1:13" x14ac:dyDescent="0.25">
      <c r="A912" s="397"/>
      <c r="B912" s="397"/>
      <c r="C912" s="397"/>
      <c r="D912" s="397"/>
      <c r="E912" s="397"/>
      <c r="F912" s="397"/>
      <c r="G912" s="397"/>
      <c r="H912" s="397"/>
      <c r="I912" s="450"/>
      <c r="J912" s="397"/>
      <c r="K912" s="397"/>
      <c r="L912" s="451"/>
      <c r="M912" s="449"/>
    </row>
    <row r="913" spans="1:13" x14ac:dyDescent="0.25">
      <c r="A913" s="397"/>
      <c r="B913" s="397"/>
      <c r="C913" s="397"/>
      <c r="D913" s="397"/>
      <c r="E913" s="397"/>
      <c r="F913" s="397"/>
      <c r="G913" s="397"/>
      <c r="H913" s="397"/>
      <c r="I913" s="450"/>
      <c r="J913" s="397"/>
      <c r="K913" s="397"/>
      <c r="L913" s="451"/>
      <c r="M913" s="449"/>
    </row>
    <row r="914" spans="1:13" x14ac:dyDescent="0.25">
      <c r="A914" s="397"/>
      <c r="B914" s="397"/>
      <c r="C914" s="397"/>
      <c r="D914" s="397"/>
      <c r="E914" s="397"/>
      <c r="F914" s="397"/>
      <c r="G914" s="397"/>
      <c r="H914" s="397"/>
      <c r="I914" s="450"/>
      <c r="J914" s="397"/>
      <c r="K914" s="397"/>
      <c r="L914" s="451"/>
      <c r="M914" s="449"/>
    </row>
    <row r="915" spans="1:13" x14ac:dyDescent="0.25">
      <c r="A915" s="397"/>
      <c r="B915" s="397"/>
      <c r="C915" s="397"/>
      <c r="D915" s="397"/>
      <c r="E915" s="397"/>
      <c r="F915" s="397"/>
      <c r="G915" s="397"/>
      <c r="H915" s="397"/>
      <c r="I915" s="450"/>
      <c r="J915" s="397"/>
      <c r="K915" s="397"/>
      <c r="L915" s="451"/>
      <c r="M915" s="449"/>
    </row>
    <row r="916" spans="1:13" x14ac:dyDescent="0.25">
      <c r="A916" s="397"/>
      <c r="B916" s="397"/>
      <c r="C916" s="397"/>
      <c r="D916" s="397"/>
      <c r="E916" s="397"/>
      <c r="F916" s="397"/>
      <c r="G916" s="397"/>
      <c r="H916" s="397"/>
      <c r="I916" s="450"/>
      <c r="J916" s="397"/>
      <c r="K916" s="397"/>
      <c r="L916" s="451"/>
      <c r="M916" s="449"/>
    </row>
    <row r="917" spans="1:13" x14ac:dyDescent="0.25">
      <c r="A917" s="397"/>
      <c r="B917" s="397"/>
      <c r="C917" s="397"/>
      <c r="D917" s="397"/>
      <c r="E917" s="397"/>
      <c r="F917" s="397"/>
      <c r="G917" s="397"/>
      <c r="H917" s="397"/>
      <c r="I917" s="450"/>
      <c r="J917" s="397"/>
      <c r="K917" s="397"/>
      <c r="L917" s="451"/>
      <c r="M917" s="449"/>
    </row>
    <row r="918" spans="1:13" x14ac:dyDescent="0.25">
      <c r="A918" s="397"/>
      <c r="B918" s="397"/>
      <c r="C918" s="397"/>
      <c r="D918" s="397"/>
      <c r="E918" s="397"/>
      <c r="F918" s="397"/>
      <c r="G918" s="397"/>
      <c r="H918" s="397"/>
      <c r="I918" s="450"/>
      <c r="J918" s="397"/>
      <c r="K918" s="397"/>
      <c r="L918" s="451"/>
      <c r="M918" s="449"/>
    </row>
    <row r="919" spans="1:13" x14ac:dyDescent="0.25">
      <c r="A919" s="397"/>
      <c r="B919" s="397"/>
      <c r="C919" s="397"/>
      <c r="D919" s="397"/>
      <c r="E919" s="397"/>
      <c r="F919" s="397"/>
      <c r="G919" s="397"/>
      <c r="H919" s="397"/>
      <c r="I919" s="450"/>
      <c r="J919" s="397"/>
      <c r="K919" s="397"/>
      <c r="L919" s="451"/>
      <c r="M919" s="449"/>
    </row>
    <row r="920" spans="1:13" x14ac:dyDescent="0.25">
      <c r="A920" s="397"/>
      <c r="B920" s="397"/>
      <c r="C920" s="397"/>
      <c r="D920" s="397"/>
      <c r="E920" s="397"/>
      <c r="F920" s="397"/>
      <c r="G920" s="397"/>
      <c r="H920" s="397"/>
      <c r="I920" s="450"/>
      <c r="J920" s="397"/>
      <c r="K920" s="397"/>
      <c r="L920" s="451"/>
      <c r="M920" s="449"/>
    </row>
    <row r="921" spans="1:13" x14ac:dyDescent="0.25">
      <c r="A921" s="397"/>
      <c r="B921" s="397"/>
      <c r="C921" s="397"/>
      <c r="D921" s="397"/>
      <c r="E921" s="397"/>
      <c r="F921" s="397"/>
      <c r="G921" s="397"/>
      <c r="H921" s="397"/>
      <c r="I921" s="450"/>
      <c r="J921" s="397"/>
      <c r="K921" s="397"/>
      <c r="L921" s="451"/>
      <c r="M921" s="449"/>
    </row>
    <row r="922" spans="1:13" x14ac:dyDescent="0.25">
      <c r="A922" s="397"/>
      <c r="B922" s="397"/>
      <c r="C922" s="397"/>
      <c r="D922" s="397"/>
      <c r="E922" s="397"/>
      <c r="F922" s="397"/>
      <c r="G922" s="397"/>
      <c r="H922" s="397"/>
      <c r="I922" s="450"/>
      <c r="J922" s="397"/>
      <c r="K922" s="397"/>
      <c r="L922" s="451"/>
      <c r="M922" s="449"/>
    </row>
    <row r="923" spans="1:13" x14ac:dyDescent="0.25">
      <c r="A923" s="397"/>
      <c r="B923" s="397"/>
      <c r="C923" s="397"/>
      <c r="D923" s="397"/>
      <c r="E923" s="397"/>
      <c r="F923" s="397"/>
      <c r="G923" s="397"/>
      <c r="H923" s="397"/>
      <c r="I923" s="450"/>
      <c r="J923" s="397"/>
      <c r="K923" s="397"/>
      <c r="L923" s="451"/>
      <c r="M923" s="449"/>
    </row>
    <row r="924" spans="1:13" x14ac:dyDescent="0.25">
      <c r="A924" s="397"/>
      <c r="B924" s="397"/>
      <c r="C924" s="397"/>
      <c r="D924" s="397"/>
      <c r="E924" s="397"/>
      <c r="F924" s="397"/>
      <c r="G924" s="397"/>
      <c r="H924" s="397"/>
      <c r="I924" s="450"/>
      <c r="J924" s="397"/>
      <c r="K924" s="397"/>
      <c r="L924" s="451"/>
      <c r="M924" s="449"/>
    </row>
    <row r="925" spans="1:13" x14ac:dyDescent="0.25">
      <c r="A925" s="397"/>
      <c r="B925" s="397"/>
      <c r="C925" s="397"/>
      <c r="D925" s="397"/>
      <c r="E925" s="397"/>
      <c r="F925" s="397"/>
      <c r="G925" s="397"/>
      <c r="H925" s="397"/>
      <c r="I925" s="450"/>
      <c r="J925" s="397"/>
      <c r="K925" s="397"/>
      <c r="L925" s="451"/>
      <c r="M925" s="449"/>
    </row>
    <row r="926" spans="1:13" x14ac:dyDescent="0.25">
      <c r="A926" s="397"/>
      <c r="B926" s="397"/>
      <c r="C926" s="397"/>
      <c r="D926" s="397"/>
      <c r="E926" s="397"/>
      <c r="F926" s="397"/>
      <c r="G926" s="397"/>
      <c r="H926" s="397"/>
      <c r="I926" s="450"/>
      <c r="J926" s="397"/>
      <c r="K926" s="397"/>
      <c r="L926" s="451"/>
      <c r="M926" s="449"/>
    </row>
    <row r="927" spans="1:13" x14ac:dyDescent="0.25">
      <c r="A927" s="397"/>
      <c r="B927" s="397"/>
      <c r="C927" s="397"/>
      <c r="D927" s="397"/>
      <c r="E927" s="397"/>
      <c r="F927" s="397"/>
      <c r="G927" s="397"/>
      <c r="H927" s="397"/>
      <c r="I927" s="450"/>
      <c r="J927" s="397"/>
      <c r="K927" s="397"/>
      <c r="L927" s="451"/>
      <c r="M927" s="449"/>
    </row>
    <row r="928" spans="1:13" x14ac:dyDescent="0.25">
      <c r="A928" s="397"/>
      <c r="B928" s="397"/>
      <c r="C928" s="397"/>
      <c r="D928" s="397"/>
      <c r="E928" s="397"/>
      <c r="F928" s="397"/>
      <c r="G928" s="397"/>
      <c r="H928" s="397"/>
      <c r="I928" s="450"/>
      <c r="J928" s="397"/>
      <c r="K928" s="397"/>
      <c r="L928" s="451"/>
      <c r="M928" s="449"/>
    </row>
    <row r="929" spans="1:13" x14ac:dyDescent="0.25">
      <c r="A929" s="397"/>
      <c r="B929" s="397"/>
      <c r="C929" s="397"/>
      <c r="D929" s="397"/>
      <c r="E929" s="397"/>
      <c r="F929" s="397"/>
      <c r="G929" s="397"/>
      <c r="H929" s="397"/>
      <c r="I929" s="450"/>
      <c r="J929" s="397"/>
      <c r="K929" s="397"/>
      <c r="L929" s="451"/>
      <c r="M929" s="449"/>
    </row>
    <row r="930" spans="1:13" x14ac:dyDescent="0.25">
      <c r="A930" s="397"/>
      <c r="B930" s="397"/>
      <c r="C930" s="397"/>
      <c r="D930" s="397"/>
      <c r="E930" s="397"/>
      <c r="F930" s="397"/>
      <c r="G930" s="397"/>
      <c r="H930" s="397"/>
      <c r="I930" s="450"/>
      <c r="J930" s="397"/>
      <c r="K930" s="397"/>
      <c r="L930" s="451"/>
      <c r="M930" s="449"/>
    </row>
    <row r="931" spans="1:13" x14ac:dyDescent="0.25">
      <c r="A931" s="397"/>
      <c r="B931" s="397"/>
      <c r="C931" s="397"/>
      <c r="D931" s="397"/>
      <c r="E931" s="397"/>
      <c r="F931" s="397"/>
      <c r="G931" s="397"/>
      <c r="H931" s="397"/>
      <c r="I931" s="450"/>
      <c r="J931" s="397"/>
      <c r="K931" s="397"/>
      <c r="L931" s="451"/>
      <c r="M931" s="449"/>
    </row>
    <row r="932" spans="1:13" x14ac:dyDescent="0.25">
      <c r="A932" s="397"/>
      <c r="B932" s="397"/>
      <c r="C932" s="397"/>
      <c r="D932" s="397"/>
      <c r="E932" s="397"/>
      <c r="F932" s="397"/>
      <c r="G932" s="397"/>
      <c r="H932" s="397"/>
      <c r="I932" s="450"/>
      <c r="J932" s="397"/>
      <c r="K932" s="397"/>
      <c r="L932" s="451"/>
      <c r="M932" s="449"/>
    </row>
    <row r="933" spans="1:13" x14ac:dyDescent="0.25">
      <c r="A933" s="397"/>
      <c r="B933" s="397"/>
      <c r="C933" s="397"/>
      <c r="D933" s="397"/>
      <c r="E933" s="397"/>
      <c r="F933" s="397"/>
      <c r="G933" s="397"/>
      <c r="H933" s="397"/>
      <c r="I933" s="450"/>
      <c r="J933" s="397"/>
      <c r="K933" s="397"/>
      <c r="L933" s="451"/>
      <c r="M933" s="449"/>
    </row>
    <row r="934" spans="1:13" x14ac:dyDescent="0.25">
      <c r="A934" s="397"/>
      <c r="B934" s="397"/>
      <c r="C934" s="397"/>
      <c r="D934" s="397"/>
      <c r="E934" s="397"/>
      <c r="F934" s="397"/>
      <c r="G934" s="397"/>
      <c r="H934" s="397"/>
      <c r="I934" s="450"/>
      <c r="J934" s="397"/>
      <c r="K934" s="397"/>
      <c r="L934" s="451"/>
      <c r="M934" s="449"/>
    </row>
    <row r="935" spans="1:13" x14ac:dyDescent="0.25">
      <c r="A935" s="397"/>
      <c r="B935" s="397"/>
      <c r="C935" s="397"/>
      <c r="D935" s="397"/>
      <c r="E935" s="397"/>
      <c r="F935" s="397"/>
      <c r="G935" s="397"/>
      <c r="H935" s="397"/>
      <c r="I935" s="450"/>
      <c r="J935" s="397"/>
      <c r="K935" s="397"/>
      <c r="L935" s="451"/>
      <c r="M935" s="449"/>
    </row>
    <row r="936" spans="1:13" x14ac:dyDescent="0.25">
      <c r="A936" s="397"/>
      <c r="B936" s="397"/>
      <c r="C936" s="397"/>
      <c r="D936" s="397"/>
      <c r="E936" s="397"/>
      <c r="F936" s="397"/>
      <c r="G936" s="397"/>
      <c r="H936" s="397"/>
      <c r="I936" s="450"/>
      <c r="J936" s="397"/>
      <c r="K936" s="397"/>
      <c r="L936" s="451"/>
      <c r="M936" s="449"/>
    </row>
    <row r="937" spans="1:13" x14ac:dyDescent="0.25">
      <c r="A937" s="397"/>
      <c r="B937" s="397"/>
      <c r="C937" s="397"/>
      <c r="D937" s="397"/>
      <c r="E937" s="397"/>
      <c r="F937" s="397"/>
      <c r="G937" s="397"/>
      <c r="H937" s="397"/>
      <c r="I937" s="450"/>
      <c r="J937" s="397"/>
      <c r="K937" s="397"/>
      <c r="L937" s="451"/>
      <c r="M937" s="449"/>
    </row>
    <row r="938" spans="1:13" x14ac:dyDescent="0.25">
      <c r="A938" s="397"/>
      <c r="B938" s="397"/>
      <c r="C938" s="397"/>
      <c r="D938" s="397"/>
      <c r="E938" s="397"/>
      <c r="F938" s="397"/>
      <c r="G938" s="397"/>
      <c r="H938" s="397"/>
      <c r="I938" s="450"/>
      <c r="J938" s="397"/>
      <c r="K938" s="397"/>
      <c r="L938" s="451"/>
      <c r="M938" s="449"/>
    </row>
    <row r="939" spans="1:13" x14ac:dyDescent="0.25">
      <c r="A939" s="397"/>
      <c r="B939" s="397"/>
      <c r="C939" s="397"/>
      <c r="D939" s="397"/>
      <c r="E939" s="397"/>
      <c r="F939" s="397"/>
      <c r="G939" s="397"/>
      <c r="H939" s="397"/>
      <c r="I939" s="450"/>
      <c r="J939" s="397"/>
      <c r="K939" s="397"/>
      <c r="L939" s="451"/>
      <c r="M939" s="449"/>
    </row>
    <row r="940" spans="1:13" x14ac:dyDescent="0.25">
      <c r="A940" s="397"/>
      <c r="B940" s="397"/>
      <c r="C940" s="397"/>
      <c r="D940" s="397"/>
      <c r="E940" s="397"/>
      <c r="F940" s="397"/>
      <c r="G940" s="397"/>
      <c r="H940" s="397"/>
      <c r="I940" s="450"/>
      <c r="J940" s="397"/>
      <c r="K940" s="397"/>
      <c r="L940" s="451"/>
      <c r="M940" s="449"/>
    </row>
    <row r="941" spans="1:13" x14ac:dyDescent="0.25">
      <c r="A941" s="397"/>
      <c r="B941" s="397"/>
      <c r="C941" s="397"/>
      <c r="D941" s="397"/>
      <c r="E941" s="397"/>
      <c r="F941" s="397"/>
      <c r="G941" s="397"/>
      <c r="H941" s="397"/>
      <c r="I941" s="450"/>
      <c r="J941" s="397"/>
      <c r="K941" s="397"/>
      <c r="L941" s="451"/>
      <c r="M941" s="449"/>
    </row>
    <row r="942" spans="1:13" x14ac:dyDescent="0.25">
      <c r="A942" s="397"/>
      <c r="B942" s="397"/>
      <c r="C942" s="397"/>
      <c r="D942" s="397"/>
      <c r="E942" s="397"/>
      <c r="F942" s="397"/>
      <c r="G942" s="397"/>
      <c r="H942" s="397"/>
      <c r="I942" s="450"/>
      <c r="J942" s="397"/>
      <c r="K942" s="397"/>
      <c r="L942" s="451"/>
      <c r="M942" s="449"/>
    </row>
    <row r="943" spans="1:13" x14ac:dyDescent="0.25">
      <c r="A943" s="397"/>
      <c r="B943" s="397"/>
      <c r="C943" s="397"/>
      <c r="D943" s="397"/>
      <c r="E943" s="397"/>
      <c r="F943" s="397"/>
      <c r="G943" s="397"/>
      <c r="H943" s="397"/>
      <c r="I943" s="450"/>
      <c r="J943" s="397"/>
      <c r="K943" s="397"/>
      <c r="L943" s="451"/>
      <c r="M943" s="449"/>
    </row>
    <row r="944" spans="1:13" x14ac:dyDescent="0.25">
      <c r="A944" s="397"/>
      <c r="B944" s="397"/>
      <c r="C944" s="397"/>
      <c r="D944" s="397"/>
      <c r="E944" s="397"/>
      <c r="F944" s="397"/>
      <c r="G944" s="397"/>
      <c r="H944" s="397"/>
      <c r="I944" s="450"/>
      <c r="J944" s="397"/>
      <c r="K944" s="397"/>
      <c r="L944" s="451"/>
      <c r="M944" s="449"/>
    </row>
    <row r="945" spans="1:13" x14ac:dyDescent="0.25">
      <c r="A945" s="397"/>
      <c r="B945" s="397"/>
      <c r="C945" s="397"/>
      <c r="D945" s="397"/>
      <c r="E945" s="397"/>
      <c r="F945" s="397"/>
      <c r="G945" s="397"/>
      <c r="H945" s="397"/>
      <c r="I945" s="450"/>
      <c r="J945" s="397"/>
      <c r="K945" s="397"/>
      <c r="L945" s="451"/>
      <c r="M945" s="449"/>
    </row>
    <row r="946" spans="1:13" x14ac:dyDescent="0.25">
      <c r="A946" s="397"/>
      <c r="B946" s="397"/>
      <c r="C946" s="397"/>
      <c r="D946" s="397"/>
      <c r="E946" s="397"/>
      <c r="F946" s="397"/>
      <c r="G946" s="397"/>
      <c r="H946" s="397"/>
      <c r="I946" s="450"/>
      <c r="J946" s="397"/>
      <c r="K946" s="397"/>
      <c r="L946" s="451"/>
      <c r="M946" s="449"/>
    </row>
    <row r="947" spans="1:13" x14ac:dyDescent="0.25">
      <c r="A947" s="397"/>
      <c r="B947" s="397"/>
      <c r="C947" s="397"/>
      <c r="D947" s="397"/>
      <c r="E947" s="397"/>
      <c r="F947" s="397"/>
      <c r="G947" s="397"/>
      <c r="H947" s="397"/>
      <c r="I947" s="450"/>
      <c r="J947" s="397"/>
      <c r="K947" s="397"/>
      <c r="L947" s="451"/>
      <c r="M947" s="449"/>
    </row>
    <row r="948" spans="1:13" x14ac:dyDescent="0.25">
      <c r="A948" s="397"/>
      <c r="B948" s="397"/>
      <c r="C948" s="397"/>
      <c r="D948" s="397"/>
      <c r="E948" s="397"/>
      <c r="F948" s="397"/>
      <c r="G948" s="397"/>
      <c r="H948" s="397"/>
      <c r="I948" s="450"/>
      <c r="J948" s="397"/>
      <c r="K948" s="397"/>
      <c r="L948" s="451"/>
      <c r="M948" s="449"/>
    </row>
    <row r="949" spans="1:13" x14ac:dyDescent="0.25">
      <c r="A949" s="397"/>
      <c r="B949" s="397"/>
      <c r="C949" s="397"/>
      <c r="D949" s="397"/>
      <c r="E949" s="397"/>
      <c r="F949" s="397"/>
      <c r="G949" s="397"/>
      <c r="H949" s="397"/>
      <c r="I949" s="450"/>
      <c r="J949" s="397"/>
      <c r="K949" s="397"/>
      <c r="L949" s="451"/>
      <c r="M949" s="449"/>
    </row>
    <row r="950" spans="1:13" x14ac:dyDescent="0.25">
      <c r="A950" s="397"/>
      <c r="B950" s="397"/>
      <c r="C950" s="397"/>
      <c r="D950" s="397"/>
      <c r="E950" s="397"/>
      <c r="F950" s="397"/>
      <c r="G950" s="397"/>
      <c r="H950" s="397"/>
      <c r="I950" s="450"/>
      <c r="J950" s="397"/>
      <c r="K950" s="397"/>
      <c r="L950" s="451"/>
      <c r="M950" s="449"/>
    </row>
    <row r="951" spans="1:13" x14ac:dyDescent="0.25">
      <c r="A951" s="397"/>
      <c r="B951" s="397"/>
      <c r="C951" s="397"/>
      <c r="D951" s="397"/>
      <c r="E951" s="397"/>
      <c r="F951" s="397"/>
      <c r="G951" s="397"/>
      <c r="H951" s="397"/>
      <c r="I951" s="450"/>
      <c r="J951" s="397"/>
      <c r="K951" s="397"/>
      <c r="L951" s="451"/>
      <c r="M951" s="449"/>
    </row>
    <row r="952" spans="1:13" x14ac:dyDescent="0.25">
      <c r="A952" s="397"/>
      <c r="B952" s="397"/>
      <c r="C952" s="397"/>
      <c r="D952" s="397"/>
      <c r="E952" s="397"/>
      <c r="F952" s="397"/>
      <c r="G952" s="397"/>
      <c r="H952" s="397"/>
      <c r="I952" s="450"/>
      <c r="J952" s="397"/>
      <c r="K952" s="397"/>
      <c r="L952" s="451"/>
      <c r="M952" s="449"/>
    </row>
    <row r="953" spans="1:13" x14ac:dyDescent="0.25">
      <c r="A953" s="397"/>
      <c r="B953" s="397"/>
      <c r="C953" s="397"/>
      <c r="D953" s="397"/>
      <c r="E953" s="397"/>
      <c r="F953" s="397"/>
      <c r="G953" s="397"/>
      <c r="H953" s="397"/>
      <c r="I953" s="450"/>
      <c r="J953" s="397"/>
      <c r="K953" s="397"/>
      <c r="L953" s="451"/>
      <c r="M953" s="449"/>
    </row>
    <row r="954" spans="1:13" x14ac:dyDescent="0.25">
      <c r="A954" s="397"/>
      <c r="B954" s="397"/>
      <c r="C954" s="397"/>
      <c r="D954" s="397"/>
      <c r="E954" s="397"/>
      <c r="F954" s="397"/>
      <c r="G954" s="397"/>
      <c r="H954" s="397"/>
      <c r="I954" s="450"/>
      <c r="J954" s="397"/>
      <c r="K954" s="397"/>
      <c r="L954" s="451"/>
      <c r="M954" s="449"/>
    </row>
    <row r="955" spans="1:13" x14ac:dyDescent="0.25">
      <c r="A955" s="397"/>
      <c r="B955" s="397"/>
      <c r="C955" s="397"/>
      <c r="D955" s="397"/>
      <c r="E955" s="397"/>
      <c r="F955" s="397"/>
      <c r="G955" s="397"/>
      <c r="H955" s="397"/>
      <c r="I955" s="450"/>
      <c r="J955" s="397"/>
      <c r="K955" s="397"/>
      <c r="L955" s="451"/>
      <c r="M955" s="449"/>
    </row>
    <row r="956" spans="1:13" x14ac:dyDescent="0.25">
      <c r="A956" s="397"/>
      <c r="B956" s="397"/>
      <c r="C956" s="397"/>
      <c r="D956" s="397"/>
      <c r="E956" s="397"/>
      <c r="F956" s="397"/>
      <c r="G956" s="397"/>
      <c r="H956" s="397"/>
      <c r="I956" s="450"/>
      <c r="J956" s="397"/>
      <c r="K956" s="397"/>
      <c r="L956" s="451"/>
      <c r="M956" s="449"/>
    </row>
    <row r="957" spans="1:13" x14ac:dyDescent="0.25">
      <c r="A957" s="397"/>
      <c r="B957" s="397"/>
      <c r="C957" s="397"/>
      <c r="D957" s="397"/>
      <c r="E957" s="397"/>
      <c r="F957" s="397"/>
      <c r="G957" s="397"/>
      <c r="H957" s="397"/>
      <c r="I957" s="450"/>
      <c r="J957" s="397"/>
      <c r="K957" s="397"/>
      <c r="L957" s="451"/>
      <c r="M957" s="449"/>
    </row>
    <row r="958" spans="1:13" x14ac:dyDescent="0.25">
      <c r="A958" s="397"/>
      <c r="B958" s="397"/>
      <c r="C958" s="397"/>
      <c r="D958" s="397"/>
      <c r="E958" s="397"/>
      <c r="F958" s="397"/>
      <c r="G958" s="397"/>
      <c r="H958" s="397"/>
      <c r="I958" s="450"/>
      <c r="J958" s="397"/>
      <c r="K958" s="397"/>
      <c r="L958" s="451"/>
      <c r="M958" s="449"/>
    </row>
    <row r="959" spans="1:13" x14ac:dyDescent="0.25">
      <c r="A959" s="397"/>
      <c r="B959" s="397"/>
      <c r="C959" s="397"/>
      <c r="D959" s="397"/>
      <c r="E959" s="397"/>
      <c r="F959" s="397"/>
      <c r="G959" s="397"/>
      <c r="H959" s="397"/>
      <c r="I959" s="450"/>
      <c r="J959" s="397"/>
      <c r="K959" s="397"/>
      <c r="L959" s="451"/>
      <c r="M959" s="449"/>
    </row>
    <row r="960" spans="1:13" x14ac:dyDescent="0.25">
      <c r="A960" s="397"/>
      <c r="B960" s="397"/>
      <c r="C960" s="397"/>
      <c r="D960" s="397"/>
      <c r="E960" s="397"/>
      <c r="F960" s="397"/>
      <c r="G960" s="397"/>
      <c r="H960" s="397"/>
      <c r="I960" s="450"/>
      <c r="J960" s="397"/>
      <c r="K960" s="397"/>
      <c r="L960" s="451"/>
      <c r="M960" s="449"/>
    </row>
    <row r="961" spans="1:13" x14ac:dyDescent="0.25">
      <c r="A961" s="397"/>
      <c r="B961" s="397"/>
      <c r="C961" s="397"/>
      <c r="D961" s="397"/>
      <c r="E961" s="397"/>
      <c r="F961" s="397"/>
      <c r="G961" s="397"/>
      <c r="H961" s="397"/>
      <c r="I961" s="450"/>
      <c r="J961" s="397"/>
      <c r="K961" s="397"/>
      <c r="L961" s="451"/>
      <c r="M961" s="449"/>
    </row>
    <row r="962" spans="1:13" x14ac:dyDescent="0.25">
      <c r="A962" s="397"/>
      <c r="B962" s="397"/>
      <c r="C962" s="397"/>
      <c r="D962" s="397"/>
      <c r="E962" s="397"/>
      <c r="F962" s="397"/>
      <c r="G962" s="397"/>
      <c r="H962" s="397"/>
      <c r="I962" s="450"/>
      <c r="J962" s="397"/>
      <c r="K962" s="397"/>
      <c r="L962" s="451"/>
      <c r="M962" s="449"/>
    </row>
    <row r="963" spans="1:13" x14ac:dyDescent="0.25">
      <c r="A963" s="397"/>
      <c r="B963" s="397"/>
      <c r="C963" s="397"/>
      <c r="D963" s="397"/>
      <c r="E963" s="397"/>
      <c r="F963" s="397"/>
      <c r="G963" s="397"/>
      <c r="H963" s="397"/>
      <c r="I963" s="450"/>
      <c r="J963" s="397"/>
      <c r="K963" s="397"/>
      <c r="L963" s="451"/>
      <c r="M963" s="449"/>
    </row>
    <row r="964" spans="1:13" x14ac:dyDescent="0.25">
      <c r="A964" s="397"/>
      <c r="B964" s="397"/>
      <c r="C964" s="397"/>
      <c r="D964" s="397"/>
      <c r="E964" s="397"/>
      <c r="F964" s="397"/>
      <c r="G964" s="397"/>
      <c r="H964" s="397"/>
      <c r="I964" s="450"/>
      <c r="J964" s="397"/>
      <c r="K964" s="397"/>
      <c r="L964" s="451"/>
      <c r="M964" s="449"/>
    </row>
    <row r="965" spans="1:13" x14ac:dyDescent="0.25">
      <c r="A965" s="397"/>
      <c r="B965" s="397"/>
      <c r="C965" s="397"/>
      <c r="D965" s="397"/>
      <c r="E965" s="397"/>
      <c r="F965" s="397"/>
      <c r="G965" s="397"/>
      <c r="H965" s="397"/>
      <c r="I965" s="450"/>
      <c r="J965" s="397"/>
      <c r="K965" s="397"/>
      <c r="L965" s="451"/>
      <c r="M965" s="449"/>
    </row>
    <row r="966" spans="1:13" x14ac:dyDescent="0.25">
      <c r="A966" s="397"/>
      <c r="B966" s="397"/>
      <c r="C966" s="397"/>
      <c r="D966" s="397"/>
      <c r="E966" s="397"/>
      <c r="F966" s="397"/>
      <c r="G966" s="397"/>
      <c r="H966" s="397"/>
      <c r="I966" s="450"/>
      <c r="J966" s="397"/>
      <c r="K966" s="397"/>
      <c r="L966" s="451"/>
      <c r="M966" s="449"/>
    </row>
    <row r="967" spans="1:13" x14ac:dyDescent="0.25">
      <c r="A967" s="397"/>
      <c r="B967" s="397"/>
      <c r="C967" s="397"/>
      <c r="D967" s="397"/>
      <c r="E967" s="397"/>
      <c r="F967" s="397"/>
      <c r="G967" s="397"/>
      <c r="H967" s="397"/>
      <c r="I967" s="450"/>
      <c r="J967" s="397"/>
      <c r="K967" s="397"/>
      <c r="L967" s="451"/>
      <c r="M967" s="449"/>
    </row>
    <row r="968" spans="1:13" x14ac:dyDescent="0.25">
      <c r="A968" s="397"/>
      <c r="B968" s="397"/>
      <c r="C968" s="397"/>
      <c r="D968" s="397"/>
      <c r="E968" s="397"/>
      <c r="F968" s="397"/>
      <c r="G968" s="397"/>
      <c r="H968" s="397"/>
      <c r="I968" s="450"/>
      <c r="J968" s="397"/>
      <c r="K968" s="397"/>
      <c r="L968" s="451"/>
      <c r="M968" s="449"/>
    </row>
    <row r="969" spans="1:13" x14ac:dyDescent="0.25">
      <c r="A969" s="397"/>
      <c r="B969" s="397"/>
      <c r="C969" s="397"/>
      <c r="D969" s="397"/>
      <c r="E969" s="397"/>
      <c r="F969" s="397"/>
      <c r="G969" s="397"/>
      <c r="H969" s="397"/>
      <c r="I969" s="450"/>
      <c r="J969" s="397"/>
      <c r="K969" s="397"/>
      <c r="L969" s="451"/>
      <c r="M969" s="449"/>
    </row>
    <row r="970" spans="1:13" x14ac:dyDescent="0.25">
      <c r="A970" s="397"/>
      <c r="B970" s="397"/>
      <c r="C970" s="397"/>
      <c r="D970" s="397"/>
      <c r="E970" s="397"/>
      <c r="F970" s="397"/>
      <c r="G970" s="397"/>
      <c r="H970" s="397"/>
      <c r="I970" s="450"/>
      <c r="J970" s="397"/>
      <c r="K970" s="397"/>
      <c r="L970" s="451"/>
      <c r="M970" s="449"/>
    </row>
    <row r="971" spans="1:13" x14ac:dyDescent="0.25">
      <c r="A971" s="397"/>
      <c r="B971" s="397"/>
      <c r="C971" s="397"/>
      <c r="D971" s="397"/>
      <c r="E971" s="397"/>
      <c r="F971" s="397"/>
      <c r="G971" s="397"/>
      <c r="H971" s="397"/>
      <c r="I971" s="450"/>
      <c r="J971" s="397"/>
      <c r="K971" s="397"/>
      <c r="L971" s="451"/>
      <c r="M971" s="449"/>
    </row>
    <row r="972" spans="1:13" x14ac:dyDescent="0.25">
      <c r="A972" s="397"/>
      <c r="B972" s="397"/>
      <c r="C972" s="397"/>
      <c r="D972" s="397"/>
      <c r="E972" s="397"/>
      <c r="F972" s="397"/>
      <c r="G972" s="397"/>
      <c r="H972" s="397"/>
      <c r="I972" s="450"/>
      <c r="J972" s="397"/>
      <c r="K972" s="397"/>
      <c r="L972" s="451"/>
      <c r="M972" s="449"/>
    </row>
    <row r="973" spans="1:13" x14ac:dyDescent="0.25">
      <c r="A973" s="397"/>
      <c r="B973" s="397"/>
      <c r="C973" s="397"/>
      <c r="D973" s="397"/>
      <c r="E973" s="397"/>
      <c r="F973" s="397"/>
      <c r="G973" s="397"/>
      <c r="H973" s="397"/>
      <c r="I973" s="450"/>
      <c r="J973" s="397"/>
      <c r="K973" s="397"/>
      <c r="L973" s="451"/>
      <c r="M973" s="449"/>
    </row>
    <row r="974" spans="1:13" x14ac:dyDescent="0.25">
      <c r="A974" s="397"/>
      <c r="B974" s="397"/>
      <c r="C974" s="397"/>
      <c r="D974" s="397"/>
      <c r="E974" s="397"/>
      <c r="F974" s="397"/>
      <c r="G974" s="397"/>
      <c r="H974" s="397"/>
      <c r="I974" s="450"/>
      <c r="J974" s="397"/>
      <c r="K974" s="397"/>
      <c r="L974" s="451"/>
      <c r="M974" s="449"/>
    </row>
    <row r="975" spans="1:13" x14ac:dyDescent="0.25">
      <c r="A975" s="397"/>
      <c r="B975" s="397"/>
      <c r="C975" s="397"/>
      <c r="D975" s="397"/>
      <c r="E975" s="397"/>
      <c r="F975" s="397"/>
      <c r="G975" s="397"/>
      <c r="H975" s="397"/>
      <c r="I975" s="450"/>
      <c r="J975" s="397"/>
      <c r="K975" s="397"/>
      <c r="L975" s="451"/>
      <c r="M975" s="449"/>
    </row>
    <row r="976" spans="1:13" x14ac:dyDescent="0.25">
      <c r="A976" s="397"/>
      <c r="B976" s="397"/>
      <c r="C976" s="397"/>
      <c r="D976" s="397"/>
      <c r="E976" s="397"/>
      <c r="F976" s="397"/>
      <c r="G976" s="397"/>
      <c r="H976" s="397"/>
      <c r="I976" s="450"/>
      <c r="J976" s="397"/>
      <c r="K976" s="397"/>
      <c r="L976" s="451"/>
      <c r="M976" s="449"/>
    </row>
    <row r="977" spans="1:13" x14ac:dyDescent="0.25">
      <c r="A977" s="397"/>
      <c r="B977" s="397"/>
      <c r="C977" s="397"/>
      <c r="D977" s="397"/>
      <c r="E977" s="397"/>
      <c r="F977" s="397"/>
      <c r="G977" s="397"/>
      <c r="H977" s="397"/>
      <c r="I977" s="450"/>
      <c r="J977" s="397"/>
      <c r="K977" s="397"/>
      <c r="L977" s="451"/>
      <c r="M977" s="449"/>
    </row>
    <row r="978" spans="1:13" x14ac:dyDescent="0.25">
      <c r="A978" s="397"/>
      <c r="B978" s="397"/>
      <c r="C978" s="397"/>
      <c r="D978" s="397"/>
      <c r="E978" s="397"/>
      <c r="F978" s="397"/>
      <c r="G978" s="397"/>
      <c r="H978" s="397"/>
      <c r="I978" s="450"/>
      <c r="J978" s="397"/>
      <c r="K978" s="397"/>
      <c r="L978" s="451"/>
      <c r="M978" s="449"/>
    </row>
    <row r="979" spans="1:13" x14ac:dyDescent="0.25">
      <c r="A979" s="397"/>
      <c r="B979" s="397"/>
      <c r="C979" s="397"/>
      <c r="D979" s="397"/>
      <c r="E979" s="397"/>
      <c r="F979" s="397"/>
      <c r="G979" s="397"/>
      <c r="H979" s="397"/>
      <c r="I979" s="450"/>
      <c r="J979" s="397"/>
      <c r="K979" s="397"/>
      <c r="L979" s="451"/>
      <c r="M979" s="449"/>
    </row>
    <row r="980" spans="1:13" x14ac:dyDescent="0.25">
      <c r="A980" s="397"/>
      <c r="B980" s="397"/>
      <c r="C980" s="397"/>
      <c r="D980" s="397"/>
      <c r="E980" s="397"/>
      <c r="F980" s="397"/>
      <c r="G980" s="397"/>
      <c r="H980" s="397"/>
      <c r="I980" s="450"/>
      <c r="J980" s="397"/>
      <c r="K980" s="397"/>
      <c r="L980" s="451"/>
      <c r="M980" s="449"/>
    </row>
    <row r="981" spans="1:13" x14ac:dyDescent="0.25">
      <c r="A981" s="397"/>
      <c r="B981" s="397"/>
      <c r="C981" s="397"/>
      <c r="D981" s="397"/>
      <c r="E981" s="397"/>
      <c r="F981" s="397"/>
      <c r="G981" s="397"/>
      <c r="H981" s="397"/>
      <c r="I981" s="450"/>
      <c r="J981" s="397"/>
      <c r="K981" s="397"/>
      <c r="L981" s="451"/>
      <c r="M981" s="449"/>
    </row>
    <row r="982" spans="1:13" x14ac:dyDescent="0.25">
      <c r="A982" s="397"/>
      <c r="B982" s="397"/>
      <c r="C982" s="397"/>
      <c r="D982" s="397"/>
      <c r="E982" s="397"/>
      <c r="F982" s="397"/>
      <c r="G982" s="397"/>
      <c r="H982" s="397"/>
      <c r="I982" s="450"/>
      <c r="J982" s="397"/>
      <c r="K982" s="397"/>
      <c r="L982" s="451"/>
      <c r="M982" s="449"/>
    </row>
    <row r="983" spans="1:13" x14ac:dyDescent="0.25">
      <c r="A983" s="397"/>
      <c r="B983" s="397"/>
      <c r="C983" s="397"/>
      <c r="D983" s="397"/>
      <c r="E983" s="397"/>
      <c r="F983" s="397"/>
      <c r="G983" s="397"/>
      <c r="H983" s="397"/>
      <c r="I983" s="450"/>
      <c r="J983" s="397"/>
      <c r="K983" s="397"/>
      <c r="L983" s="451"/>
      <c r="M983" s="449"/>
    </row>
    <row r="984" spans="1:13" x14ac:dyDescent="0.25">
      <c r="A984" s="397"/>
      <c r="B984" s="397"/>
      <c r="C984" s="397"/>
      <c r="D984" s="397"/>
      <c r="E984" s="397"/>
      <c r="F984" s="397"/>
      <c r="G984" s="397"/>
      <c r="H984" s="397"/>
      <c r="I984" s="450"/>
      <c r="J984" s="397"/>
      <c r="K984" s="397"/>
      <c r="L984" s="451"/>
      <c r="M984" s="449"/>
    </row>
    <row r="985" spans="1:13" x14ac:dyDescent="0.25">
      <c r="A985" s="397"/>
      <c r="B985" s="397"/>
      <c r="C985" s="397"/>
      <c r="D985" s="397"/>
      <c r="E985" s="397"/>
      <c r="F985" s="397"/>
      <c r="G985" s="397"/>
      <c r="H985" s="397"/>
      <c r="I985" s="450"/>
      <c r="J985" s="397"/>
      <c r="K985" s="397"/>
      <c r="L985" s="451"/>
      <c r="M985" s="449"/>
    </row>
    <row r="986" spans="1:13" x14ac:dyDescent="0.25">
      <c r="A986" s="397"/>
      <c r="B986" s="397"/>
      <c r="C986" s="397"/>
      <c r="D986" s="397"/>
      <c r="E986" s="397"/>
      <c r="F986" s="397"/>
      <c r="G986" s="397"/>
      <c r="H986" s="397"/>
      <c r="I986" s="450"/>
      <c r="J986" s="397"/>
      <c r="K986" s="397"/>
      <c r="L986" s="451"/>
      <c r="M986" s="449"/>
    </row>
    <row r="987" spans="1:13" x14ac:dyDescent="0.25">
      <c r="A987" s="397"/>
      <c r="B987" s="397"/>
      <c r="C987" s="397"/>
      <c r="D987" s="397"/>
      <c r="E987" s="397"/>
      <c r="F987" s="397"/>
      <c r="G987" s="397"/>
      <c r="H987" s="397"/>
      <c r="I987" s="450"/>
      <c r="J987" s="397"/>
      <c r="K987" s="397"/>
      <c r="L987" s="451"/>
      <c r="M987" s="449"/>
    </row>
    <row r="988" spans="1:13" x14ac:dyDescent="0.25">
      <c r="A988" s="397"/>
      <c r="B988" s="397"/>
      <c r="C988" s="397"/>
      <c r="D988" s="397"/>
      <c r="E988" s="397"/>
      <c r="F988" s="397"/>
      <c r="G988" s="397"/>
      <c r="H988" s="397"/>
      <c r="I988" s="450"/>
      <c r="J988" s="397"/>
      <c r="K988" s="397"/>
      <c r="L988" s="451"/>
      <c r="M988" s="449"/>
    </row>
    <row r="989" spans="1:13" x14ac:dyDescent="0.25">
      <c r="A989" s="397"/>
      <c r="B989" s="397"/>
      <c r="C989" s="397"/>
      <c r="D989" s="397"/>
      <c r="E989" s="397"/>
      <c r="F989" s="397"/>
      <c r="G989" s="397"/>
      <c r="H989" s="397"/>
      <c r="I989" s="450"/>
      <c r="J989" s="397"/>
      <c r="K989" s="397"/>
      <c r="L989" s="451"/>
      <c r="M989" s="449"/>
    </row>
    <row r="990" spans="1:13" x14ac:dyDescent="0.25">
      <c r="A990" s="397"/>
      <c r="B990" s="397"/>
      <c r="C990" s="397"/>
      <c r="D990" s="397"/>
      <c r="E990" s="397"/>
      <c r="F990" s="397"/>
      <c r="G990" s="397"/>
      <c r="H990" s="397"/>
      <c r="I990" s="450"/>
      <c r="J990" s="397"/>
      <c r="K990" s="397"/>
      <c r="L990" s="451"/>
      <c r="M990" s="449"/>
    </row>
    <row r="991" spans="1:13" x14ac:dyDescent="0.25">
      <c r="A991" s="397"/>
      <c r="B991" s="397"/>
      <c r="C991" s="397"/>
      <c r="D991" s="397"/>
      <c r="E991" s="397"/>
      <c r="F991" s="397"/>
      <c r="G991" s="397"/>
      <c r="H991" s="397"/>
      <c r="I991" s="450"/>
      <c r="J991" s="397"/>
      <c r="K991" s="397"/>
      <c r="L991" s="451"/>
      <c r="M991" s="449"/>
    </row>
    <row r="992" spans="1:13" x14ac:dyDescent="0.25">
      <c r="A992" s="397"/>
      <c r="B992" s="397"/>
      <c r="C992" s="397"/>
      <c r="D992" s="397"/>
      <c r="E992" s="397"/>
      <c r="F992" s="397"/>
      <c r="G992" s="397"/>
      <c r="H992" s="397"/>
      <c r="I992" s="450"/>
      <c r="J992" s="397"/>
      <c r="K992" s="397"/>
      <c r="L992" s="451"/>
      <c r="M992" s="449"/>
    </row>
    <row r="993" spans="1:13" x14ac:dyDescent="0.25">
      <c r="A993" s="397"/>
      <c r="B993" s="397"/>
      <c r="C993" s="397"/>
      <c r="D993" s="397"/>
      <c r="E993" s="397"/>
      <c r="F993" s="397"/>
      <c r="G993" s="397"/>
      <c r="H993" s="397"/>
      <c r="I993" s="450"/>
      <c r="J993" s="397"/>
      <c r="K993" s="397"/>
      <c r="L993" s="451"/>
      <c r="M993" s="449"/>
    </row>
    <row r="994" spans="1:13" x14ac:dyDescent="0.25">
      <c r="A994" s="397"/>
      <c r="B994" s="397"/>
      <c r="C994" s="397"/>
      <c r="D994" s="397"/>
      <c r="E994" s="397"/>
      <c r="F994" s="397"/>
      <c r="G994" s="397"/>
      <c r="H994" s="397"/>
      <c r="I994" s="450"/>
      <c r="J994" s="397"/>
      <c r="K994" s="397"/>
      <c r="L994" s="451"/>
      <c r="M994" s="449"/>
    </row>
    <row r="995" spans="1:13" x14ac:dyDescent="0.25">
      <c r="A995" s="397"/>
      <c r="B995" s="397"/>
      <c r="C995" s="397"/>
      <c r="D995" s="397"/>
      <c r="E995" s="397"/>
      <c r="F995" s="397"/>
      <c r="G995" s="397"/>
      <c r="H995" s="397"/>
      <c r="I995" s="450"/>
      <c r="J995" s="397"/>
      <c r="K995" s="397"/>
      <c r="L995" s="451"/>
      <c r="M995" s="449"/>
    </row>
    <row r="996" spans="1:13" x14ac:dyDescent="0.25">
      <c r="A996" s="397"/>
      <c r="B996" s="397"/>
      <c r="C996" s="397"/>
      <c r="D996" s="397"/>
      <c r="E996" s="397"/>
      <c r="F996" s="397"/>
      <c r="G996" s="397"/>
      <c r="H996" s="397"/>
      <c r="I996" s="450"/>
      <c r="J996" s="397"/>
      <c r="K996" s="397"/>
      <c r="L996" s="451"/>
      <c r="M996" s="449"/>
    </row>
    <row r="997" spans="1:13" x14ac:dyDescent="0.25">
      <c r="A997" s="397"/>
      <c r="B997" s="397"/>
      <c r="C997" s="397"/>
      <c r="D997" s="397"/>
      <c r="E997" s="397"/>
      <c r="F997" s="397"/>
      <c r="G997" s="397"/>
      <c r="H997" s="397"/>
      <c r="I997" s="450"/>
      <c r="J997" s="397"/>
      <c r="K997" s="397"/>
      <c r="L997" s="451"/>
      <c r="M997" s="449"/>
    </row>
    <row r="998" spans="1:13" x14ac:dyDescent="0.25">
      <c r="A998" s="397"/>
      <c r="B998" s="397"/>
      <c r="C998" s="397"/>
      <c r="D998" s="397"/>
      <c r="E998" s="397"/>
      <c r="F998" s="397"/>
      <c r="G998" s="397"/>
      <c r="H998" s="397"/>
      <c r="I998" s="450"/>
      <c r="J998" s="397"/>
      <c r="K998" s="397"/>
      <c r="L998" s="451"/>
      <c r="M998" s="449"/>
    </row>
    <row r="999" spans="1:13" x14ac:dyDescent="0.25">
      <c r="A999" s="397"/>
      <c r="B999" s="397"/>
      <c r="C999" s="397"/>
      <c r="D999" s="397"/>
      <c r="E999" s="397"/>
      <c r="F999" s="397"/>
      <c r="G999" s="397"/>
      <c r="H999" s="397"/>
      <c r="I999" s="450"/>
      <c r="J999" s="397"/>
      <c r="K999" s="397"/>
      <c r="L999" s="451"/>
      <c r="M999" s="449"/>
    </row>
    <row r="1000" spans="1:13" x14ac:dyDescent="0.25">
      <c r="A1000" s="397"/>
      <c r="B1000" s="397"/>
      <c r="C1000" s="397"/>
      <c r="D1000" s="397"/>
      <c r="E1000" s="397"/>
      <c r="F1000" s="397"/>
      <c r="G1000" s="397"/>
      <c r="H1000" s="397"/>
      <c r="I1000" s="450"/>
      <c r="J1000" s="397"/>
      <c r="K1000" s="397"/>
      <c r="L1000" s="451"/>
      <c r="M1000" s="449"/>
    </row>
    <row r="1001" spans="1:13" x14ac:dyDescent="0.25">
      <c r="A1001" s="397"/>
      <c r="B1001" s="397"/>
      <c r="C1001" s="397"/>
      <c r="D1001" s="397"/>
      <c r="E1001" s="397"/>
      <c r="F1001" s="397"/>
      <c r="G1001" s="397"/>
      <c r="H1001" s="397"/>
      <c r="I1001" s="450"/>
      <c r="J1001" s="397"/>
      <c r="K1001" s="397"/>
      <c r="L1001" s="451"/>
      <c r="M1001" s="449"/>
    </row>
    <row r="1002" spans="1:13" x14ac:dyDescent="0.25">
      <c r="A1002" s="397"/>
      <c r="B1002" s="397"/>
      <c r="C1002" s="397"/>
      <c r="D1002" s="397"/>
      <c r="E1002" s="397"/>
      <c r="F1002" s="397"/>
      <c r="G1002" s="397"/>
      <c r="H1002" s="397"/>
      <c r="I1002" s="450"/>
      <c r="J1002" s="397"/>
      <c r="K1002" s="397"/>
      <c r="L1002" s="451"/>
      <c r="M1002" s="449"/>
    </row>
    <row r="1003" spans="1:13" x14ac:dyDescent="0.25">
      <c r="A1003" s="397"/>
      <c r="B1003" s="397"/>
      <c r="C1003" s="397"/>
      <c r="D1003" s="397"/>
      <c r="E1003" s="397"/>
      <c r="F1003" s="397"/>
      <c r="G1003" s="397"/>
      <c r="H1003" s="397"/>
      <c r="I1003" s="450"/>
      <c r="J1003" s="397"/>
      <c r="K1003" s="397"/>
      <c r="L1003" s="451"/>
      <c r="M1003" s="449"/>
    </row>
    <row r="1004" spans="1:13" x14ac:dyDescent="0.25">
      <c r="A1004" s="397"/>
      <c r="B1004" s="397"/>
      <c r="C1004" s="397"/>
      <c r="D1004" s="397"/>
      <c r="E1004" s="397"/>
      <c r="F1004" s="397"/>
      <c r="G1004" s="397"/>
      <c r="H1004" s="397"/>
      <c r="I1004" s="450"/>
      <c r="J1004" s="397"/>
      <c r="K1004" s="397"/>
      <c r="L1004" s="451"/>
      <c r="M1004" s="449"/>
    </row>
    <row r="1005" spans="1:13" x14ac:dyDescent="0.25">
      <c r="A1005" s="397"/>
      <c r="B1005" s="397"/>
      <c r="C1005" s="397"/>
      <c r="D1005" s="397"/>
      <c r="E1005" s="397"/>
      <c r="F1005" s="397"/>
      <c r="G1005" s="397"/>
      <c r="H1005" s="397"/>
      <c r="I1005" s="450"/>
      <c r="J1005" s="397"/>
      <c r="K1005" s="397"/>
      <c r="L1005" s="451"/>
      <c r="M1005" s="449"/>
    </row>
    <row r="1006" spans="1:13" x14ac:dyDescent="0.25">
      <c r="A1006" s="397"/>
      <c r="B1006" s="397"/>
      <c r="C1006" s="397"/>
      <c r="D1006" s="397"/>
      <c r="E1006" s="397"/>
      <c r="F1006" s="397"/>
      <c r="G1006" s="397"/>
      <c r="H1006" s="397"/>
      <c r="I1006" s="450"/>
      <c r="J1006" s="397"/>
      <c r="K1006" s="397"/>
      <c r="L1006" s="451"/>
      <c r="M1006" s="449"/>
    </row>
    <row r="1007" spans="1:13" x14ac:dyDescent="0.25">
      <c r="A1007" s="397"/>
      <c r="B1007" s="397"/>
      <c r="C1007" s="397"/>
      <c r="D1007" s="397"/>
      <c r="E1007" s="397"/>
      <c r="F1007" s="397"/>
      <c r="G1007" s="397"/>
      <c r="H1007" s="397"/>
      <c r="I1007" s="450"/>
      <c r="J1007" s="397"/>
      <c r="K1007" s="397"/>
      <c r="L1007" s="451"/>
      <c r="M1007" s="449"/>
    </row>
    <row r="1008" spans="1:13" x14ac:dyDescent="0.25">
      <c r="A1008" s="397"/>
      <c r="B1008" s="397"/>
      <c r="C1008" s="397"/>
      <c r="D1008" s="397"/>
      <c r="E1008" s="397"/>
      <c r="F1008" s="397"/>
      <c r="G1008" s="397"/>
      <c r="H1008" s="397"/>
      <c r="I1008" s="450"/>
      <c r="J1008" s="397"/>
      <c r="K1008" s="397"/>
      <c r="L1008" s="451"/>
      <c r="M1008" s="449"/>
    </row>
    <row r="1009" spans="1:13" x14ac:dyDescent="0.25">
      <c r="A1009" s="397"/>
      <c r="B1009" s="397"/>
      <c r="C1009" s="397"/>
      <c r="D1009" s="397"/>
      <c r="E1009" s="397"/>
      <c r="F1009" s="397"/>
      <c r="G1009" s="397"/>
      <c r="H1009" s="397"/>
      <c r="I1009" s="450"/>
      <c r="J1009" s="397"/>
      <c r="K1009" s="397"/>
      <c r="L1009" s="451"/>
      <c r="M1009" s="449"/>
    </row>
    <row r="1010" spans="1:13" x14ac:dyDescent="0.25">
      <c r="A1010" s="397"/>
      <c r="B1010" s="397"/>
      <c r="C1010" s="397"/>
      <c r="D1010" s="397"/>
      <c r="E1010" s="397"/>
      <c r="F1010" s="397"/>
      <c r="G1010" s="397"/>
      <c r="H1010" s="397"/>
      <c r="I1010" s="450"/>
      <c r="J1010" s="397"/>
      <c r="K1010" s="397"/>
      <c r="L1010" s="451"/>
      <c r="M1010" s="449"/>
    </row>
    <row r="1011" spans="1:13" x14ac:dyDescent="0.25">
      <c r="A1011" s="397"/>
      <c r="B1011" s="397"/>
      <c r="C1011" s="397"/>
      <c r="D1011" s="397"/>
      <c r="E1011" s="397"/>
      <c r="F1011" s="397"/>
      <c r="G1011" s="397"/>
      <c r="H1011" s="397"/>
      <c r="I1011" s="450"/>
      <c r="J1011" s="397"/>
      <c r="K1011" s="397"/>
      <c r="L1011" s="451"/>
      <c r="M1011" s="449"/>
    </row>
    <row r="1012" spans="1:13" x14ac:dyDescent="0.25">
      <c r="A1012" s="397"/>
      <c r="B1012" s="397"/>
      <c r="C1012" s="397"/>
      <c r="D1012" s="397"/>
      <c r="E1012" s="397"/>
      <c r="F1012" s="397"/>
      <c r="G1012" s="397"/>
      <c r="H1012" s="397"/>
      <c r="I1012" s="450"/>
      <c r="J1012" s="397"/>
      <c r="K1012" s="397"/>
      <c r="L1012" s="451"/>
      <c r="M1012" s="449"/>
    </row>
    <row r="1013" spans="1:13" x14ac:dyDescent="0.25">
      <c r="A1013" s="397"/>
      <c r="B1013" s="397"/>
      <c r="C1013" s="397"/>
      <c r="D1013" s="397"/>
      <c r="E1013" s="397"/>
      <c r="F1013" s="397"/>
      <c r="G1013" s="397"/>
      <c r="H1013" s="397"/>
      <c r="I1013" s="450"/>
      <c r="J1013" s="397"/>
      <c r="K1013" s="397"/>
      <c r="L1013" s="451"/>
      <c r="M1013" s="449"/>
    </row>
    <row r="1014" spans="1:13" x14ac:dyDescent="0.25">
      <c r="A1014" s="397"/>
      <c r="B1014" s="397"/>
      <c r="C1014" s="397"/>
      <c r="D1014" s="397"/>
      <c r="E1014" s="397"/>
      <c r="F1014" s="397"/>
      <c r="G1014" s="397"/>
      <c r="H1014" s="397"/>
      <c r="I1014" s="450"/>
      <c r="J1014" s="397"/>
      <c r="K1014" s="397"/>
      <c r="L1014" s="451"/>
      <c r="M1014" s="449"/>
    </row>
    <row r="1015" spans="1:13" x14ac:dyDescent="0.25">
      <c r="A1015" s="397"/>
      <c r="B1015" s="397"/>
      <c r="C1015" s="397"/>
      <c r="D1015" s="397"/>
      <c r="E1015" s="397"/>
      <c r="F1015" s="397"/>
      <c r="G1015" s="397"/>
      <c r="H1015" s="397"/>
      <c r="I1015" s="450"/>
      <c r="J1015" s="397"/>
      <c r="K1015" s="397"/>
      <c r="L1015" s="451"/>
      <c r="M1015" s="449"/>
    </row>
    <row r="1016" spans="1:13" x14ac:dyDescent="0.25">
      <c r="A1016" s="397"/>
      <c r="B1016" s="397"/>
      <c r="C1016" s="397"/>
      <c r="D1016" s="397"/>
      <c r="E1016" s="397"/>
      <c r="F1016" s="397"/>
      <c r="G1016" s="397"/>
      <c r="H1016" s="397"/>
      <c r="I1016" s="450"/>
      <c r="J1016" s="397"/>
      <c r="K1016" s="397"/>
      <c r="L1016" s="451"/>
      <c r="M1016" s="449"/>
    </row>
    <row r="1017" spans="1:13" x14ac:dyDescent="0.25">
      <c r="A1017" s="397"/>
      <c r="B1017" s="397"/>
      <c r="C1017" s="397"/>
      <c r="D1017" s="397"/>
      <c r="E1017" s="397"/>
      <c r="F1017" s="397"/>
      <c r="G1017" s="397"/>
      <c r="H1017" s="397"/>
      <c r="I1017" s="450"/>
      <c r="J1017" s="397"/>
      <c r="K1017" s="397"/>
      <c r="L1017" s="451"/>
      <c r="M1017" s="449"/>
    </row>
    <row r="1018" spans="1:13" x14ac:dyDescent="0.25">
      <c r="A1018" s="397"/>
      <c r="B1018" s="397"/>
      <c r="C1018" s="397"/>
      <c r="D1018" s="397"/>
      <c r="E1018" s="397"/>
      <c r="F1018" s="397"/>
      <c r="G1018" s="397"/>
      <c r="H1018" s="397"/>
      <c r="I1018" s="450"/>
      <c r="J1018" s="397"/>
      <c r="K1018" s="397"/>
      <c r="L1018" s="451"/>
      <c r="M1018" s="449"/>
    </row>
    <row r="1019" spans="1:13" x14ac:dyDescent="0.25">
      <c r="A1019" s="397"/>
      <c r="B1019" s="397"/>
      <c r="C1019" s="397"/>
      <c r="D1019" s="397"/>
      <c r="E1019" s="397"/>
      <c r="F1019" s="397"/>
      <c r="G1019" s="397"/>
      <c r="H1019" s="397"/>
      <c r="I1019" s="450"/>
      <c r="J1019" s="397"/>
      <c r="K1019" s="397"/>
      <c r="L1019" s="451"/>
      <c r="M1019" s="449"/>
    </row>
    <row r="1020" spans="1:13" x14ac:dyDescent="0.25">
      <c r="A1020" s="397"/>
      <c r="B1020" s="397"/>
      <c r="C1020" s="397"/>
      <c r="D1020" s="397"/>
      <c r="E1020" s="397"/>
      <c r="F1020" s="397"/>
      <c r="G1020" s="397"/>
      <c r="H1020" s="397"/>
      <c r="I1020" s="450"/>
      <c r="J1020" s="397"/>
      <c r="K1020" s="397"/>
      <c r="L1020" s="451"/>
      <c r="M1020" s="449"/>
    </row>
    <row r="1021" spans="1:13" x14ac:dyDescent="0.25">
      <c r="A1021" s="397"/>
      <c r="B1021" s="397"/>
      <c r="C1021" s="397"/>
      <c r="D1021" s="397"/>
      <c r="E1021" s="397"/>
      <c r="F1021" s="397"/>
      <c r="G1021" s="397"/>
      <c r="H1021" s="397"/>
      <c r="I1021" s="450"/>
      <c r="J1021" s="397"/>
      <c r="K1021" s="397"/>
      <c r="L1021" s="451"/>
      <c r="M1021" s="449"/>
    </row>
    <row r="1022" spans="1:13" x14ac:dyDescent="0.25">
      <c r="A1022" s="397"/>
      <c r="B1022" s="397"/>
      <c r="C1022" s="397"/>
      <c r="D1022" s="397"/>
      <c r="E1022" s="397"/>
      <c r="F1022" s="397"/>
      <c r="G1022" s="397"/>
      <c r="H1022" s="397"/>
      <c r="I1022" s="450"/>
      <c r="J1022" s="397"/>
      <c r="K1022" s="397"/>
      <c r="L1022" s="451"/>
      <c r="M1022" s="449"/>
    </row>
    <row r="1023" spans="1:13" x14ac:dyDescent="0.25">
      <c r="A1023" s="397"/>
      <c r="B1023" s="397"/>
      <c r="C1023" s="397"/>
      <c r="D1023" s="397"/>
      <c r="E1023" s="397"/>
      <c r="F1023" s="397"/>
      <c r="G1023" s="397"/>
      <c r="H1023" s="397"/>
      <c r="I1023" s="450"/>
      <c r="J1023" s="397"/>
      <c r="K1023" s="397"/>
      <c r="L1023" s="451"/>
      <c r="M1023" s="449"/>
    </row>
    <row r="1024" spans="1:13" x14ac:dyDescent="0.25">
      <c r="A1024" s="397"/>
      <c r="B1024" s="397"/>
      <c r="C1024" s="397"/>
      <c r="D1024" s="397"/>
      <c r="E1024" s="397"/>
      <c r="F1024" s="397"/>
      <c r="G1024" s="397"/>
      <c r="H1024" s="397"/>
      <c r="I1024" s="450"/>
      <c r="J1024" s="397"/>
      <c r="K1024" s="397"/>
      <c r="L1024" s="451"/>
      <c r="M1024" s="449"/>
    </row>
    <row r="1025" spans="1:13" x14ac:dyDescent="0.25">
      <c r="A1025" s="397"/>
      <c r="B1025" s="397"/>
      <c r="C1025" s="397"/>
      <c r="D1025" s="397"/>
      <c r="E1025" s="397"/>
      <c r="F1025" s="397"/>
      <c r="G1025" s="397"/>
      <c r="H1025" s="397"/>
      <c r="I1025" s="450"/>
      <c r="J1025" s="397"/>
      <c r="K1025" s="397"/>
      <c r="L1025" s="451"/>
      <c r="M1025" s="449"/>
    </row>
    <row r="1026" spans="1:13" x14ac:dyDescent="0.25">
      <c r="A1026" s="397"/>
      <c r="B1026" s="397"/>
      <c r="C1026" s="397"/>
      <c r="D1026" s="397"/>
      <c r="E1026" s="397"/>
      <c r="F1026" s="397"/>
      <c r="G1026" s="397"/>
      <c r="H1026" s="397"/>
      <c r="I1026" s="450"/>
      <c r="J1026" s="397"/>
      <c r="K1026" s="397"/>
      <c r="L1026" s="451"/>
      <c r="M1026" s="449"/>
    </row>
    <row r="1027" spans="1:13" x14ac:dyDescent="0.25">
      <c r="A1027" s="397"/>
      <c r="B1027" s="397"/>
      <c r="C1027" s="397"/>
      <c r="D1027" s="397"/>
      <c r="E1027" s="397"/>
      <c r="F1027" s="397"/>
      <c r="G1027" s="397"/>
      <c r="H1027" s="397"/>
      <c r="I1027" s="450"/>
      <c r="J1027" s="397"/>
      <c r="K1027" s="397"/>
      <c r="L1027" s="451"/>
      <c r="M1027" s="449"/>
    </row>
    <row r="1028" spans="1:13" x14ac:dyDescent="0.25">
      <c r="A1028" s="397"/>
      <c r="B1028" s="397"/>
      <c r="C1028" s="397"/>
      <c r="D1028" s="397"/>
      <c r="E1028" s="397"/>
      <c r="F1028" s="397"/>
      <c r="G1028" s="397"/>
      <c r="H1028" s="397"/>
      <c r="I1028" s="450"/>
      <c r="J1028" s="397"/>
      <c r="K1028" s="397"/>
      <c r="L1028" s="451"/>
      <c r="M1028" s="449"/>
    </row>
    <row r="1029" spans="1:13" x14ac:dyDescent="0.25">
      <c r="A1029" s="397"/>
      <c r="B1029" s="397"/>
      <c r="C1029" s="397"/>
      <c r="D1029" s="397"/>
      <c r="E1029" s="397"/>
      <c r="F1029" s="397"/>
      <c r="G1029" s="397"/>
      <c r="H1029" s="397"/>
      <c r="I1029" s="450"/>
      <c r="J1029" s="397"/>
      <c r="K1029" s="397"/>
      <c r="L1029" s="451"/>
      <c r="M1029" s="449"/>
    </row>
    <row r="1030" spans="1:13" x14ac:dyDescent="0.25">
      <c r="A1030" s="397"/>
      <c r="B1030" s="397"/>
      <c r="C1030" s="397"/>
      <c r="D1030" s="397"/>
      <c r="E1030" s="397"/>
      <c r="F1030" s="397"/>
      <c r="G1030" s="397"/>
      <c r="H1030" s="397"/>
      <c r="I1030" s="450"/>
      <c r="J1030" s="397"/>
      <c r="K1030" s="397"/>
      <c r="L1030" s="451"/>
      <c r="M1030" s="449"/>
    </row>
    <row r="1031" spans="1:13" x14ac:dyDescent="0.25">
      <c r="A1031" s="397"/>
      <c r="B1031" s="397"/>
      <c r="C1031" s="397"/>
      <c r="D1031" s="397"/>
      <c r="E1031" s="397"/>
      <c r="F1031" s="397"/>
      <c r="G1031" s="397"/>
      <c r="H1031" s="397"/>
      <c r="I1031" s="450"/>
      <c r="J1031" s="397"/>
      <c r="K1031" s="397"/>
      <c r="L1031" s="451"/>
      <c r="M1031" s="449"/>
    </row>
    <row r="1032" spans="1:13" x14ac:dyDescent="0.25">
      <c r="A1032" s="397"/>
      <c r="B1032" s="397"/>
      <c r="C1032" s="397"/>
      <c r="D1032" s="397"/>
      <c r="E1032" s="397"/>
      <c r="F1032" s="397"/>
      <c r="G1032" s="397"/>
      <c r="H1032" s="397"/>
      <c r="I1032" s="450"/>
      <c r="J1032" s="397"/>
      <c r="K1032" s="397"/>
      <c r="L1032" s="451"/>
      <c r="M1032" s="449"/>
    </row>
    <row r="1033" spans="1:13" x14ac:dyDescent="0.25">
      <c r="A1033" s="397"/>
      <c r="B1033" s="397"/>
      <c r="C1033" s="397"/>
      <c r="D1033" s="397"/>
      <c r="E1033" s="397"/>
      <c r="F1033" s="397"/>
      <c r="G1033" s="397"/>
      <c r="H1033" s="397"/>
      <c r="I1033" s="450"/>
      <c r="J1033" s="397"/>
      <c r="K1033" s="397"/>
      <c r="L1033" s="451"/>
      <c r="M1033" s="449"/>
    </row>
    <row r="1034" spans="1:13" x14ac:dyDescent="0.25">
      <c r="A1034" s="397"/>
      <c r="B1034" s="397"/>
      <c r="C1034" s="397"/>
      <c r="D1034" s="397"/>
      <c r="E1034" s="397"/>
      <c r="F1034" s="397"/>
      <c r="G1034" s="397"/>
      <c r="H1034" s="397"/>
      <c r="I1034" s="450"/>
      <c r="J1034" s="397"/>
      <c r="K1034" s="397"/>
      <c r="L1034" s="451"/>
      <c r="M1034" s="449"/>
    </row>
    <row r="1035" spans="1:13" x14ac:dyDescent="0.25">
      <c r="A1035" s="397"/>
      <c r="B1035" s="397"/>
      <c r="C1035" s="397"/>
      <c r="D1035" s="397"/>
      <c r="E1035" s="397"/>
      <c r="F1035" s="397"/>
      <c r="G1035" s="397"/>
      <c r="H1035" s="397"/>
      <c r="I1035" s="450"/>
      <c r="J1035" s="397"/>
      <c r="K1035" s="397"/>
      <c r="L1035" s="451"/>
      <c r="M1035" s="449"/>
    </row>
    <row r="1036" spans="1:13" x14ac:dyDescent="0.25">
      <c r="A1036" s="397"/>
      <c r="B1036" s="397"/>
      <c r="C1036" s="397"/>
      <c r="D1036" s="397"/>
      <c r="E1036" s="397"/>
      <c r="F1036" s="397"/>
      <c r="G1036" s="397"/>
      <c r="H1036" s="397"/>
      <c r="I1036" s="450"/>
      <c r="J1036" s="397"/>
      <c r="K1036" s="397"/>
      <c r="L1036" s="451"/>
      <c r="M1036" s="449"/>
    </row>
    <row r="1037" spans="1:13" x14ac:dyDescent="0.25">
      <c r="A1037" s="397"/>
      <c r="B1037" s="397"/>
      <c r="C1037" s="397"/>
      <c r="D1037" s="397"/>
      <c r="E1037" s="397"/>
      <c r="F1037" s="397"/>
      <c r="G1037" s="397"/>
      <c r="H1037" s="397"/>
      <c r="I1037" s="450"/>
      <c r="J1037" s="397"/>
      <c r="K1037" s="397"/>
      <c r="L1037" s="451"/>
      <c r="M1037" s="449"/>
    </row>
    <row r="1038" spans="1:13" x14ac:dyDescent="0.25">
      <c r="A1038" s="397"/>
      <c r="B1038" s="397"/>
      <c r="C1038" s="397"/>
      <c r="D1038" s="397"/>
      <c r="E1038" s="397"/>
      <c r="F1038" s="397"/>
      <c r="G1038" s="397"/>
      <c r="H1038" s="397"/>
      <c r="I1038" s="450"/>
      <c r="J1038" s="397"/>
      <c r="K1038" s="397"/>
      <c r="L1038" s="451"/>
      <c r="M1038" s="449"/>
    </row>
    <row r="1039" spans="1:13" x14ac:dyDescent="0.25">
      <c r="A1039" s="397"/>
      <c r="B1039" s="397"/>
      <c r="C1039" s="397"/>
      <c r="D1039" s="397"/>
      <c r="E1039" s="397"/>
      <c r="F1039" s="397"/>
      <c r="G1039" s="397"/>
      <c r="H1039" s="397"/>
      <c r="I1039" s="450"/>
      <c r="J1039" s="397"/>
      <c r="K1039" s="397"/>
      <c r="L1039" s="451"/>
      <c r="M1039" s="449"/>
    </row>
    <row r="1040" spans="1:13" x14ac:dyDescent="0.25">
      <c r="A1040" s="397"/>
      <c r="B1040" s="397"/>
      <c r="C1040" s="397"/>
      <c r="D1040" s="397"/>
      <c r="E1040" s="397"/>
      <c r="F1040" s="397"/>
      <c r="G1040" s="397"/>
      <c r="H1040" s="397"/>
      <c r="I1040" s="450"/>
      <c r="J1040" s="397"/>
      <c r="K1040" s="397"/>
      <c r="L1040" s="451"/>
      <c r="M1040" s="449"/>
    </row>
    <row r="1041" spans="1:13" x14ac:dyDescent="0.25">
      <c r="A1041" s="397"/>
      <c r="B1041" s="397"/>
      <c r="C1041" s="397"/>
      <c r="D1041" s="397"/>
      <c r="E1041" s="397"/>
      <c r="F1041" s="397"/>
      <c r="G1041" s="397"/>
      <c r="H1041" s="397"/>
      <c r="I1041" s="450"/>
      <c r="J1041" s="397"/>
      <c r="K1041" s="397"/>
      <c r="L1041" s="451"/>
      <c r="M1041" s="449"/>
    </row>
    <row r="1042" spans="1:13" x14ac:dyDescent="0.25">
      <c r="A1042" s="397"/>
      <c r="B1042" s="397"/>
      <c r="C1042" s="397"/>
      <c r="D1042" s="397"/>
      <c r="E1042" s="397"/>
      <c r="F1042" s="397"/>
      <c r="G1042" s="397"/>
      <c r="H1042" s="397"/>
      <c r="I1042" s="450"/>
      <c r="J1042" s="397"/>
      <c r="K1042" s="397"/>
      <c r="L1042" s="451"/>
      <c r="M1042" s="449"/>
    </row>
    <row r="1043" spans="1:13" x14ac:dyDescent="0.25">
      <c r="A1043" s="397"/>
      <c r="B1043" s="397"/>
      <c r="C1043" s="397"/>
      <c r="D1043" s="397"/>
      <c r="E1043" s="397"/>
      <c r="F1043" s="397"/>
      <c r="G1043" s="397"/>
      <c r="H1043" s="397"/>
      <c r="I1043" s="450"/>
      <c r="J1043" s="397"/>
      <c r="K1043" s="397"/>
      <c r="L1043" s="451"/>
      <c r="M1043" s="449"/>
    </row>
    <row r="1044" spans="1:13" x14ac:dyDescent="0.25">
      <c r="A1044" s="397"/>
      <c r="B1044" s="397"/>
      <c r="C1044" s="397"/>
      <c r="D1044" s="397"/>
      <c r="E1044" s="397"/>
      <c r="F1044" s="397"/>
      <c r="G1044" s="397"/>
      <c r="H1044" s="397"/>
      <c r="I1044" s="450"/>
      <c r="J1044" s="397"/>
      <c r="K1044" s="397"/>
      <c r="L1044" s="451"/>
      <c r="M1044" s="449"/>
    </row>
    <row r="1045" spans="1:13" x14ac:dyDescent="0.25">
      <c r="A1045" s="397"/>
      <c r="B1045" s="397"/>
      <c r="C1045" s="397"/>
      <c r="D1045" s="397"/>
      <c r="E1045" s="397"/>
      <c r="F1045" s="397"/>
      <c r="G1045" s="397"/>
      <c r="H1045" s="397"/>
      <c r="I1045" s="450"/>
      <c r="J1045" s="397"/>
      <c r="K1045" s="397"/>
      <c r="L1045" s="451"/>
      <c r="M1045" s="449"/>
    </row>
    <row r="1046" spans="1:13" x14ac:dyDescent="0.25">
      <c r="A1046" s="397"/>
      <c r="B1046" s="397"/>
      <c r="C1046" s="397"/>
      <c r="D1046" s="397"/>
      <c r="E1046" s="397"/>
      <c r="F1046" s="397"/>
      <c r="G1046" s="397"/>
      <c r="H1046" s="397"/>
      <c r="I1046" s="450"/>
      <c r="J1046" s="397"/>
      <c r="K1046" s="397"/>
      <c r="L1046" s="451"/>
      <c r="M1046" s="449"/>
    </row>
    <row r="1047" spans="1:13" x14ac:dyDescent="0.25">
      <c r="A1047" s="397"/>
      <c r="B1047" s="397"/>
      <c r="C1047" s="397"/>
      <c r="D1047" s="397"/>
      <c r="E1047" s="397"/>
      <c r="F1047" s="397"/>
      <c r="G1047" s="397"/>
      <c r="H1047" s="397"/>
      <c r="I1047" s="450"/>
      <c r="J1047" s="397"/>
      <c r="K1047" s="397"/>
      <c r="L1047" s="451"/>
      <c r="M1047" s="449"/>
    </row>
    <row r="1048" spans="1:13" x14ac:dyDescent="0.25">
      <c r="A1048" s="397"/>
      <c r="B1048" s="397"/>
      <c r="C1048" s="397"/>
      <c r="D1048" s="397"/>
      <c r="E1048" s="397"/>
      <c r="F1048" s="397"/>
      <c r="G1048" s="397"/>
      <c r="H1048" s="397"/>
      <c r="I1048" s="450"/>
      <c r="J1048" s="397"/>
      <c r="K1048" s="397"/>
      <c r="L1048" s="451"/>
      <c r="M1048" s="449"/>
    </row>
    <row r="1049" spans="1:13" x14ac:dyDescent="0.25">
      <c r="A1049" s="397"/>
      <c r="B1049" s="397"/>
      <c r="C1049" s="397"/>
      <c r="D1049" s="397"/>
      <c r="E1049" s="397"/>
      <c r="F1049" s="397"/>
      <c r="G1049" s="397"/>
      <c r="H1049" s="397"/>
      <c r="I1049" s="450"/>
      <c r="J1049" s="397"/>
      <c r="K1049" s="397"/>
      <c r="L1049" s="451"/>
      <c r="M1049" s="449"/>
    </row>
    <row r="1050" spans="1:13" x14ac:dyDescent="0.25">
      <c r="A1050" s="397"/>
      <c r="B1050" s="397"/>
      <c r="C1050" s="397"/>
      <c r="D1050" s="397"/>
      <c r="E1050" s="397"/>
      <c r="F1050" s="397"/>
      <c r="G1050" s="397"/>
      <c r="H1050" s="397"/>
      <c r="I1050" s="450"/>
      <c r="J1050" s="397"/>
      <c r="K1050" s="397"/>
      <c r="L1050" s="451"/>
      <c r="M1050" s="449"/>
    </row>
    <row r="1051" spans="1:13" x14ac:dyDescent="0.25">
      <c r="A1051" s="397"/>
      <c r="B1051" s="397"/>
      <c r="C1051" s="397"/>
      <c r="D1051" s="397"/>
      <c r="E1051" s="397"/>
      <c r="F1051" s="397"/>
      <c r="G1051" s="397"/>
      <c r="H1051" s="397"/>
      <c r="I1051" s="450"/>
      <c r="J1051" s="397"/>
      <c r="K1051" s="397"/>
      <c r="L1051" s="451"/>
      <c r="M1051" s="449"/>
    </row>
    <row r="1052" spans="1:13" x14ac:dyDescent="0.25">
      <c r="A1052" s="397"/>
      <c r="B1052" s="397"/>
      <c r="C1052" s="397"/>
      <c r="D1052" s="397"/>
      <c r="E1052" s="397"/>
      <c r="F1052" s="397"/>
      <c r="G1052" s="397"/>
      <c r="H1052" s="397"/>
      <c r="I1052" s="450"/>
      <c r="J1052" s="397"/>
      <c r="K1052" s="397"/>
      <c r="L1052" s="451"/>
      <c r="M1052" s="449"/>
    </row>
    <row r="1053" spans="1:13" x14ac:dyDescent="0.25">
      <c r="A1053" s="397"/>
      <c r="B1053" s="397"/>
      <c r="C1053" s="397"/>
      <c r="D1053" s="397"/>
      <c r="E1053" s="397"/>
      <c r="F1053" s="397"/>
      <c r="G1053" s="397"/>
      <c r="H1053" s="397"/>
      <c r="I1053" s="450"/>
      <c r="J1053" s="397"/>
      <c r="K1053" s="397"/>
      <c r="L1053" s="451"/>
      <c r="M1053" s="449"/>
    </row>
    <row r="1054" spans="1:13" x14ac:dyDescent="0.25">
      <c r="A1054" s="397"/>
      <c r="B1054" s="397"/>
      <c r="C1054" s="397"/>
      <c r="D1054" s="397"/>
      <c r="E1054" s="397"/>
      <c r="F1054" s="397"/>
      <c r="G1054" s="397"/>
      <c r="H1054" s="397"/>
      <c r="I1054" s="450"/>
      <c r="J1054" s="397"/>
      <c r="K1054" s="397"/>
      <c r="L1054" s="451"/>
      <c r="M1054" s="449"/>
    </row>
    <row r="1055" spans="1:13" x14ac:dyDescent="0.25">
      <c r="A1055" s="397"/>
      <c r="B1055" s="397"/>
      <c r="C1055" s="397"/>
      <c r="D1055" s="397"/>
      <c r="E1055" s="397"/>
      <c r="F1055" s="397"/>
      <c r="G1055" s="397"/>
      <c r="H1055" s="397"/>
      <c r="I1055" s="450"/>
      <c r="J1055" s="397"/>
      <c r="K1055" s="397"/>
      <c r="L1055" s="451"/>
      <c r="M1055" s="449"/>
    </row>
    <row r="1056" spans="1:13" x14ac:dyDescent="0.25">
      <c r="A1056" s="397"/>
      <c r="B1056" s="397"/>
      <c r="C1056" s="397"/>
      <c r="D1056" s="397"/>
      <c r="E1056" s="397"/>
      <c r="F1056" s="397"/>
      <c r="G1056" s="397"/>
      <c r="H1056" s="397"/>
      <c r="I1056" s="450"/>
      <c r="J1056" s="397"/>
      <c r="K1056" s="397"/>
      <c r="L1056" s="451"/>
      <c r="M1056" s="449"/>
    </row>
    <row r="1057" spans="1:13" x14ac:dyDescent="0.25">
      <c r="A1057" s="397"/>
      <c r="B1057" s="397"/>
      <c r="C1057" s="397"/>
      <c r="D1057" s="397"/>
      <c r="E1057" s="397"/>
      <c r="F1057" s="397"/>
      <c r="G1057" s="397"/>
      <c r="H1057" s="397"/>
      <c r="I1057" s="450"/>
      <c r="J1057" s="397"/>
      <c r="K1057" s="397"/>
      <c r="L1057" s="451"/>
      <c r="M1057" s="449"/>
    </row>
    <row r="1058" spans="1:13" x14ac:dyDescent="0.25">
      <c r="A1058" s="397"/>
      <c r="B1058" s="397"/>
      <c r="C1058" s="397"/>
      <c r="D1058" s="397"/>
      <c r="E1058" s="397"/>
      <c r="F1058" s="397"/>
      <c r="G1058" s="397"/>
      <c r="H1058" s="397"/>
      <c r="I1058" s="450"/>
      <c r="J1058" s="397"/>
      <c r="K1058" s="397"/>
      <c r="L1058" s="451"/>
      <c r="M1058" s="449"/>
    </row>
    <row r="1059" spans="1:13" x14ac:dyDescent="0.25">
      <c r="A1059" s="397"/>
      <c r="B1059" s="397"/>
      <c r="C1059" s="397"/>
      <c r="D1059" s="397"/>
      <c r="E1059" s="397"/>
      <c r="F1059" s="397"/>
      <c r="G1059" s="397"/>
      <c r="H1059" s="397"/>
      <c r="I1059" s="450"/>
      <c r="J1059" s="397"/>
      <c r="K1059" s="397"/>
      <c r="L1059" s="451"/>
      <c r="M1059" s="449"/>
    </row>
    <row r="1060" spans="1:13" x14ac:dyDescent="0.25">
      <c r="A1060" s="397"/>
      <c r="B1060" s="397"/>
      <c r="C1060" s="397"/>
      <c r="D1060" s="397"/>
      <c r="E1060" s="397"/>
      <c r="F1060" s="397"/>
      <c r="G1060" s="397"/>
      <c r="H1060" s="397"/>
      <c r="I1060" s="450"/>
      <c r="J1060" s="397"/>
      <c r="K1060" s="397"/>
      <c r="L1060" s="451"/>
      <c r="M1060" s="449"/>
    </row>
    <row r="1061" spans="1:13" x14ac:dyDescent="0.25">
      <c r="A1061" s="397"/>
      <c r="B1061" s="397"/>
      <c r="C1061" s="397"/>
      <c r="D1061" s="397"/>
      <c r="E1061" s="397"/>
      <c r="F1061" s="397"/>
      <c r="G1061" s="397"/>
      <c r="H1061" s="397"/>
      <c r="I1061" s="450"/>
      <c r="J1061" s="397"/>
      <c r="K1061" s="397"/>
      <c r="L1061" s="451"/>
      <c r="M1061" s="449"/>
    </row>
    <row r="1062" spans="1:13" x14ac:dyDescent="0.25">
      <c r="A1062" s="397"/>
      <c r="B1062" s="397"/>
      <c r="C1062" s="397"/>
      <c r="D1062" s="397"/>
      <c r="E1062" s="397"/>
      <c r="F1062" s="397"/>
      <c r="G1062" s="397"/>
      <c r="H1062" s="397"/>
      <c r="I1062" s="450"/>
      <c r="J1062" s="397"/>
      <c r="K1062" s="397"/>
      <c r="L1062" s="451"/>
      <c r="M1062" s="449"/>
    </row>
    <row r="1063" spans="1:13" x14ac:dyDescent="0.25">
      <c r="A1063" s="397"/>
      <c r="B1063" s="397"/>
      <c r="C1063" s="397"/>
      <c r="D1063" s="397"/>
      <c r="E1063" s="397"/>
      <c r="F1063" s="397"/>
      <c r="G1063" s="397"/>
      <c r="H1063" s="397"/>
      <c r="I1063" s="450"/>
      <c r="J1063" s="397"/>
      <c r="K1063" s="397"/>
      <c r="L1063" s="451"/>
      <c r="M1063" s="449"/>
    </row>
    <row r="1064" spans="1:13" x14ac:dyDescent="0.25">
      <c r="A1064" s="397"/>
      <c r="B1064" s="397"/>
      <c r="C1064" s="397"/>
      <c r="D1064" s="397"/>
      <c r="E1064" s="397"/>
      <c r="F1064" s="397"/>
      <c r="G1064" s="397"/>
      <c r="H1064" s="397"/>
      <c r="I1064" s="450"/>
      <c r="J1064" s="397"/>
      <c r="K1064" s="397"/>
      <c r="L1064" s="451"/>
      <c r="M1064" s="449"/>
    </row>
    <row r="1065" spans="1:13" x14ac:dyDescent="0.25">
      <c r="A1065" s="397"/>
      <c r="B1065" s="397"/>
      <c r="C1065" s="397"/>
      <c r="D1065" s="397"/>
      <c r="E1065" s="397"/>
      <c r="F1065" s="397"/>
      <c r="G1065" s="397"/>
      <c r="H1065" s="397"/>
      <c r="I1065" s="450"/>
      <c r="J1065" s="397"/>
      <c r="K1065" s="397"/>
      <c r="L1065" s="451"/>
      <c r="M1065" s="449"/>
    </row>
    <row r="1066" spans="1:13" x14ac:dyDescent="0.25">
      <c r="A1066" s="397"/>
      <c r="B1066" s="397"/>
      <c r="C1066" s="397"/>
      <c r="D1066" s="397"/>
      <c r="E1066" s="397"/>
      <c r="F1066" s="397"/>
      <c r="G1066" s="397"/>
      <c r="H1066" s="397"/>
      <c r="I1066" s="450"/>
      <c r="J1066" s="397"/>
      <c r="K1066" s="397"/>
      <c r="L1066" s="451"/>
      <c r="M1066" s="449"/>
    </row>
    <row r="1067" spans="1:13" x14ac:dyDescent="0.25">
      <c r="A1067" s="397"/>
      <c r="B1067" s="397"/>
      <c r="C1067" s="397"/>
      <c r="D1067" s="397"/>
      <c r="E1067" s="397"/>
      <c r="F1067" s="397"/>
      <c r="G1067" s="397"/>
      <c r="H1067" s="397"/>
      <c r="I1067" s="450"/>
      <c r="J1067" s="397"/>
      <c r="K1067" s="397"/>
      <c r="L1067" s="451"/>
      <c r="M1067" s="449"/>
    </row>
    <row r="1068" spans="1:13" x14ac:dyDescent="0.25">
      <c r="A1068" s="397"/>
      <c r="B1068" s="397"/>
      <c r="C1068" s="397"/>
      <c r="D1068" s="397"/>
      <c r="E1068" s="397"/>
      <c r="F1068" s="397"/>
      <c r="G1068" s="397"/>
      <c r="H1068" s="397"/>
      <c r="I1068" s="450"/>
      <c r="J1068" s="397"/>
      <c r="K1068" s="397"/>
      <c r="L1068" s="451"/>
      <c r="M1068" s="449"/>
    </row>
    <row r="1069" spans="1:13" x14ac:dyDescent="0.25">
      <c r="A1069" s="397"/>
      <c r="B1069" s="397"/>
      <c r="C1069" s="397"/>
      <c r="D1069" s="397"/>
      <c r="E1069" s="397"/>
      <c r="F1069" s="397"/>
      <c r="G1069" s="397"/>
      <c r="H1069" s="397"/>
      <c r="I1069" s="450"/>
      <c r="J1069" s="397"/>
      <c r="K1069" s="397"/>
      <c r="L1069" s="451"/>
      <c r="M1069" s="449"/>
    </row>
    <row r="1070" spans="1:13" x14ac:dyDescent="0.25">
      <c r="A1070" s="397"/>
      <c r="B1070" s="397"/>
      <c r="C1070" s="397"/>
      <c r="D1070" s="397"/>
      <c r="E1070" s="397"/>
      <c r="F1070" s="397"/>
      <c r="G1070" s="397"/>
      <c r="H1070" s="397"/>
      <c r="I1070" s="450"/>
      <c r="J1070" s="397"/>
      <c r="K1070" s="397"/>
      <c r="L1070" s="451"/>
      <c r="M1070" s="449"/>
    </row>
    <row r="1071" spans="1:13" x14ac:dyDescent="0.25">
      <c r="A1071" s="397"/>
      <c r="B1071" s="397"/>
      <c r="C1071" s="397"/>
      <c r="D1071" s="397"/>
      <c r="E1071" s="397"/>
      <c r="F1071" s="397"/>
      <c r="G1071" s="397"/>
      <c r="H1071" s="397"/>
      <c r="I1071" s="450"/>
      <c r="J1071" s="397"/>
      <c r="K1071" s="397"/>
      <c r="L1071" s="451"/>
      <c r="M1071" s="449"/>
    </row>
    <row r="1072" spans="1:13" x14ac:dyDescent="0.25">
      <c r="A1072" s="397"/>
      <c r="B1072" s="397"/>
      <c r="C1072" s="397"/>
      <c r="D1072" s="397"/>
      <c r="E1072" s="397"/>
      <c r="F1072" s="397"/>
      <c r="G1072" s="397"/>
      <c r="H1072" s="397"/>
      <c r="I1072" s="450"/>
      <c r="J1072" s="397"/>
      <c r="K1072" s="397"/>
      <c r="L1072" s="451"/>
      <c r="M1072" s="449"/>
    </row>
    <row r="1073" spans="1:13" x14ac:dyDescent="0.25">
      <c r="A1073" s="397"/>
      <c r="B1073" s="397"/>
      <c r="C1073" s="397"/>
      <c r="D1073" s="397"/>
      <c r="E1073" s="397"/>
      <c r="F1073" s="397"/>
      <c r="G1073" s="397"/>
      <c r="H1073" s="397"/>
      <c r="I1073" s="450"/>
      <c r="J1073" s="397"/>
      <c r="K1073" s="397"/>
      <c r="L1073" s="451"/>
      <c r="M1073" s="449"/>
    </row>
    <row r="1074" spans="1:13" x14ac:dyDescent="0.25">
      <c r="A1074" s="397"/>
      <c r="B1074" s="397"/>
      <c r="C1074" s="397"/>
      <c r="D1074" s="397"/>
      <c r="E1074" s="397"/>
      <c r="F1074" s="397"/>
      <c r="G1074" s="397"/>
      <c r="H1074" s="397"/>
      <c r="I1074" s="450"/>
      <c r="J1074" s="397"/>
      <c r="K1074" s="397"/>
      <c r="L1074" s="451"/>
      <c r="M1074" s="449"/>
    </row>
    <row r="1075" spans="1:13" x14ac:dyDescent="0.25">
      <c r="A1075" s="397"/>
      <c r="B1075" s="397"/>
      <c r="C1075" s="397"/>
      <c r="D1075" s="397"/>
      <c r="E1075" s="397"/>
      <c r="F1075" s="397"/>
      <c r="G1075" s="397"/>
      <c r="H1075" s="397"/>
      <c r="I1075" s="450"/>
      <c r="J1075" s="397"/>
      <c r="K1075" s="397"/>
      <c r="L1075" s="451"/>
      <c r="M1075" s="449"/>
    </row>
    <row r="1076" spans="1:13" x14ac:dyDescent="0.25">
      <c r="A1076" s="397"/>
      <c r="B1076" s="397"/>
      <c r="C1076" s="397"/>
      <c r="D1076" s="397"/>
      <c r="E1076" s="397"/>
      <c r="F1076" s="397"/>
      <c r="G1076" s="397"/>
      <c r="H1076" s="397"/>
      <c r="I1076" s="450"/>
      <c r="J1076" s="397"/>
      <c r="K1076" s="397"/>
      <c r="L1076" s="451"/>
      <c r="M1076" s="449"/>
    </row>
    <row r="1077" spans="1:13" x14ac:dyDescent="0.25">
      <c r="A1077" s="397"/>
      <c r="B1077" s="397"/>
      <c r="C1077" s="397"/>
      <c r="D1077" s="397"/>
      <c r="E1077" s="397"/>
      <c r="F1077" s="397"/>
      <c r="G1077" s="397"/>
      <c r="H1077" s="397"/>
      <c r="I1077" s="450"/>
      <c r="J1077" s="397"/>
      <c r="K1077" s="397"/>
      <c r="L1077" s="451"/>
      <c r="M1077" s="449"/>
    </row>
    <row r="1078" spans="1:13" x14ac:dyDescent="0.25">
      <c r="A1078" s="397"/>
      <c r="B1078" s="397"/>
      <c r="C1078" s="397"/>
      <c r="D1078" s="397"/>
      <c r="E1078" s="397"/>
      <c r="F1078" s="397"/>
      <c r="G1078" s="397"/>
      <c r="H1078" s="397"/>
      <c r="I1078" s="450"/>
      <c r="J1078" s="397"/>
      <c r="K1078" s="397"/>
      <c r="L1078" s="451"/>
      <c r="M1078" s="449"/>
    </row>
    <row r="1079" spans="1:13" x14ac:dyDescent="0.25">
      <c r="A1079" s="397"/>
      <c r="B1079" s="397"/>
      <c r="C1079" s="397"/>
      <c r="D1079" s="397"/>
      <c r="E1079" s="397"/>
      <c r="F1079" s="397"/>
      <c r="G1079" s="397"/>
      <c r="H1079" s="397"/>
      <c r="I1079" s="450"/>
      <c r="J1079" s="397"/>
      <c r="K1079" s="397"/>
      <c r="L1079" s="451"/>
      <c r="M1079" s="449"/>
    </row>
    <row r="1080" spans="1:13" x14ac:dyDescent="0.25">
      <c r="A1080" s="397"/>
      <c r="B1080" s="397"/>
      <c r="C1080" s="397"/>
      <c r="D1080" s="397"/>
      <c r="E1080" s="397"/>
      <c r="F1080" s="397"/>
      <c r="G1080" s="397"/>
      <c r="H1080" s="397"/>
      <c r="I1080" s="450"/>
      <c r="J1080" s="397"/>
      <c r="K1080" s="397"/>
      <c r="L1080" s="451"/>
      <c r="M1080" s="449"/>
    </row>
    <row r="1081" spans="1:13" x14ac:dyDescent="0.25">
      <c r="A1081" s="397"/>
      <c r="B1081" s="397"/>
      <c r="C1081" s="397"/>
      <c r="D1081" s="397"/>
      <c r="E1081" s="397"/>
      <c r="F1081" s="397"/>
      <c r="G1081" s="397"/>
      <c r="H1081" s="397"/>
      <c r="I1081" s="450"/>
      <c r="J1081" s="397"/>
      <c r="K1081" s="397"/>
      <c r="L1081" s="451"/>
      <c r="M1081" s="449"/>
    </row>
    <row r="1082" spans="1:13" x14ac:dyDescent="0.25">
      <c r="A1082" s="397"/>
      <c r="B1082" s="397"/>
      <c r="C1082" s="397"/>
      <c r="D1082" s="397"/>
      <c r="E1082" s="397"/>
      <c r="F1082" s="397"/>
      <c r="G1082" s="397"/>
      <c r="H1082" s="397"/>
      <c r="I1082" s="450"/>
      <c r="J1082" s="397"/>
      <c r="K1082" s="397"/>
      <c r="L1082" s="451"/>
      <c r="M1082" s="449"/>
    </row>
    <row r="1083" spans="1:13" x14ac:dyDescent="0.25">
      <c r="A1083" s="397"/>
      <c r="B1083" s="397"/>
      <c r="C1083" s="397"/>
      <c r="D1083" s="397"/>
      <c r="E1083" s="397"/>
      <c r="F1083" s="397"/>
      <c r="G1083" s="397"/>
      <c r="H1083" s="397"/>
      <c r="I1083" s="450"/>
      <c r="J1083" s="397"/>
      <c r="K1083" s="397"/>
      <c r="L1083" s="451"/>
      <c r="M1083" s="449"/>
    </row>
    <row r="1084" spans="1:13" x14ac:dyDescent="0.25">
      <c r="A1084" s="397"/>
      <c r="B1084" s="397"/>
      <c r="C1084" s="397"/>
      <c r="D1084" s="397"/>
      <c r="E1084" s="397"/>
      <c r="F1084" s="397"/>
      <c r="G1084" s="397"/>
      <c r="H1084" s="397"/>
      <c r="I1084" s="450"/>
      <c r="J1084" s="397"/>
      <c r="K1084" s="397"/>
      <c r="L1084" s="451"/>
      <c r="M1084" s="449"/>
    </row>
    <row r="1085" spans="1:13" x14ac:dyDescent="0.25">
      <c r="A1085" s="397"/>
      <c r="B1085" s="397"/>
      <c r="C1085" s="397"/>
      <c r="D1085" s="397"/>
      <c r="E1085" s="397"/>
      <c r="F1085" s="397"/>
      <c r="G1085" s="397"/>
      <c r="H1085" s="397"/>
      <c r="I1085" s="450"/>
      <c r="J1085" s="397"/>
      <c r="K1085" s="397"/>
      <c r="L1085" s="451"/>
      <c r="M1085" s="449"/>
    </row>
    <row r="1086" spans="1:13" x14ac:dyDescent="0.25">
      <c r="A1086" s="397"/>
      <c r="B1086" s="397"/>
      <c r="C1086" s="397"/>
      <c r="D1086" s="397"/>
      <c r="E1086" s="397"/>
      <c r="F1086" s="397"/>
      <c r="G1086" s="397"/>
      <c r="H1086" s="397"/>
      <c r="I1086" s="450"/>
      <c r="J1086" s="397"/>
      <c r="K1086" s="397"/>
      <c r="L1086" s="451"/>
      <c r="M1086" s="449"/>
    </row>
    <row r="1087" spans="1:13" x14ac:dyDescent="0.25">
      <c r="A1087" s="397"/>
      <c r="B1087" s="397"/>
      <c r="C1087" s="397"/>
      <c r="D1087" s="397"/>
      <c r="E1087" s="397"/>
      <c r="F1087" s="397"/>
      <c r="G1087" s="397"/>
      <c r="H1087" s="397"/>
      <c r="I1087" s="450"/>
      <c r="J1087" s="397"/>
      <c r="K1087" s="397"/>
      <c r="L1087" s="451"/>
      <c r="M1087" s="449"/>
    </row>
    <row r="1088" spans="1:13" x14ac:dyDescent="0.25">
      <c r="A1088" s="397"/>
      <c r="B1088" s="397"/>
      <c r="C1088" s="397"/>
      <c r="D1088" s="397"/>
      <c r="E1088" s="397"/>
      <c r="F1088" s="397"/>
      <c r="G1088" s="397"/>
      <c r="H1088" s="397"/>
      <c r="I1088" s="450"/>
      <c r="J1088" s="397"/>
      <c r="K1088" s="397"/>
      <c r="L1088" s="451"/>
      <c r="M1088" s="449"/>
    </row>
    <row r="1089" spans="1:13" x14ac:dyDescent="0.25">
      <c r="A1089" s="397"/>
      <c r="B1089" s="397"/>
      <c r="C1089" s="397"/>
      <c r="D1089" s="397"/>
      <c r="E1089" s="397"/>
      <c r="F1089" s="397"/>
      <c r="G1089" s="397"/>
      <c r="H1089" s="397"/>
      <c r="I1089" s="450"/>
      <c r="J1089" s="397"/>
      <c r="K1089" s="397"/>
      <c r="L1089" s="451"/>
      <c r="M1089" s="449"/>
    </row>
    <row r="1090" spans="1:13" x14ac:dyDescent="0.25">
      <c r="A1090" s="397"/>
      <c r="B1090" s="397"/>
      <c r="C1090" s="397"/>
      <c r="D1090" s="397"/>
      <c r="E1090" s="397"/>
      <c r="F1090" s="397"/>
      <c r="G1090" s="397"/>
      <c r="H1090" s="397"/>
      <c r="I1090" s="450"/>
      <c r="J1090" s="397"/>
      <c r="K1090" s="397"/>
      <c r="L1090" s="451"/>
      <c r="M1090" s="449"/>
    </row>
    <row r="1091" spans="1:13" x14ac:dyDescent="0.25">
      <c r="A1091" s="397"/>
      <c r="B1091" s="397"/>
      <c r="C1091" s="397"/>
      <c r="D1091" s="397"/>
      <c r="E1091" s="397"/>
      <c r="F1091" s="397"/>
      <c r="G1091" s="397"/>
      <c r="H1091" s="397"/>
      <c r="I1091" s="450"/>
      <c r="J1091" s="397"/>
      <c r="K1091" s="397"/>
      <c r="L1091" s="451"/>
      <c r="M1091" s="449"/>
    </row>
    <row r="1092" spans="1:13" x14ac:dyDescent="0.25">
      <c r="A1092" s="397"/>
      <c r="B1092" s="397"/>
      <c r="C1092" s="397"/>
      <c r="D1092" s="397"/>
      <c r="E1092" s="397"/>
      <c r="F1092" s="397"/>
      <c r="G1092" s="397"/>
      <c r="H1092" s="397"/>
      <c r="I1092" s="450"/>
      <c r="J1092" s="397"/>
      <c r="K1092" s="397"/>
      <c r="L1092" s="451"/>
      <c r="M1092" s="449"/>
    </row>
    <row r="1093" spans="1:13" x14ac:dyDescent="0.25">
      <c r="A1093" s="397"/>
      <c r="B1093" s="397"/>
      <c r="C1093" s="397"/>
      <c r="D1093" s="397"/>
      <c r="E1093" s="397"/>
      <c r="F1093" s="397"/>
      <c r="G1093" s="397"/>
      <c r="H1093" s="397"/>
      <c r="I1093" s="450"/>
      <c r="J1093" s="397"/>
      <c r="K1093" s="397"/>
      <c r="L1093" s="451"/>
      <c r="M1093" s="449"/>
    </row>
    <row r="1094" spans="1:13" x14ac:dyDescent="0.25">
      <c r="A1094" s="397"/>
      <c r="B1094" s="397"/>
      <c r="C1094" s="397"/>
      <c r="D1094" s="397"/>
      <c r="E1094" s="397"/>
      <c r="F1094" s="397"/>
      <c r="G1094" s="397"/>
      <c r="H1094" s="397"/>
      <c r="I1094" s="450"/>
      <c r="J1094" s="397"/>
      <c r="K1094" s="397"/>
      <c r="L1094" s="451"/>
      <c r="M1094" s="449"/>
    </row>
    <row r="1095" spans="1:13" x14ac:dyDescent="0.25">
      <c r="A1095" s="397"/>
      <c r="B1095" s="397"/>
      <c r="C1095" s="397"/>
      <c r="D1095" s="397"/>
      <c r="E1095" s="397"/>
      <c r="F1095" s="397"/>
      <c r="G1095" s="397"/>
      <c r="H1095" s="397"/>
      <c r="I1095" s="450"/>
      <c r="J1095" s="397"/>
      <c r="K1095" s="397"/>
      <c r="L1095" s="451"/>
      <c r="M1095" s="449"/>
    </row>
    <row r="1096" spans="1:13" x14ac:dyDescent="0.25">
      <c r="A1096" s="397"/>
      <c r="B1096" s="397"/>
      <c r="C1096" s="397"/>
      <c r="D1096" s="397"/>
      <c r="E1096" s="397"/>
      <c r="F1096" s="397"/>
      <c r="G1096" s="397"/>
      <c r="H1096" s="397"/>
      <c r="I1096" s="450"/>
      <c r="J1096" s="397"/>
      <c r="K1096" s="397"/>
      <c r="L1096" s="451"/>
      <c r="M1096" s="449"/>
    </row>
    <row r="1097" spans="1:13" x14ac:dyDescent="0.25">
      <c r="A1097" s="397"/>
      <c r="B1097" s="397"/>
      <c r="C1097" s="397"/>
      <c r="D1097" s="397"/>
      <c r="E1097" s="397"/>
      <c r="F1097" s="397"/>
      <c r="G1097" s="397"/>
      <c r="H1097" s="397"/>
      <c r="I1097" s="450"/>
      <c r="J1097" s="397"/>
      <c r="K1097" s="397"/>
      <c r="L1097" s="451"/>
      <c r="M1097" s="449"/>
    </row>
    <row r="1098" spans="1:13" x14ac:dyDescent="0.25">
      <c r="A1098" s="397"/>
      <c r="B1098" s="397"/>
      <c r="C1098" s="397"/>
      <c r="D1098" s="397"/>
      <c r="E1098" s="397"/>
      <c r="F1098" s="397"/>
      <c r="G1098" s="397"/>
      <c r="H1098" s="397"/>
      <c r="I1098" s="450"/>
      <c r="J1098" s="397"/>
      <c r="K1098" s="397"/>
      <c r="L1098" s="451"/>
      <c r="M1098" s="449"/>
    </row>
    <row r="1099" spans="1:13" x14ac:dyDescent="0.25">
      <c r="A1099" s="397"/>
      <c r="B1099" s="397"/>
      <c r="C1099" s="397"/>
      <c r="D1099" s="397"/>
      <c r="E1099" s="397"/>
      <c r="F1099" s="397"/>
      <c r="G1099" s="397"/>
      <c r="H1099" s="397"/>
      <c r="I1099" s="450"/>
      <c r="J1099" s="397"/>
      <c r="K1099" s="397"/>
      <c r="L1099" s="451"/>
      <c r="M1099" s="449"/>
    </row>
    <row r="1100" spans="1:13" x14ac:dyDescent="0.25">
      <c r="A1100" s="397"/>
      <c r="B1100" s="397"/>
      <c r="C1100" s="397"/>
      <c r="D1100" s="397"/>
      <c r="E1100" s="397"/>
      <c r="F1100" s="397"/>
      <c r="G1100" s="397"/>
      <c r="H1100" s="397"/>
      <c r="I1100" s="450"/>
      <c r="J1100" s="397"/>
      <c r="K1100" s="397"/>
      <c r="L1100" s="451"/>
      <c r="M1100" s="449"/>
    </row>
    <row r="1101" spans="1:13" x14ac:dyDescent="0.25">
      <c r="A1101" s="397"/>
      <c r="B1101" s="397"/>
      <c r="C1101" s="397"/>
      <c r="D1101" s="397"/>
      <c r="E1101" s="397"/>
      <c r="F1101" s="397"/>
      <c r="G1101" s="397"/>
      <c r="H1101" s="397"/>
      <c r="I1101" s="450"/>
      <c r="J1101" s="397"/>
      <c r="K1101" s="397"/>
      <c r="L1101" s="451"/>
      <c r="M1101" s="449"/>
    </row>
    <row r="1102" spans="1:13" x14ac:dyDescent="0.25">
      <c r="A1102" s="397"/>
      <c r="B1102" s="397"/>
      <c r="C1102" s="397"/>
      <c r="D1102" s="397"/>
      <c r="E1102" s="397"/>
      <c r="F1102" s="397"/>
      <c r="G1102" s="397"/>
      <c r="H1102" s="397"/>
      <c r="I1102" s="450"/>
      <c r="J1102" s="397"/>
      <c r="K1102" s="397"/>
      <c r="L1102" s="451"/>
      <c r="M1102" s="449"/>
    </row>
    <row r="1103" spans="1:13" x14ac:dyDescent="0.25">
      <c r="A1103" s="397"/>
      <c r="B1103" s="397"/>
      <c r="C1103" s="397"/>
      <c r="D1103" s="397"/>
      <c r="E1103" s="397"/>
      <c r="F1103" s="397"/>
      <c r="G1103" s="397"/>
      <c r="H1103" s="397"/>
      <c r="I1103" s="450"/>
      <c r="J1103" s="397"/>
      <c r="K1103" s="397"/>
      <c r="L1103" s="451"/>
      <c r="M1103" s="449"/>
    </row>
    <row r="1104" spans="1:13" x14ac:dyDescent="0.25">
      <c r="A1104" s="397"/>
      <c r="B1104" s="397"/>
      <c r="C1104" s="397"/>
      <c r="D1104" s="397"/>
      <c r="E1104" s="397"/>
      <c r="F1104" s="397"/>
      <c r="G1104" s="397"/>
      <c r="H1104" s="397"/>
      <c r="I1104" s="450"/>
      <c r="J1104" s="397"/>
      <c r="K1104" s="397"/>
      <c r="L1104" s="451"/>
      <c r="M1104" s="449"/>
    </row>
    <row r="1105" spans="1:13" x14ac:dyDescent="0.25">
      <c r="A1105" s="397"/>
      <c r="B1105" s="397"/>
      <c r="C1105" s="397"/>
      <c r="D1105" s="397"/>
      <c r="E1105" s="397"/>
      <c r="F1105" s="397"/>
      <c r="G1105" s="397"/>
      <c r="H1105" s="397"/>
      <c r="I1105" s="450"/>
      <c r="J1105" s="397"/>
      <c r="K1105" s="397"/>
      <c r="L1105" s="451"/>
      <c r="M1105" s="449"/>
    </row>
    <row r="1106" spans="1:13" x14ac:dyDescent="0.25">
      <c r="A1106" s="397"/>
      <c r="B1106" s="397"/>
      <c r="C1106" s="397"/>
      <c r="D1106" s="397"/>
      <c r="E1106" s="397"/>
      <c r="F1106" s="397"/>
      <c r="G1106" s="397"/>
      <c r="H1106" s="397"/>
      <c r="I1106" s="450"/>
      <c r="J1106" s="397"/>
      <c r="K1106" s="397"/>
      <c r="L1106" s="451"/>
      <c r="M1106" s="449"/>
    </row>
    <row r="1107" spans="1:13" x14ac:dyDescent="0.25">
      <c r="A1107" s="397"/>
      <c r="B1107" s="397"/>
      <c r="C1107" s="397"/>
      <c r="D1107" s="397"/>
      <c r="E1107" s="397"/>
      <c r="F1107" s="397"/>
      <c r="G1107" s="397"/>
      <c r="H1107" s="397"/>
      <c r="I1107" s="450"/>
      <c r="J1107" s="397"/>
      <c r="K1107" s="397"/>
      <c r="L1107" s="451"/>
      <c r="M1107" s="449"/>
    </row>
    <row r="1108" spans="1:13" x14ac:dyDescent="0.25">
      <c r="A1108" s="397"/>
      <c r="B1108" s="397"/>
      <c r="C1108" s="397"/>
      <c r="D1108" s="397"/>
      <c r="E1108" s="397"/>
      <c r="F1108" s="397"/>
      <c r="G1108" s="397"/>
      <c r="H1108" s="397"/>
      <c r="I1108" s="450"/>
      <c r="J1108" s="397"/>
      <c r="K1108" s="397"/>
      <c r="L1108" s="451"/>
      <c r="M1108" s="449"/>
    </row>
    <row r="1109" spans="1:13" x14ac:dyDescent="0.25">
      <c r="A1109" s="397"/>
      <c r="B1109" s="397"/>
      <c r="C1109" s="397"/>
      <c r="D1109" s="397"/>
      <c r="E1109" s="397"/>
      <c r="F1109" s="397"/>
      <c r="G1109" s="397"/>
      <c r="H1109" s="397"/>
      <c r="I1109" s="450"/>
      <c r="J1109" s="397"/>
      <c r="K1109" s="397"/>
      <c r="L1109" s="451"/>
      <c r="M1109" s="449"/>
    </row>
    <row r="1110" spans="1:13" x14ac:dyDescent="0.25">
      <c r="A1110" s="397"/>
      <c r="B1110" s="397"/>
      <c r="C1110" s="397"/>
      <c r="D1110" s="397"/>
      <c r="E1110" s="397"/>
      <c r="F1110" s="397"/>
      <c r="G1110" s="397"/>
      <c r="H1110" s="397"/>
      <c r="I1110" s="450"/>
      <c r="J1110" s="397"/>
      <c r="K1110" s="397"/>
      <c r="L1110" s="451"/>
      <c r="M1110" s="449"/>
    </row>
    <row r="1111" spans="1:13" x14ac:dyDescent="0.25">
      <c r="A1111" s="397"/>
      <c r="B1111" s="397"/>
      <c r="C1111" s="397"/>
      <c r="D1111" s="397"/>
      <c r="E1111" s="397"/>
      <c r="F1111" s="397"/>
      <c r="G1111" s="397"/>
      <c r="H1111" s="397"/>
      <c r="I1111" s="450"/>
      <c r="J1111" s="397"/>
      <c r="K1111" s="397"/>
      <c r="L1111" s="451"/>
      <c r="M1111" s="449"/>
    </row>
    <row r="1112" spans="1:13" x14ac:dyDescent="0.25">
      <c r="A1112" s="397"/>
      <c r="B1112" s="397"/>
      <c r="C1112" s="397"/>
      <c r="D1112" s="397"/>
      <c r="E1112" s="397"/>
      <c r="F1112" s="397"/>
      <c r="G1112" s="397"/>
      <c r="H1112" s="397"/>
      <c r="I1112" s="450"/>
      <c r="J1112" s="397"/>
      <c r="K1112" s="397"/>
      <c r="L1112" s="451"/>
      <c r="M1112" s="449"/>
    </row>
    <row r="1113" spans="1:13" x14ac:dyDescent="0.25">
      <c r="A1113" s="397"/>
      <c r="B1113" s="397"/>
      <c r="C1113" s="397"/>
      <c r="D1113" s="397"/>
      <c r="E1113" s="397"/>
      <c r="F1113" s="397"/>
      <c r="G1113" s="397"/>
      <c r="H1113" s="397"/>
      <c r="I1113" s="450"/>
      <c r="J1113" s="397"/>
      <c r="K1113" s="397"/>
      <c r="L1113" s="451"/>
      <c r="M1113" s="449"/>
    </row>
    <row r="1114" spans="1:13" x14ac:dyDescent="0.25">
      <c r="A1114" s="397"/>
      <c r="B1114" s="397"/>
      <c r="C1114" s="397"/>
      <c r="D1114" s="397"/>
      <c r="E1114" s="397"/>
      <c r="F1114" s="397"/>
      <c r="G1114" s="397"/>
      <c r="H1114" s="397"/>
      <c r="I1114" s="450"/>
      <c r="J1114" s="397"/>
      <c r="K1114" s="397"/>
      <c r="L1114" s="451"/>
      <c r="M1114" s="449"/>
    </row>
    <row r="1115" spans="1:13" x14ac:dyDescent="0.25">
      <c r="A1115" s="397"/>
      <c r="B1115" s="397"/>
      <c r="C1115" s="397"/>
      <c r="D1115" s="397"/>
      <c r="E1115" s="397"/>
      <c r="F1115" s="397"/>
      <c r="G1115" s="397"/>
      <c r="H1115" s="397"/>
      <c r="I1115" s="450"/>
      <c r="J1115" s="397"/>
      <c r="K1115" s="397"/>
      <c r="L1115" s="451"/>
      <c r="M1115" s="449"/>
    </row>
    <row r="1116" spans="1:13" x14ac:dyDescent="0.25">
      <c r="A1116" s="397"/>
      <c r="B1116" s="397"/>
      <c r="C1116" s="397"/>
      <c r="D1116" s="397"/>
      <c r="E1116" s="397"/>
      <c r="F1116" s="397"/>
      <c r="G1116" s="397"/>
      <c r="H1116" s="397"/>
      <c r="I1116" s="450"/>
      <c r="J1116" s="397"/>
      <c r="K1116" s="397"/>
      <c r="L1116" s="451"/>
      <c r="M1116" s="449"/>
    </row>
    <row r="1117" spans="1:13" x14ac:dyDescent="0.25">
      <c r="A1117" s="397"/>
      <c r="B1117" s="397"/>
      <c r="C1117" s="397"/>
      <c r="D1117" s="397"/>
      <c r="E1117" s="397"/>
      <c r="F1117" s="397"/>
      <c r="G1117" s="397"/>
      <c r="H1117" s="397"/>
      <c r="I1117" s="450"/>
      <c r="J1117" s="397"/>
      <c r="K1117" s="397"/>
      <c r="L1117" s="451"/>
      <c r="M1117" s="449"/>
    </row>
    <row r="1118" spans="1:13" x14ac:dyDescent="0.25">
      <c r="A1118" s="397"/>
      <c r="B1118" s="397"/>
      <c r="C1118" s="397"/>
      <c r="D1118" s="397"/>
      <c r="E1118" s="397"/>
      <c r="F1118" s="397"/>
      <c r="G1118" s="397"/>
      <c r="H1118" s="397"/>
      <c r="I1118" s="450"/>
      <c r="J1118" s="397"/>
      <c r="K1118" s="397"/>
      <c r="L1118" s="451"/>
      <c r="M1118" s="449"/>
    </row>
    <row r="1119" spans="1:13" x14ac:dyDescent="0.25">
      <c r="A1119" s="397"/>
      <c r="B1119" s="397"/>
      <c r="C1119" s="397"/>
      <c r="D1119" s="397"/>
      <c r="E1119" s="397"/>
      <c r="F1119" s="397"/>
      <c r="G1119" s="397"/>
      <c r="H1119" s="397"/>
      <c r="I1119" s="450"/>
      <c r="J1119" s="397"/>
      <c r="K1119" s="397"/>
      <c r="L1119" s="451"/>
      <c r="M1119" s="449"/>
    </row>
    <row r="1120" spans="1:13" x14ac:dyDescent="0.25">
      <c r="A1120" s="397"/>
      <c r="B1120" s="397"/>
      <c r="C1120" s="397"/>
      <c r="D1120" s="397"/>
      <c r="E1120" s="397"/>
      <c r="F1120" s="397"/>
      <c r="G1120" s="397"/>
      <c r="H1120" s="397"/>
      <c r="I1120" s="450"/>
      <c r="J1120" s="397"/>
      <c r="K1120" s="397"/>
      <c r="L1120" s="451"/>
      <c r="M1120" s="449"/>
    </row>
    <row r="1121" spans="1:13" x14ac:dyDescent="0.25">
      <c r="A1121" s="397"/>
      <c r="B1121" s="397"/>
      <c r="C1121" s="397"/>
      <c r="D1121" s="397"/>
      <c r="E1121" s="397"/>
      <c r="F1121" s="397"/>
      <c r="G1121" s="397"/>
      <c r="H1121" s="397"/>
      <c r="I1121" s="450"/>
      <c r="J1121" s="397"/>
      <c r="K1121" s="397"/>
      <c r="L1121" s="451"/>
      <c r="M1121" s="449"/>
    </row>
    <row r="1122" spans="1:13" x14ac:dyDescent="0.25">
      <c r="A1122" s="397"/>
      <c r="B1122" s="397"/>
      <c r="C1122" s="397"/>
      <c r="D1122" s="397"/>
      <c r="E1122" s="397"/>
      <c r="F1122" s="397"/>
      <c r="G1122" s="397"/>
      <c r="H1122" s="397"/>
      <c r="I1122" s="450"/>
      <c r="J1122" s="397"/>
      <c r="K1122" s="397"/>
      <c r="L1122" s="451"/>
      <c r="M1122" s="449"/>
    </row>
    <row r="1123" spans="1:13" x14ac:dyDescent="0.25">
      <c r="A1123" s="397"/>
      <c r="B1123" s="397"/>
      <c r="C1123" s="397"/>
      <c r="D1123" s="397"/>
      <c r="E1123" s="397"/>
      <c r="F1123" s="397"/>
      <c r="G1123" s="397"/>
      <c r="H1123" s="397"/>
      <c r="I1123" s="450"/>
      <c r="J1123" s="397"/>
      <c r="K1123" s="397"/>
      <c r="L1123" s="451"/>
      <c r="M1123" s="449"/>
    </row>
    <row r="1124" spans="1:13" x14ac:dyDescent="0.25">
      <c r="A1124" s="397"/>
      <c r="B1124" s="397"/>
      <c r="C1124" s="397"/>
      <c r="D1124" s="397"/>
      <c r="E1124" s="397"/>
      <c r="F1124" s="397"/>
      <c r="G1124" s="397"/>
      <c r="H1124" s="397"/>
      <c r="I1124" s="450"/>
      <c r="J1124" s="397"/>
      <c r="K1124" s="397"/>
      <c r="L1124" s="451"/>
      <c r="M1124" s="449"/>
    </row>
    <row r="1125" spans="1:13" x14ac:dyDescent="0.25">
      <c r="A1125" s="397"/>
      <c r="B1125" s="397"/>
      <c r="C1125" s="397"/>
      <c r="D1125" s="397"/>
      <c r="E1125" s="397"/>
      <c r="F1125" s="397"/>
      <c r="G1125" s="397"/>
      <c r="H1125" s="397"/>
      <c r="I1125" s="450"/>
      <c r="J1125" s="397"/>
      <c r="K1125" s="397"/>
      <c r="L1125" s="451"/>
      <c r="M1125" s="449"/>
    </row>
    <row r="1126" spans="1:13" x14ac:dyDescent="0.25">
      <c r="A1126" s="397"/>
      <c r="B1126" s="397"/>
      <c r="C1126" s="397"/>
      <c r="D1126" s="397"/>
      <c r="E1126" s="397"/>
      <c r="F1126" s="397"/>
      <c r="G1126" s="397"/>
      <c r="H1126" s="397"/>
      <c r="I1126" s="450"/>
      <c r="J1126" s="397"/>
      <c r="K1126" s="397"/>
      <c r="L1126" s="451"/>
      <c r="M1126" s="449"/>
    </row>
    <row r="1127" spans="1:13" x14ac:dyDescent="0.25">
      <c r="A1127" s="397"/>
      <c r="B1127" s="397"/>
      <c r="C1127" s="397"/>
      <c r="D1127" s="397"/>
      <c r="E1127" s="397"/>
      <c r="F1127" s="397"/>
      <c r="G1127" s="397"/>
      <c r="H1127" s="397"/>
      <c r="I1127" s="450"/>
      <c r="J1127" s="397"/>
      <c r="K1127" s="397"/>
      <c r="L1127" s="451"/>
      <c r="M1127" s="449"/>
    </row>
    <row r="1128" spans="1:13" x14ac:dyDescent="0.25">
      <c r="A1128" s="397"/>
      <c r="B1128" s="397"/>
      <c r="C1128" s="397"/>
      <c r="D1128" s="397"/>
      <c r="E1128" s="397"/>
      <c r="F1128" s="397"/>
      <c r="G1128" s="397"/>
      <c r="H1128" s="397"/>
      <c r="I1128" s="450"/>
      <c r="J1128" s="397"/>
      <c r="K1128" s="397"/>
      <c r="L1128" s="451"/>
      <c r="M1128" s="449"/>
    </row>
    <row r="1129" spans="1:13" x14ac:dyDescent="0.25">
      <c r="A1129" s="397"/>
      <c r="B1129" s="397"/>
      <c r="C1129" s="397"/>
      <c r="D1129" s="397"/>
      <c r="E1129" s="397"/>
      <c r="F1129" s="397"/>
      <c r="G1129" s="397"/>
      <c r="H1129" s="397"/>
      <c r="I1129" s="450"/>
      <c r="J1129" s="397"/>
      <c r="K1129" s="397"/>
      <c r="L1129" s="451"/>
      <c r="M1129" s="449"/>
    </row>
    <row r="1130" spans="1:13" x14ac:dyDescent="0.25">
      <c r="A1130" s="397"/>
      <c r="B1130" s="397"/>
      <c r="C1130" s="397"/>
      <c r="D1130" s="397"/>
      <c r="E1130" s="397"/>
      <c r="F1130" s="397"/>
      <c r="G1130" s="397"/>
      <c r="H1130" s="397"/>
      <c r="I1130" s="450"/>
      <c r="J1130" s="397"/>
      <c r="K1130" s="397"/>
      <c r="L1130" s="451"/>
      <c r="M1130" s="449"/>
    </row>
    <row r="1131" spans="1:13" x14ac:dyDescent="0.25">
      <c r="A1131" s="397"/>
      <c r="B1131" s="397"/>
      <c r="C1131" s="397"/>
      <c r="D1131" s="397"/>
      <c r="E1131" s="397"/>
      <c r="F1131" s="397"/>
      <c r="G1131" s="397"/>
      <c r="H1131" s="397"/>
      <c r="I1131" s="450"/>
      <c r="J1131" s="397"/>
      <c r="K1131" s="397"/>
      <c r="L1131" s="451"/>
      <c r="M1131" s="449"/>
    </row>
    <row r="1132" spans="1:13" x14ac:dyDescent="0.25">
      <c r="A1132" s="397"/>
      <c r="B1132" s="397"/>
      <c r="C1132" s="397"/>
      <c r="D1132" s="397"/>
      <c r="E1132" s="397"/>
      <c r="F1132" s="397"/>
      <c r="G1132" s="397"/>
      <c r="H1132" s="397"/>
      <c r="I1132" s="450"/>
      <c r="J1132" s="397"/>
      <c r="K1132" s="397"/>
      <c r="L1132" s="451"/>
      <c r="M1132" s="449"/>
    </row>
    <row r="1133" spans="1:13" x14ac:dyDescent="0.25">
      <c r="A1133" s="397"/>
      <c r="B1133" s="397"/>
      <c r="C1133" s="397"/>
      <c r="D1133" s="397"/>
      <c r="E1133" s="397"/>
      <c r="F1133" s="397"/>
      <c r="G1133" s="397"/>
      <c r="H1133" s="397"/>
      <c r="I1133" s="450"/>
      <c r="J1133" s="397"/>
      <c r="K1133" s="397"/>
      <c r="L1133" s="451"/>
      <c r="M1133" s="449"/>
    </row>
    <row r="1134" spans="1:13" x14ac:dyDescent="0.25">
      <c r="A1134" s="397"/>
      <c r="B1134" s="397"/>
      <c r="C1134" s="397"/>
      <c r="D1134" s="397"/>
      <c r="E1134" s="397"/>
      <c r="F1134" s="397"/>
      <c r="G1134" s="397"/>
      <c r="H1134" s="397"/>
      <c r="I1134" s="450"/>
      <c r="J1134" s="397"/>
      <c r="K1134" s="397"/>
      <c r="L1134" s="451"/>
      <c r="M1134" s="449"/>
    </row>
    <row r="1135" spans="1:13" x14ac:dyDescent="0.25">
      <c r="A1135" s="397"/>
      <c r="B1135" s="397"/>
      <c r="C1135" s="397"/>
      <c r="D1135" s="397"/>
      <c r="E1135" s="397"/>
      <c r="F1135" s="397"/>
      <c r="G1135" s="397"/>
      <c r="H1135" s="397"/>
      <c r="I1135" s="450"/>
      <c r="J1135" s="397"/>
      <c r="K1135" s="397"/>
      <c r="L1135" s="451"/>
      <c r="M1135" s="449"/>
    </row>
    <row r="1136" spans="1:13" x14ac:dyDescent="0.25">
      <c r="A1136" s="397"/>
      <c r="B1136" s="397"/>
      <c r="C1136" s="397"/>
      <c r="D1136" s="397"/>
      <c r="E1136" s="397"/>
      <c r="F1136" s="397"/>
      <c r="G1136" s="397"/>
      <c r="H1136" s="397"/>
      <c r="I1136" s="450"/>
      <c r="J1136" s="397"/>
      <c r="K1136" s="397"/>
      <c r="L1136" s="451"/>
      <c r="M1136" s="449"/>
    </row>
    <row r="1137" spans="1:13" x14ac:dyDescent="0.25">
      <c r="A1137" s="397"/>
      <c r="B1137" s="397"/>
      <c r="C1137" s="397"/>
      <c r="D1137" s="397"/>
      <c r="E1137" s="397"/>
      <c r="F1137" s="397"/>
      <c r="G1137" s="397"/>
      <c r="H1137" s="397"/>
      <c r="I1137" s="450"/>
      <c r="J1137" s="397"/>
      <c r="K1137" s="397"/>
      <c r="L1137" s="451"/>
      <c r="M1137" s="449"/>
    </row>
    <row r="1138" spans="1:13" x14ac:dyDescent="0.25">
      <c r="A1138" s="397"/>
      <c r="B1138" s="397"/>
      <c r="C1138" s="397"/>
      <c r="D1138" s="397"/>
      <c r="E1138" s="397"/>
      <c r="F1138" s="397"/>
      <c r="G1138" s="397"/>
      <c r="H1138" s="397"/>
      <c r="I1138" s="450"/>
      <c r="J1138" s="397"/>
      <c r="K1138" s="397"/>
      <c r="L1138" s="451"/>
      <c r="M1138" s="449"/>
    </row>
    <row r="1139" spans="1:13" x14ac:dyDescent="0.25">
      <c r="A1139" s="397"/>
      <c r="B1139" s="397"/>
      <c r="C1139" s="397"/>
      <c r="D1139" s="397"/>
      <c r="E1139" s="397"/>
      <c r="F1139" s="397"/>
      <c r="G1139" s="397"/>
      <c r="H1139" s="397"/>
      <c r="I1139" s="450"/>
      <c r="J1139" s="397"/>
      <c r="K1139" s="397"/>
      <c r="L1139" s="451"/>
      <c r="M1139" s="449"/>
    </row>
    <row r="1140" spans="1:13" x14ac:dyDescent="0.25">
      <c r="A1140" s="397"/>
      <c r="B1140" s="397"/>
      <c r="C1140" s="397"/>
      <c r="D1140" s="397"/>
      <c r="E1140" s="397"/>
      <c r="F1140" s="397"/>
      <c r="G1140" s="397"/>
      <c r="H1140" s="397"/>
      <c r="I1140" s="450"/>
      <c r="J1140" s="397"/>
      <c r="K1140" s="397"/>
      <c r="L1140" s="451"/>
      <c r="M1140" s="449"/>
    </row>
    <row r="1141" spans="1:13" x14ac:dyDescent="0.25">
      <c r="A1141" s="397"/>
      <c r="B1141" s="397"/>
      <c r="C1141" s="397"/>
      <c r="D1141" s="397"/>
      <c r="E1141" s="397"/>
      <c r="F1141" s="397"/>
      <c r="G1141" s="397"/>
      <c r="H1141" s="397"/>
      <c r="I1141" s="450"/>
      <c r="J1141" s="397"/>
      <c r="K1141" s="397"/>
      <c r="L1141" s="451"/>
      <c r="M1141" s="449"/>
    </row>
    <row r="1142" spans="1:13" x14ac:dyDescent="0.25">
      <c r="A1142" s="397"/>
      <c r="B1142" s="397"/>
      <c r="C1142" s="397"/>
      <c r="D1142" s="397"/>
      <c r="E1142" s="397"/>
      <c r="F1142" s="397"/>
      <c r="G1142" s="397"/>
      <c r="H1142" s="397"/>
      <c r="I1142" s="450"/>
      <c r="J1142" s="397"/>
      <c r="K1142" s="397"/>
      <c r="L1142" s="451"/>
      <c r="M1142" s="449"/>
    </row>
    <row r="1143" spans="1:13" x14ac:dyDescent="0.25">
      <c r="A1143" s="397"/>
      <c r="B1143" s="397"/>
      <c r="C1143" s="397"/>
      <c r="D1143" s="397"/>
      <c r="E1143" s="397"/>
      <c r="F1143" s="397"/>
      <c r="G1143" s="397"/>
      <c r="H1143" s="397"/>
      <c r="I1143" s="450"/>
      <c r="J1143" s="397"/>
      <c r="K1143" s="397"/>
      <c r="L1143" s="451"/>
      <c r="M1143" s="449"/>
    </row>
    <row r="1144" spans="1:13" x14ac:dyDescent="0.25">
      <c r="A1144" s="397"/>
      <c r="B1144" s="397"/>
      <c r="C1144" s="397"/>
      <c r="D1144" s="397"/>
      <c r="E1144" s="397"/>
      <c r="F1144" s="397"/>
      <c r="G1144" s="397"/>
      <c r="H1144" s="397"/>
      <c r="I1144" s="450"/>
      <c r="J1144" s="397"/>
      <c r="K1144" s="397"/>
      <c r="L1144" s="451"/>
      <c r="M1144" s="449"/>
    </row>
    <row r="1145" spans="1:13" x14ac:dyDescent="0.25">
      <c r="A1145" s="397"/>
      <c r="B1145" s="397"/>
      <c r="C1145" s="397"/>
      <c r="D1145" s="397"/>
      <c r="E1145" s="397"/>
      <c r="F1145" s="397"/>
      <c r="G1145" s="397"/>
      <c r="H1145" s="397"/>
      <c r="I1145" s="450"/>
      <c r="J1145" s="397"/>
      <c r="K1145" s="397"/>
      <c r="L1145" s="451"/>
      <c r="M1145" s="449"/>
    </row>
    <row r="1146" spans="1:13" x14ac:dyDescent="0.25">
      <c r="A1146" s="397"/>
      <c r="B1146" s="397"/>
      <c r="C1146" s="397"/>
      <c r="D1146" s="397"/>
      <c r="E1146" s="397"/>
      <c r="F1146" s="397"/>
      <c r="G1146" s="397"/>
      <c r="H1146" s="397"/>
      <c r="I1146" s="450"/>
      <c r="J1146" s="397"/>
      <c r="K1146" s="397"/>
      <c r="L1146" s="451"/>
      <c r="M1146" s="449"/>
    </row>
    <row r="1147" spans="1:13" x14ac:dyDescent="0.25">
      <c r="A1147" s="397"/>
      <c r="B1147" s="397"/>
      <c r="C1147" s="397"/>
      <c r="D1147" s="397"/>
      <c r="E1147" s="397"/>
      <c r="F1147" s="397"/>
      <c r="G1147" s="397"/>
      <c r="H1147" s="397"/>
      <c r="I1147" s="450"/>
      <c r="J1147" s="397"/>
      <c r="K1147" s="397"/>
      <c r="L1147" s="451"/>
      <c r="M1147" s="449"/>
    </row>
    <row r="1148" spans="1:13" x14ac:dyDescent="0.25">
      <c r="A1148" s="397"/>
      <c r="B1148" s="397"/>
      <c r="C1148" s="397"/>
      <c r="D1148" s="397"/>
      <c r="E1148" s="397"/>
      <c r="F1148" s="397"/>
      <c r="G1148" s="397"/>
      <c r="H1148" s="397"/>
      <c r="I1148" s="450"/>
      <c r="J1148" s="397"/>
      <c r="K1148" s="397"/>
      <c r="L1148" s="451"/>
      <c r="M1148" s="449"/>
    </row>
    <row r="1149" spans="1:13" x14ac:dyDescent="0.25">
      <c r="A1149" s="397"/>
      <c r="B1149" s="397"/>
      <c r="C1149" s="397"/>
      <c r="D1149" s="397"/>
      <c r="E1149" s="397"/>
      <c r="F1149" s="397"/>
      <c r="G1149" s="397"/>
      <c r="H1149" s="397"/>
      <c r="I1149" s="450"/>
      <c r="J1149" s="397"/>
      <c r="K1149" s="397"/>
      <c r="L1149" s="451"/>
      <c r="M1149" s="449"/>
    </row>
    <row r="1150" spans="1:13" x14ac:dyDescent="0.25">
      <c r="A1150" s="397"/>
      <c r="B1150" s="397"/>
      <c r="C1150" s="397"/>
      <c r="D1150" s="397"/>
      <c r="E1150" s="397"/>
      <c r="F1150" s="397"/>
      <c r="G1150" s="397"/>
      <c r="H1150" s="397"/>
      <c r="I1150" s="450"/>
      <c r="J1150" s="397"/>
      <c r="K1150" s="397"/>
      <c r="L1150" s="451"/>
      <c r="M1150" s="449"/>
    </row>
    <row r="1151" spans="1:13" x14ac:dyDescent="0.25">
      <c r="A1151" s="397"/>
      <c r="B1151" s="397"/>
      <c r="C1151" s="397"/>
      <c r="D1151" s="397"/>
      <c r="E1151" s="397"/>
      <c r="F1151" s="397"/>
      <c r="G1151" s="397"/>
      <c r="H1151" s="397"/>
      <c r="I1151" s="450"/>
      <c r="J1151" s="397"/>
      <c r="K1151" s="397"/>
      <c r="L1151" s="451"/>
      <c r="M1151" s="449"/>
    </row>
    <row r="1152" spans="1:13" x14ac:dyDescent="0.25">
      <c r="A1152" s="397"/>
      <c r="B1152" s="397"/>
      <c r="C1152" s="397"/>
      <c r="D1152" s="397"/>
      <c r="E1152" s="397"/>
      <c r="F1152" s="397"/>
      <c r="G1152" s="397"/>
      <c r="H1152" s="397"/>
      <c r="I1152" s="450"/>
      <c r="J1152" s="397"/>
      <c r="K1152" s="397"/>
      <c r="L1152" s="451"/>
      <c r="M1152" s="449"/>
    </row>
    <row r="1153" spans="1:13" x14ac:dyDescent="0.25">
      <c r="A1153" s="397"/>
      <c r="B1153" s="397"/>
      <c r="C1153" s="397"/>
      <c r="D1153" s="397"/>
      <c r="E1153" s="397"/>
      <c r="F1153" s="397"/>
      <c r="G1153" s="397"/>
      <c r="H1153" s="397"/>
      <c r="I1153" s="450"/>
      <c r="J1153" s="397"/>
      <c r="K1153" s="397"/>
      <c r="L1153" s="451"/>
      <c r="M1153" s="449"/>
    </row>
    <row r="1154" spans="1:13" x14ac:dyDescent="0.25">
      <c r="A1154" s="397"/>
      <c r="B1154" s="397"/>
      <c r="C1154" s="397"/>
      <c r="D1154" s="397"/>
      <c r="E1154" s="397"/>
      <c r="F1154" s="397"/>
      <c r="G1154" s="397"/>
      <c r="H1154" s="397"/>
      <c r="I1154" s="450"/>
      <c r="J1154" s="397"/>
      <c r="K1154" s="397"/>
      <c r="L1154" s="451"/>
      <c r="M1154" s="449"/>
    </row>
    <row r="1155" spans="1:13" x14ac:dyDescent="0.25">
      <c r="A1155" s="397"/>
      <c r="B1155" s="397"/>
      <c r="C1155" s="397"/>
      <c r="D1155" s="397"/>
      <c r="E1155" s="397"/>
      <c r="F1155" s="397"/>
      <c r="G1155" s="397"/>
      <c r="H1155" s="397"/>
      <c r="I1155" s="450"/>
      <c r="J1155" s="397"/>
      <c r="K1155" s="397"/>
      <c r="L1155" s="451"/>
      <c r="M1155" s="449"/>
    </row>
    <row r="1156" spans="1:13" x14ac:dyDescent="0.25">
      <c r="A1156" s="397"/>
      <c r="B1156" s="397"/>
      <c r="C1156" s="397"/>
      <c r="D1156" s="397"/>
      <c r="E1156" s="397"/>
      <c r="F1156" s="397"/>
      <c r="G1156" s="397"/>
      <c r="H1156" s="397"/>
      <c r="I1156" s="450"/>
      <c r="J1156" s="397"/>
      <c r="K1156" s="397"/>
      <c r="L1156" s="451"/>
      <c r="M1156" s="449"/>
    </row>
    <row r="1157" spans="1:13" x14ac:dyDescent="0.25">
      <c r="A1157" s="397"/>
      <c r="B1157" s="397"/>
      <c r="C1157" s="397"/>
      <c r="D1157" s="397"/>
      <c r="E1157" s="397"/>
      <c r="F1157" s="397"/>
      <c r="G1157" s="397"/>
      <c r="H1157" s="397"/>
      <c r="I1157" s="450"/>
      <c r="J1157" s="397"/>
      <c r="K1157" s="397"/>
      <c r="L1157" s="451"/>
      <c r="M1157" s="449"/>
    </row>
    <row r="1158" spans="1:13" x14ac:dyDescent="0.25">
      <c r="A1158" s="397"/>
      <c r="B1158" s="397"/>
      <c r="C1158" s="397"/>
      <c r="D1158" s="397"/>
      <c r="E1158" s="397"/>
      <c r="F1158" s="397"/>
      <c r="G1158" s="397"/>
      <c r="H1158" s="397"/>
      <c r="I1158" s="450"/>
      <c r="J1158" s="397"/>
      <c r="K1158" s="397"/>
      <c r="L1158" s="451"/>
      <c r="M1158" s="449"/>
    </row>
    <row r="1159" spans="1:13" x14ac:dyDescent="0.25">
      <c r="A1159" s="397"/>
      <c r="B1159" s="397"/>
      <c r="C1159" s="397"/>
      <c r="D1159" s="397"/>
      <c r="E1159" s="397"/>
      <c r="F1159" s="397"/>
      <c r="G1159" s="397"/>
      <c r="H1159" s="397"/>
      <c r="I1159" s="450"/>
      <c r="J1159" s="397"/>
      <c r="K1159" s="397"/>
      <c r="L1159" s="451"/>
      <c r="M1159" s="449"/>
    </row>
    <row r="1160" spans="1:13" x14ac:dyDescent="0.25">
      <c r="A1160" s="397"/>
      <c r="B1160" s="397"/>
      <c r="C1160" s="397"/>
      <c r="D1160" s="397"/>
      <c r="E1160" s="397"/>
      <c r="F1160" s="397"/>
      <c r="G1160" s="397"/>
      <c r="H1160" s="397"/>
      <c r="I1160" s="450"/>
      <c r="J1160" s="397"/>
      <c r="K1160" s="397"/>
      <c r="L1160" s="451"/>
      <c r="M1160" s="449"/>
    </row>
    <row r="1161" spans="1:13" x14ac:dyDescent="0.25">
      <c r="A1161" s="397"/>
      <c r="B1161" s="397"/>
      <c r="C1161" s="397"/>
      <c r="D1161" s="397"/>
      <c r="E1161" s="397"/>
      <c r="F1161" s="397"/>
      <c r="G1161" s="397"/>
      <c r="H1161" s="397"/>
      <c r="I1161" s="450"/>
      <c r="J1161" s="397"/>
      <c r="K1161" s="397"/>
      <c r="L1161" s="451"/>
      <c r="M1161" s="449"/>
    </row>
    <row r="1162" spans="1:13" x14ac:dyDescent="0.25">
      <c r="A1162" s="397"/>
      <c r="B1162" s="397"/>
      <c r="C1162" s="397"/>
      <c r="D1162" s="397"/>
      <c r="E1162" s="397"/>
      <c r="F1162" s="397"/>
      <c r="G1162" s="397"/>
      <c r="H1162" s="397"/>
      <c r="I1162" s="450"/>
      <c r="J1162" s="397"/>
      <c r="K1162" s="397"/>
      <c r="L1162" s="451"/>
      <c r="M1162" s="449"/>
    </row>
    <row r="1163" spans="1:13" x14ac:dyDescent="0.25">
      <c r="A1163" s="397"/>
      <c r="B1163" s="397"/>
      <c r="C1163" s="397"/>
      <c r="D1163" s="397"/>
      <c r="E1163" s="397"/>
      <c r="F1163" s="397"/>
      <c r="G1163" s="397"/>
      <c r="H1163" s="397"/>
      <c r="I1163" s="450"/>
      <c r="J1163" s="397"/>
      <c r="K1163" s="397"/>
      <c r="L1163" s="451"/>
      <c r="M1163" s="449"/>
    </row>
    <row r="1164" spans="1:13" x14ac:dyDescent="0.25">
      <c r="A1164" s="397"/>
      <c r="B1164" s="397"/>
      <c r="C1164" s="397"/>
      <c r="D1164" s="397"/>
      <c r="E1164" s="397"/>
      <c r="F1164" s="397"/>
      <c r="G1164" s="397"/>
      <c r="H1164" s="397"/>
      <c r="I1164" s="450"/>
      <c r="J1164" s="397"/>
      <c r="K1164" s="397"/>
      <c r="L1164" s="451"/>
      <c r="M1164" s="449"/>
    </row>
    <row r="1165" spans="1:13" x14ac:dyDescent="0.25">
      <c r="A1165" s="397"/>
      <c r="B1165" s="397"/>
      <c r="C1165" s="397"/>
      <c r="D1165" s="397"/>
      <c r="E1165" s="397"/>
      <c r="F1165" s="397"/>
      <c r="G1165" s="397"/>
      <c r="H1165" s="397"/>
      <c r="I1165" s="450"/>
      <c r="J1165" s="397"/>
      <c r="K1165" s="397"/>
      <c r="L1165" s="451"/>
      <c r="M1165" s="449"/>
    </row>
    <row r="1166" spans="1:13" x14ac:dyDescent="0.25">
      <c r="A1166" s="397"/>
      <c r="B1166" s="397"/>
      <c r="C1166" s="397"/>
      <c r="D1166" s="397"/>
      <c r="E1166" s="397"/>
      <c r="F1166" s="397"/>
      <c r="G1166" s="397"/>
      <c r="H1166" s="397"/>
      <c r="I1166" s="450"/>
      <c r="J1166" s="397"/>
      <c r="K1166" s="397"/>
      <c r="L1166" s="451"/>
      <c r="M1166" s="449"/>
    </row>
    <row r="1167" spans="1:13" x14ac:dyDescent="0.25">
      <c r="A1167" s="397"/>
      <c r="B1167" s="397"/>
      <c r="C1167" s="397"/>
      <c r="D1167" s="397"/>
      <c r="E1167" s="397"/>
      <c r="F1167" s="397"/>
      <c r="G1167" s="397"/>
      <c r="H1167" s="397"/>
      <c r="I1167" s="450"/>
      <c r="J1167" s="397"/>
      <c r="K1167" s="397"/>
      <c r="L1167" s="451"/>
      <c r="M1167" s="449"/>
    </row>
    <row r="1168" spans="1:13" x14ac:dyDescent="0.25">
      <c r="A1168" s="397"/>
      <c r="B1168" s="397"/>
      <c r="C1168" s="397"/>
      <c r="D1168" s="397"/>
      <c r="E1168" s="397"/>
      <c r="F1168" s="397"/>
      <c r="G1168" s="397"/>
      <c r="H1168" s="397"/>
      <c r="I1168" s="450"/>
      <c r="J1168" s="397"/>
      <c r="K1168" s="397"/>
      <c r="L1168" s="451"/>
      <c r="M1168" s="449"/>
    </row>
    <row r="1169" spans="1:13" x14ac:dyDescent="0.25">
      <c r="A1169" s="397"/>
      <c r="B1169" s="397"/>
      <c r="C1169" s="397"/>
      <c r="D1169" s="397"/>
      <c r="E1169" s="397"/>
      <c r="F1169" s="397"/>
      <c r="G1169" s="397"/>
      <c r="H1169" s="397"/>
      <c r="I1169" s="450"/>
      <c r="J1169" s="397"/>
      <c r="K1169" s="397"/>
      <c r="L1169" s="451"/>
      <c r="M1169" s="449"/>
    </row>
    <row r="1170" spans="1:13" x14ac:dyDescent="0.25">
      <c r="A1170" s="397"/>
      <c r="B1170" s="397"/>
      <c r="C1170" s="397"/>
      <c r="D1170" s="397"/>
      <c r="E1170" s="397"/>
      <c r="F1170" s="397"/>
      <c r="G1170" s="397"/>
      <c r="H1170" s="397"/>
      <c r="I1170" s="450"/>
      <c r="J1170" s="397"/>
      <c r="K1170" s="397"/>
      <c r="L1170" s="451"/>
      <c r="M1170" s="449"/>
    </row>
    <row r="1171" spans="1:13" x14ac:dyDescent="0.25">
      <c r="A1171" s="397"/>
      <c r="B1171" s="397"/>
      <c r="C1171" s="397"/>
      <c r="D1171" s="397"/>
      <c r="E1171" s="397"/>
      <c r="F1171" s="397"/>
      <c r="G1171" s="397"/>
      <c r="H1171" s="397"/>
      <c r="I1171" s="450"/>
      <c r="J1171" s="397"/>
      <c r="K1171" s="397"/>
      <c r="L1171" s="451"/>
      <c r="M1171" s="449"/>
    </row>
    <row r="1172" spans="1:13" x14ac:dyDescent="0.25">
      <c r="A1172" s="397"/>
      <c r="B1172" s="397"/>
      <c r="C1172" s="397"/>
      <c r="D1172" s="397"/>
      <c r="E1172" s="397"/>
      <c r="F1172" s="397"/>
      <c r="G1172" s="397"/>
      <c r="H1172" s="397"/>
      <c r="I1172" s="450"/>
      <c r="J1172" s="397"/>
      <c r="K1172" s="397"/>
      <c r="L1172" s="451"/>
      <c r="M1172" s="449"/>
    </row>
    <row r="1173" spans="1:13" x14ac:dyDescent="0.25">
      <c r="A1173" s="397"/>
      <c r="B1173" s="397"/>
      <c r="C1173" s="397"/>
      <c r="D1173" s="397"/>
      <c r="E1173" s="397"/>
      <c r="F1173" s="397"/>
      <c r="G1173" s="397"/>
      <c r="H1173" s="397"/>
      <c r="I1173" s="450"/>
      <c r="J1173" s="397"/>
      <c r="K1173" s="397"/>
      <c r="L1173" s="451"/>
      <c r="M1173" s="449"/>
    </row>
    <row r="1174" spans="1:13" x14ac:dyDescent="0.25">
      <c r="A1174" s="397"/>
      <c r="B1174" s="397"/>
      <c r="C1174" s="397"/>
      <c r="D1174" s="397"/>
      <c r="E1174" s="397"/>
      <c r="F1174" s="397"/>
      <c r="G1174" s="397"/>
      <c r="H1174" s="397"/>
      <c r="I1174" s="450"/>
      <c r="J1174" s="397"/>
      <c r="K1174" s="397"/>
      <c r="L1174" s="451"/>
      <c r="M1174" s="449"/>
    </row>
    <row r="1175" spans="1:13" x14ac:dyDescent="0.25">
      <c r="A1175" s="397"/>
      <c r="B1175" s="397"/>
      <c r="C1175" s="397"/>
      <c r="D1175" s="397"/>
      <c r="E1175" s="397"/>
      <c r="F1175" s="397"/>
      <c r="G1175" s="397"/>
      <c r="H1175" s="397"/>
      <c r="I1175" s="450"/>
      <c r="J1175" s="397"/>
      <c r="K1175" s="397"/>
      <c r="L1175" s="451"/>
      <c r="M1175" s="449"/>
    </row>
    <row r="1176" spans="1:13" x14ac:dyDescent="0.25">
      <c r="A1176" s="397"/>
      <c r="B1176" s="397"/>
      <c r="C1176" s="397"/>
      <c r="D1176" s="397"/>
      <c r="E1176" s="397"/>
      <c r="F1176" s="397"/>
      <c r="G1176" s="397"/>
      <c r="H1176" s="397"/>
      <c r="I1176" s="450"/>
      <c r="J1176" s="397"/>
      <c r="K1176" s="397"/>
      <c r="L1176" s="451"/>
      <c r="M1176" s="449"/>
    </row>
    <row r="1177" spans="1:13" x14ac:dyDescent="0.25">
      <c r="A1177" s="397"/>
      <c r="B1177" s="397"/>
      <c r="C1177" s="397"/>
      <c r="D1177" s="397"/>
      <c r="E1177" s="397"/>
      <c r="F1177" s="397"/>
      <c r="G1177" s="397"/>
      <c r="H1177" s="397"/>
      <c r="I1177" s="450"/>
      <c r="J1177" s="397"/>
      <c r="K1177" s="397"/>
      <c r="L1177" s="451"/>
      <c r="M1177" s="449"/>
    </row>
    <row r="1178" spans="1:13" x14ac:dyDescent="0.25">
      <c r="A1178" s="397"/>
      <c r="B1178" s="397"/>
      <c r="C1178" s="397"/>
      <c r="D1178" s="397"/>
      <c r="E1178" s="397"/>
      <c r="F1178" s="397"/>
      <c r="G1178" s="397"/>
      <c r="H1178" s="397"/>
      <c r="I1178" s="450"/>
      <c r="J1178" s="397"/>
      <c r="K1178" s="397"/>
      <c r="L1178" s="451"/>
      <c r="M1178" s="449"/>
    </row>
    <row r="1179" spans="1:13" x14ac:dyDescent="0.25">
      <c r="A1179" s="397"/>
      <c r="B1179" s="397"/>
      <c r="C1179" s="397"/>
      <c r="D1179" s="397"/>
      <c r="E1179" s="397"/>
      <c r="F1179" s="397"/>
      <c r="G1179" s="397"/>
      <c r="H1179" s="397"/>
      <c r="I1179" s="450"/>
      <c r="J1179" s="397"/>
      <c r="K1179" s="397"/>
      <c r="L1179" s="451"/>
      <c r="M1179" s="449"/>
    </row>
    <row r="1180" spans="1:13" x14ac:dyDescent="0.25">
      <c r="A1180" s="397"/>
      <c r="B1180" s="397"/>
      <c r="C1180" s="397"/>
      <c r="D1180" s="397"/>
      <c r="E1180" s="397"/>
      <c r="F1180" s="397"/>
      <c r="G1180" s="397"/>
      <c r="H1180" s="397"/>
      <c r="I1180" s="450"/>
      <c r="J1180" s="397"/>
      <c r="K1180" s="397"/>
      <c r="L1180" s="451"/>
      <c r="M1180" s="449"/>
    </row>
    <row r="1181" spans="1:13" x14ac:dyDescent="0.25">
      <c r="A1181" s="397"/>
      <c r="B1181" s="397"/>
      <c r="C1181" s="397"/>
      <c r="D1181" s="397"/>
      <c r="E1181" s="397"/>
      <c r="F1181" s="397"/>
      <c r="G1181" s="397"/>
      <c r="H1181" s="397"/>
      <c r="I1181" s="450"/>
      <c r="J1181" s="397"/>
      <c r="K1181" s="397"/>
      <c r="L1181" s="451"/>
      <c r="M1181" s="449"/>
    </row>
    <row r="1182" spans="1:13" x14ac:dyDescent="0.25">
      <c r="A1182" s="397"/>
      <c r="B1182" s="397"/>
      <c r="C1182" s="397"/>
      <c r="D1182" s="397"/>
      <c r="E1182" s="397"/>
      <c r="F1182" s="397"/>
      <c r="G1182" s="397"/>
      <c r="H1182" s="397"/>
      <c r="I1182" s="450"/>
      <c r="J1182" s="397"/>
      <c r="K1182" s="397"/>
      <c r="L1182" s="451"/>
      <c r="M1182" s="449"/>
    </row>
    <row r="1183" spans="1:13" x14ac:dyDescent="0.25">
      <c r="A1183" s="397"/>
      <c r="B1183" s="397"/>
      <c r="C1183" s="397"/>
      <c r="D1183" s="397"/>
      <c r="E1183" s="397"/>
      <c r="F1183" s="397"/>
      <c r="G1183" s="397"/>
      <c r="H1183" s="397"/>
      <c r="I1183" s="450"/>
      <c r="J1183" s="397"/>
      <c r="K1183" s="397"/>
      <c r="L1183" s="451"/>
      <c r="M1183" s="449"/>
    </row>
    <row r="1184" spans="1:13" x14ac:dyDescent="0.25">
      <c r="A1184" s="397"/>
      <c r="B1184" s="397"/>
      <c r="C1184" s="397"/>
      <c r="D1184" s="397"/>
      <c r="E1184" s="397"/>
      <c r="F1184" s="397"/>
      <c r="G1184" s="397"/>
      <c r="H1184" s="397"/>
      <c r="I1184" s="450"/>
      <c r="J1184" s="397"/>
      <c r="K1184" s="397"/>
      <c r="L1184" s="451"/>
      <c r="M1184" s="449"/>
    </row>
    <row r="1185" spans="1:13" x14ac:dyDescent="0.25">
      <c r="A1185" s="397"/>
      <c r="B1185" s="397"/>
      <c r="C1185" s="397"/>
      <c r="D1185" s="397"/>
      <c r="E1185" s="397"/>
      <c r="F1185" s="397"/>
      <c r="G1185" s="397"/>
      <c r="H1185" s="397"/>
      <c r="I1185" s="450"/>
      <c r="J1185" s="397"/>
      <c r="K1185" s="397"/>
      <c r="L1185" s="451"/>
      <c r="M1185" s="449"/>
    </row>
    <row r="1186" spans="1:13" x14ac:dyDescent="0.25">
      <c r="A1186" s="397"/>
      <c r="B1186" s="397"/>
      <c r="C1186" s="397"/>
      <c r="D1186" s="397"/>
      <c r="E1186" s="397"/>
      <c r="F1186" s="397"/>
      <c r="G1186" s="397"/>
      <c r="H1186" s="397"/>
      <c r="I1186" s="450"/>
      <c r="J1186" s="397"/>
      <c r="K1186" s="397"/>
      <c r="L1186" s="451"/>
      <c r="M1186" s="449"/>
    </row>
    <row r="1187" spans="1:13" x14ac:dyDescent="0.25">
      <c r="A1187" s="397"/>
      <c r="B1187" s="397"/>
      <c r="C1187" s="397"/>
      <c r="D1187" s="397"/>
      <c r="E1187" s="397"/>
      <c r="F1187" s="397"/>
      <c r="G1187" s="397"/>
      <c r="H1187" s="397"/>
      <c r="I1187" s="450"/>
      <c r="J1187" s="397"/>
      <c r="K1187" s="397"/>
      <c r="L1187" s="451"/>
      <c r="M1187" s="449"/>
    </row>
    <row r="1188" spans="1:13" x14ac:dyDescent="0.25">
      <c r="A1188" s="397"/>
      <c r="B1188" s="397"/>
      <c r="C1188" s="397"/>
      <c r="D1188" s="397"/>
      <c r="E1188" s="397"/>
      <c r="F1188" s="397"/>
      <c r="G1188" s="397"/>
      <c r="H1188" s="397"/>
      <c r="I1188" s="450"/>
      <c r="J1188" s="397"/>
      <c r="K1188" s="397"/>
      <c r="L1188" s="451"/>
      <c r="M1188" s="449"/>
    </row>
    <row r="1189" spans="1:13" x14ac:dyDescent="0.25">
      <c r="A1189" s="397"/>
      <c r="B1189" s="397"/>
      <c r="C1189" s="397"/>
      <c r="D1189" s="397"/>
      <c r="E1189" s="397"/>
      <c r="F1189" s="397"/>
      <c r="G1189" s="397"/>
      <c r="H1189" s="397"/>
      <c r="I1189" s="450"/>
      <c r="J1189" s="397"/>
      <c r="K1189" s="397"/>
      <c r="L1189" s="451"/>
      <c r="M1189" s="449"/>
    </row>
    <row r="1190" spans="1:13" x14ac:dyDescent="0.25">
      <c r="A1190" s="397"/>
      <c r="B1190" s="397"/>
      <c r="C1190" s="397"/>
      <c r="D1190" s="397"/>
      <c r="E1190" s="397"/>
      <c r="F1190" s="397"/>
      <c r="G1190" s="397"/>
      <c r="H1190" s="397"/>
      <c r="I1190" s="450"/>
      <c r="J1190" s="397"/>
      <c r="K1190" s="397"/>
      <c r="L1190" s="451"/>
      <c r="M1190" s="449"/>
    </row>
    <row r="1191" spans="1:13" x14ac:dyDescent="0.25">
      <c r="A1191" s="397"/>
      <c r="B1191" s="397"/>
      <c r="C1191" s="397"/>
      <c r="D1191" s="397"/>
      <c r="E1191" s="397"/>
      <c r="F1191" s="397"/>
      <c r="G1191" s="397"/>
      <c r="H1191" s="397"/>
      <c r="I1191" s="450"/>
      <c r="J1191" s="397"/>
      <c r="K1191" s="397"/>
      <c r="L1191" s="451"/>
      <c r="M1191" s="449"/>
    </row>
    <row r="1192" spans="1:13" x14ac:dyDescent="0.25">
      <c r="A1192" s="397"/>
      <c r="B1192" s="397"/>
      <c r="C1192" s="397"/>
      <c r="D1192" s="397"/>
      <c r="E1192" s="397"/>
      <c r="F1192" s="397"/>
      <c r="G1192" s="397"/>
      <c r="H1192" s="397"/>
      <c r="I1192" s="450"/>
      <c r="J1192" s="397"/>
      <c r="K1192" s="397"/>
      <c r="L1192" s="451"/>
      <c r="M1192" s="449"/>
    </row>
    <row r="1193" spans="1:13" x14ac:dyDescent="0.25">
      <c r="A1193" s="397"/>
      <c r="B1193" s="397"/>
      <c r="C1193" s="397"/>
      <c r="D1193" s="397"/>
      <c r="E1193" s="397"/>
      <c r="F1193" s="397"/>
      <c r="G1193" s="397"/>
      <c r="H1193" s="397"/>
      <c r="I1193" s="450"/>
      <c r="J1193" s="397"/>
      <c r="K1193" s="397"/>
      <c r="L1193" s="451"/>
      <c r="M1193" s="449"/>
    </row>
    <row r="1194" spans="1:13" x14ac:dyDescent="0.25">
      <c r="A1194" s="397"/>
      <c r="B1194" s="397"/>
      <c r="C1194" s="397"/>
      <c r="D1194" s="397"/>
      <c r="E1194" s="397"/>
      <c r="F1194" s="397"/>
      <c r="G1194" s="397"/>
      <c r="H1194" s="397"/>
      <c r="I1194" s="450"/>
      <c r="J1194" s="397"/>
      <c r="K1194" s="397"/>
      <c r="L1194" s="451"/>
      <c r="M1194" s="449"/>
    </row>
    <row r="1195" spans="1:13" x14ac:dyDescent="0.25">
      <c r="A1195" s="397"/>
      <c r="B1195" s="397"/>
      <c r="C1195" s="397"/>
      <c r="D1195" s="397"/>
      <c r="E1195" s="397"/>
      <c r="F1195" s="397"/>
      <c r="G1195" s="397"/>
      <c r="H1195" s="397"/>
      <c r="I1195" s="450"/>
      <c r="J1195" s="397"/>
      <c r="K1195" s="397"/>
      <c r="L1195" s="451"/>
      <c r="M1195" s="449"/>
    </row>
    <row r="1196" spans="1:13" x14ac:dyDescent="0.25">
      <c r="A1196" s="397"/>
      <c r="B1196" s="397"/>
      <c r="C1196" s="397"/>
      <c r="D1196" s="397"/>
      <c r="E1196" s="397"/>
      <c r="F1196" s="397"/>
      <c r="G1196" s="397"/>
      <c r="H1196" s="397"/>
      <c r="I1196" s="450"/>
      <c r="J1196" s="397"/>
      <c r="K1196" s="397"/>
      <c r="L1196" s="451"/>
      <c r="M1196" s="449"/>
    </row>
    <row r="1197" spans="1:13" x14ac:dyDescent="0.25">
      <c r="A1197" s="397"/>
      <c r="B1197" s="397"/>
      <c r="C1197" s="397"/>
      <c r="D1197" s="397"/>
      <c r="E1197" s="397"/>
      <c r="F1197" s="397"/>
      <c r="G1197" s="397"/>
      <c r="H1197" s="397"/>
      <c r="I1197" s="450"/>
      <c r="J1197" s="397"/>
      <c r="K1197" s="397"/>
      <c r="L1197" s="451"/>
      <c r="M1197" s="449"/>
    </row>
    <row r="1198" spans="1:13" x14ac:dyDescent="0.25">
      <c r="A1198" s="397"/>
      <c r="B1198" s="397"/>
      <c r="C1198" s="397"/>
      <c r="D1198" s="397"/>
      <c r="E1198" s="397"/>
      <c r="F1198" s="397"/>
      <c r="G1198" s="397"/>
      <c r="H1198" s="397"/>
      <c r="I1198" s="450"/>
      <c r="J1198" s="397"/>
      <c r="K1198" s="397"/>
      <c r="L1198" s="451"/>
      <c r="M1198" s="449"/>
    </row>
    <row r="1199" spans="1:13" x14ac:dyDescent="0.25">
      <c r="A1199" s="397"/>
      <c r="B1199" s="397"/>
      <c r="C1199" s="397"/>
      <c r="D1199" s="397"/>
      <c r="E1199" s="397"/>
      <c r="F1199" s="397"/>
      <c r="G1199" s="397"/>
      <c r="H1199" s="397"/>
      <c r="I1199" s="450"/>
      <c r="J1199" s="397"/>
      <c r="K1199" s="397"/>
      <c r="L1199" s="451"/>
      <c r="M1199" s="449"/>
    </row>
    <row r="1200" spans="1:13" x14ac:dyDescent="0.25">
      <c r="A1200" s="397"/>
      <c r="B1200" s="397"/>
      <c r="C1200" s="397"/>
      <c r="D1200" s="397"/>
      <c r="E1200" s="397"/>
      <c r="F1200" s="397"/>
      <c r="G1200" s="397"/>
      <c r="H1200" s="397"/>
      <c r="I1200" s="450"/>
      <c r="J1200" s="397"/>
      <c r="K1200" s="397"/>
      <c r="L1200" s="451"/>
      <c r="M1200" s="449"/>
    </row>
    <row r="1201" spans="1:13" x14ac:dyDescent="0.25">
      <c r="A1201" s="397"/>
      <c r="B1201" s="397"/>
      <c r="C1201" s="397"/>
      <c r="D1201" s="397"/>
      <c r="E1201" s="397"/>
      <c r="F1201" s="397"/>
      <c r="G1201" s="397"/>
      <c r="H1201" s="397"/>
      <c r="I1201" s="450"/>
      <c r="J1201" s="397"/>
      <c r="K1201" s="397"/>
      <c r="L1201" s="451"/>
      <c r="M1201" s="449"/>
    </row>
    <row r="1202" spans="1:13" x14ac:dyDescent="0.25">
      <c r="A1202" s="397"/>
      <c r="B1202" s="397"/>
      <c r="C1202" s="397"/>
      <c r="D1202" s="397"/>
      <c r="E1202" s="397"/>
      <c r="F1202" s="397"/>
      <c r="G1202" s="397"/>
      <c r="H1202" s="397"/>
      <c r="I1202" s="450"/>
      <c r="J1202" s="397"/>
      <c r="K1202" s="397"/>
      <c r="L1202" s="451"/>
      <c r="M1202" s="449"/>
    </row>
    <row r="1203" spans="1:13" x14ac:dyDescent="0.25">
      <c r="A1203" s="397"/>
      <c r="B1203" s="397"/>
      <c r="C1203" s="397"/>
      <c r="D1203" s="397"/>
      <c r="E1203" s="397"/>
      <c r="F1203" s="397"/>
      <c r="G1203" s="397"/>
      <c r="H1203" s="397"/>
      <c r="I1203" s="450"/>
      <c r="J1203" s="397"/>
      <c r="K1203" s="397"/>
      <c r="L1203" s="451"/>
      <c r="M1203" s="449"/>
    </row>
    <row r="1204" spans="1:13" x14ac:dyDescent="0.25">
      <c r="A1204" s="397"/>
      <c r="B1204" s="397"/>
      <c r="C1204" s="397"/>
      <c r="D1204" s="397"/>
      <c r="E1204" s="397"/>
      <c r="F1204" s="397"/>
      <c r="G1204" s="397"/>
      <c r="H1204" s="397"/>
      <c r="I1204" s="450"/>
      <c r="J1204" s="397"/>
      <c r="K1204" s="397"/>
      <c r="L1204" s="451"/>
      <c r="M1204" s="449"/>
    </row>
    <row r="1205" spans="1:13" x14ac:dyDescent="0.25">
      <c r="A1205" s="397"/>
      <c r="B1205" s="397"/>
      <c r="C1205" s="397"/>
      <c r="D1205" s="397"/>
      <c r="E1205" s="397"/>
      <c r="F1205" s="397"/>
      <c r="G1205" s="397"/>
      <c r="H1205" s="397"/>
      <c r="I1205" s="450"/>
      <c r="J1205" s="397"/>
      <c r="K1205" s="397"/>
      <c r="L1205" s="451"/>
      <c r="M1205" s="449"/>
    </row>
    <row r="1206" spans="1:13" x14ac:dyDescent="0.25">
      <c r="A1206" s="397"/>
      <c r="B1206" s="397"/>
      <c r="C1206" s="397"/>
      <c r="D1206" s="397"/>
      <c r="E1206" s="397"/>
      <c r="F1206" s="397"/>
      <c r="G1206" s="397"/>
      <c r="H1206" s="397"/>
      <c r="I1206" s="450"/>
      <c r="J1206" s="397"/>
      <c r="K1206" s="397"/>
      <c r="L1206" s="451"/>
      <c r="M1206" s="449"/>
    </row>
    <row r="1207" spans="1:13" x14ac:dyDescent="0.25">
      <c r="A1207" s="397"/>
      <c r="B1207" s="397"/>
      <c r="C1207" s="397"/>
      <c r="D1207" s="397"/>
      <c r="E1207" s="397"/>
      <c r="F1207" s="397"/>
      <c r="G1207" s="397"/>
      <c r="H1207" s="397"/>
      <c r="I1207" s="450"/>
      <c r="J1207" s="397"/>
      <c r="K1207" s="397"/>
      <c r="L1207" s="451"/>
      <c r="M1207" s="449"/>
    </row>
    <row r="1208" spans="1:13" x14ac:dyDescent="0.25">
      <c r="A1208" s="397"/>
      <c r="B1208" s="397"/>
      <c r="C1208" s="397"/>
      <c r="D1208" s="397"/>
      <c r="E1208" s="397"/>
      <c r="F1208" s="397"/>
      <c r="G1208" s="397"/>
      <c r="H1208" s="397"/>
      <c r="I1208" s="450"/>
      <c r="J1208" s="397"/>
      <c r="K1208" s="397"/>
      <c r="L1208" s="451"/>
      <c r="M1208" s="449"/>
    </row>
    <row r="1209" spans="1:13" x14ac:dyDescent="0.25">
      <c r="A1209" s="397"/>
      <c r="B1209" s="397"/>
      <c r="C1209" s="397"/>
      <c r="D1209" s="397"/>
      <c r="E1209" s="397"/>
      <c r="F1209" s="397"/>
      <c r="G1209" s="397"/>
      <c r="H1209" s="397"/>
      <c r="I1209" s="450"/>
      <c r="J1209" s="397"/>
      <c r="K1209" s="397"/>
      <c r="L1209" s="451"/>
      <c r="M1209" s="449"/>
    </row>
    <row r="1210" spans="1:13" x14ac:dyDescent="0.25">
      <c r="A1210" s="397"/>
      <c r="B1210" s="397"/>
      <c r="C1210" s="397"/>
      <c r="D1210" s="397"/>
      <c r="E1210" s="397"/>
      <c r="F1210" s="397"/>
      <c r="G1210" s="397"/>
      <c r="H1210" s="397"/>
      <c r="I1210" s="450"/>
      <c r="J1210" s="397"/>
      <c r="K1210" s="397"/>
      <c r="L1210" s="451"/>
      <c r="M1210" s="449"/>
    </row>
    <row r="1211" spans="1:13" x14ac:dyDescent="0.25">
      <c r="A1211" s="397"/>
      <c r="B1211" s="397"/>
      <c r="C1211" s="397"/>
      <c r="D1211" s="397"/>
      <c r="E1211" s="397"/>
      <c r="F1211" s="397"/>
      <c r="G1211" s="397"/>
      <c r="H1211" s="397"/>
      <c r="I1211" s="450"/>
      <c r="J1211" s="397"/>
      <c r="K1211" s="397"/>
      <c r="L1211" s="451"/>
      <c r="M1211" s="449"/>
    </row>
    <row r="1212" spans="1:13" x14ac:dyDescent="0.25">
      <c r="A1212" s="397"/>
      <c r="B1212" s="397"/>
      <c r="C1212" s="397"/>
      <c r="D1212" s="397"/>
      <c r="E1212" s="397"/>
      <c r="F1212" s="397"/>
      <c r="G1212" s="397"/>
      <c r="H1212" s="397"/>
      <c r="I1212" s="450"/>
      <c r="J1212" s="397"/>
      <c r="K1212" s="397"/>
      <c r="L1212" s="451"/>
      <c r="M1212" s="449"/>
    </row>
    <row r="1213" spans="1:13" x14ac:dyDescent="0.25">
      <c r="A1213" s="397"/>
      <c r="B1213" s="397"/>
      <c r="C1213" s="397"/>
      <c r="D1213" s="397"/>
      <c r="E1213" s="397"/>
      <c r="F1213" s="397"/>
      <c r="G1213" s="397"/>
      <c r="H1213" s="397"/>
      <c r="I1213" s="450"/>
      <c r="J1213" s="397"/>
      <c r="K1213" s="397"/>
      <c r="L1213" s="451"/>
      <c r="M1213" s="449"/>
    </row>
    <row r="1214" spans="1:13" x14ac:dyDescent="0.25">
      <c r="A1214" s="397"/>
      <c r="B1214" s="397"/>
      <c r="C1214" s="397"/>
      <c r="D1214" s="397"/>
      <c r="E1214" s="397"/>
      <c r="F1214" s="397"/>
      <c r="G1214" s="397"/>
      <c r="H1214" s="397"/>
      <c r="I1214" s="450"/>
      <c r="J1214" s="397"/>
      <c r="K1214" s="397"/>
      <c r="L1214" s="451"/>
      <c r="M1214" s="449"/>
    </row>
    <row r="1215" spans="1:13" x14ac:dyDescent="0.25">
      <c r="A1215" s="397"/>
      <c r="B1215" s="397"/>
      <c r="C1215" s="397"/>
      <c r="D1215" s="397"/>
      <c r="E1215" s="397"/>
      <c r="F1215" s="397"/>
      <c r="G1215" s="397"/>
      <c r="H1215" s="397"/>
      <c r="I1215" s="450"/>
      <c r="J1215" s="397"/>
      <c r="K1215" s="397"/>
      <c r="L1215" s="451"/>
      <c r="M1215" s="449"/>
    </row>
    <row r="1216" spans="1:13" x14ac:dyDescent="0.25">
      <c r="A1216" s="397"/>
      <c r="B1216" s="397"/>
      <c r="C1216" s="397"/>
      <c r="D1216" s="397"/>
      <c r="E1216" s="397"/>
      <c r="F1216" s="397"/>
      <c r="G1216" s="397"/>
      <c r="H1216" s="397"/>
      <c r="I1216" s="450"/>
      <c r="J1216" s="397"/>
      <c r="K1216" s="397"/>
      <c r="L1216" s="451"/>
      <c r="M1216" s="449"/>
    </row>
    <row r="1217" spans="1:13" x14ac:dyDescent="0.25">
      <c r="A1217" s="397"/>
      <c r="B1217" s="397"/>
      <c r="C1217" s="397"/>
      <c r="D1217" s="397"/>
      <c r="E1217" s="397"/>
      <c r="F1217" s="397"/>
      <c r="G1217" s="397"/>
      <c r="H1217" s="397"/>
      <c r="I1217" s="450"/>
      <c r="J1217" s="397"/>
      <c r="K1217" s="397"/>
      <c r="L1217" s="451"/>
      <c r="M1217" s="449"/>
    </row>
    <row r="1218" spans="1:13" x14ac:dyDescent="0.25">
      <c r="A1218" s="397"/>
      <c r="B1218" s="397"/>
      <c r="C1218" s="397"/>
      <c r="D1218" s="397"/>
      <c r="E1218" s="397"/>
      <c r="F1218" s="397"/>
      <c r="G1218" s="397"/>
      <c r="H1218" s="397"/>
      <c r="I1218" s="450"/>
      <c r="J1218" s="397"/>
      <c r="K1218" s="397"/>
      <c r="L1218" s="451"/>
      <c r="M1218" s="449"/>
    </row>
    <row r="1219" spans="1:13" x14ac:dyDescent="0.25">
      <c r="A1219" s="397"/>
      <c r="B1219" s="397"/>
      <c r="C1219" s="397"/>
      <c r="D1219" s="397"/>
      <c r="E1219" s="397"/>
      <c r="F1219" s="397"/>
      <c r="G1219" s="397"/>
      <c r="H1219" s="397"/>
      <c r="I1219" s="450"/>
      <c r="J1219" s="397"/>
      <c r="K1219" s="397"/>
      <c r="L1219" s="451"/>
      <c r="M1219" s="449"/>
    </row>
    <row r="1220" spans="1:13" x14ac:dyDescent="0.25">
      <c r="A1220" s="397"/>
      <c r="B1220" s="397"/>
      <c r="C1220" s="397"/>
      <c r="D1220" s="397"/>
      <c r="E1220" s="397"/>
      <c r="F1220" s="397"/>
      <c r="G1220" s="397"/>
      <c r="H1220" s="397"/>
      <c r="I1220" s="450"/>
      <c r="J1220" s="397"/>
      <c r="K1220" s="397"/>
      <c r="L1220" s="451"/>
      <c r="M1220" s="449"/>
    </row>
    <row r="1221" spans="1:13" x14ac:dyDescent="0.25">
      <c r="A1221" s="397"/>
      <c r="B1221" s="397"/>
      <c r="C1221" s="397"/>
      <c r="D1221" s="397"/>
      <c r="E1221" s="397"/>
      <c r="F1221" s="397"/>
      <c r="G1221" s="397"/>
      <c r="H1221" s="397"/>
      <c r="I1221" s="450"/>
      <c r="J1221" s="397"/>
      <c r="K1221" s="397"/>
      <c r="L1221" s="451"/>
      <c r="M1221" s="449"/>
    </row>
    <row r="1222" spans="1:13" x14ac:dyDescent="0.25">
      <c r="A1222" s="397"/>
      <c r="B1222" s="397"/>
      <c r="C1222" s="397"/>
      <c r="D1222" s="397"/>
      <c r="E1222" s="397"/>
      <c r="F1222" s="397"/>
      <c r="G1222" s="397"/>
      <c r="H1222" s="397"/>
      <c r="I1222" s="450"/>
      <c r="J1222" s="397"/>
      <c r="K1222" s="397"/>
      <c r="L1222" s="451"/>
      <c r="M1222" s="449"/>
    </row>
    <row r="1223" spans="1:13" x14ac:dyDescent="0.25">
      <c r="A1223" s="397"/>
      <c r="B1223" s="397"/>
      <c r="C1223" s="397"/>
      <c r="D1223" s="397"/>
      <c r="E1223" s="397"/>
      <c r="F1223" s="397"/>
      <c r="G1223" s="397"/>
      <c r="H1223" s="397"/>
      <c r="I1223" s="450"/>
      <c r="J1223" s="397"/>
      <c r="K1223" s="397"/>
      <c r="L1223" s="451"/>
      <c r="M1223" s="449"/>
    </row>
    <row r="1224" spans="1:13" x14ac:dyDescent="0.25">
      <c r="A1224" s="397"/>
      <c r="B1224" s="397"/>
      <c r="C1224" s="397"/>
      <c r="D1224" s="397"/>
      <c r="E1224" s="397"/>
      <c r="F1224" s="397"/>
      <c r="G1224" s="397"/>
      <c r="H1224" s="397"/>
      <c r="I1224" s="450"/>
      <c r="J1224" s="397"/>
      <c r="K1224" s="397"/>
      <c r="L1224" s="451"/>
      <c r="M1224" s="449"/>
    </row>
    <row r="1225" spans="1:13" x14ac:dyDescent="0.25">
      <c r="A1225" s="397"/>
      <c r="B1225" s="397"/>
      <c r="C1225" s="397"/>
      <c r="D1225" s="397"/>
      <c r="E1225" s="397"/>
      <c r="F1225" s="397"/>
      <c r="G1225" s="397"/>
      <c r="H1225" s="397"/>
      <c r="I1225" s="450"/>
      <c r="J1225" s="397"/>
      <c r="K1225" s="397"/>
      <c r="L1225" s="451"/>
      <c r="M1225" s="449"/>
    </row>
    <row r="1226" spans="1:13" x14ac:dyDescent="0.25">
      <c r="A1226" s="397"/>
      <c r="B1226" s="397"/>
      <c r="C1226" s="397"/>
      <c r="D1226" s="397"/>
      <c r="E1226" s="397"/>
      <c r="F1226" s="397"/>
      <c r="G1226" s="397"/>
      <c r="H1226" s="397"/>
      <c r="I1226" s="450"/>
      <c r="J1226" s="397"/>
      <c r="K1226" s="397"/>
      <c r="L1226" s="451"/>
      <c r="M1226" s="449"/>
    </row>
    <row r="1227" spans="1:13" x14ac:dyDescent="0.25">
      <c r="A1227" s="397"/>
      <c r="B1227" s="397"/>
      <c r="C1227" s="397"/>
      <c r="D1227" s="397"/>
      <c r="E1227" s="397"/>
      <c r="F1227" s="397"/>
      <c r="G1227" s="397"/>
      <c r="H1227" s="397"/>
      <c r="I1227" s="450"/>
      <c r="J1227" s="397"/>
      <c r="K1227" s="397"/>
      <c r="L1227" s="451"/>
      <c r="M1227" s="449"/>
    </row>
    <row r="1228" spans="1:13" x14ac:dyDescent="0.25">
      <c r="A1228" s="397"/>
      <c r="B1228" s="397"/>
      <c r="C1228" s="397"/>
      <c r="D1228" s="397"/>
      <c r="E1228" s="397"/>
      <c r="F1228" s="397"/>
      <c r="G1228" s="397"/>
      <c r="H1228" s="397"/>
      <c r="I1228" s="450"/>
      <c r="J1228" s="397"/>
      <c r="K1228" s="397"/>
      <c r="L1228" s="451"/>
      <c r="M1228" s="449"/>
    </row>
    <row r="1229" spans="1:13" x14ac:dyDescent="0.25">
      <c r="A1229" s="397"/>
      <c r="B1229" s="397"/>
      <c r="C1229" s="397"/>
      <c r="D1229" s="397"/>
      <c r="E1229" s="397"/>
      <c r="F1229" s="397"/>
      <c r="G1229" s="397"/>
      <c r="H1229" s="397"/>
      <c r="I1229" s="450"/>
      <c r="J1229" s="397"/>
      <c r="K1229" s="397"/>
      <c r="L1229" s="451"/>
      <c r="M1229" s="449"/>
    </row>
    <row r="1230" spans="1:13" x14ac:dyDescent="0.25">
      <c r="A1230" s="397"/>
      <c r="B1230" s="397"/>
      <c r="C1230" s="397"/>
      <c r="D1230" s="397"/>
      <c r="E1230" s="397"/>
      <c r="F1230" s="397"/>
      <c r="G1230" s="397"/>
      <c r="H1230" s="397"/>
      <c r="I1230" s="450"/>
      <c r="J1230" s="397"/>
      <c r="K1230" s="397"/>
      <c r="L1230" s="451"/>
      <c r="M1230" s="449"/>
    </row>
    <row r="1231" spans="1:13" x14ac:dyDescent="0.25">
      <c r="A1231" s="397"/>
      <c r="B1231" s="397"/>
      <c r="C1231" s="397"/>
      <c r="D1231" s="397"/>
      <c r="E1231" s="397"/>
      <c r="F1231" s="397"/>
      <c r="G1231" s="397"/>
      <c r="H1231" s="397"/>
      <c r="I1231" s="450"/>
      <c r="J1231" s="397"/>
      <c r="K1231" s="397"/>
      <c r="L1231" s="451"/>
      <c r="M1231" s="449"/>
    </row>
    <row r="1232" spans="1:13" x14ac:dyDescent="0.25">
      <c r="A1232" s="397"/>
      <c r="B1232" s="397"/>
      <c r="C1232" s="397"/>
      <c r="D1232" s="397"/>
      <c r="E1232" s="397"/>
      <c r="F1232" s="397"/>
      <c r="G1232" s="397"/>
      <c r="H1232" s="397"/>
      <c r="I1232" s="450"/>
      <c r="J1232" s="397"/>
      <c r="K1232" s="397"/>
      <c r="L1232" s="451"/>
      <c r="M1232" s="449"/>
    </row>
    <row r="1233" spans="1:13" x14ac:dyDescent="0.25">
      <c r="A1233" s="397"/>
      <c r="B1233" s="397"/>
      <c r="C1233" s="397"/>
      <c r="D1233" s="397"/>
      <c r="E1233" s="397"/>
      <c r="F1233" s="397"/>
      <c r="G1233" s="397"/>
      <c r="H1233" s="397"/>
      <c r="I1233" s="450"/>
      <c r="J1233" s="397"/>
      <c r="K1233" s="397"/>
      <c r="L1233" s="451"/>
      <c r="M1233" s="449"/>
    </row>
    <row r="1234" spans="1:13" x14ac:dyDescent="0.25">
      <c r="A1234" s="397"/>
      <c r="B1234" s="397"/>
      <c r="C1234" s="397"/>
      <c r="D1234" s="397"/>
      <c r="E1234" s="397"/>
      <c r="F1234" s="397"/>
      <c r="G1234" s="397"/>
      <c r="H1234" s="397"/>
      <c r="I1234" s="450"/>
      <c r="J1234" s="397"/>
      <c r="K1234" s="397"/>
      <c r="L1234" s="451"/>
      <c r="M1234" s="449"/>
    </row>
    <row r="1235" spans="1:13" x14ac:dyDescent="0.25">
      <c r="A1235" s="397"/>
      <c r="B1235" s="397"/>
      <c r="C1235" s="397"/>
      <c r="D1235" s="397"/>
      <c r="E1235" s="397"/>
      <c r="F1235" s="397"/>
      <c r="G1235" s="397"/>
      <c r="H1235" s="397"/>
      <c r="I1235" s="450"/>
      <c r="J1235" s="397"/>
      <c r="K1235" s="397"/>
      <c r="L1235" s="451"/>
      <c r="M1235" s="449"/>
    </row>
    <row r="1236" spans="1:13" x14ac:dyDescent="0.25">
      <c r="A1236" s="397"/>
      <c r="B1236" s="397"/>
      <c r="C1236" s="397"/>
      <c r="D1236" s="397"/>
      <c r="E1236" s="397"/>
      <c r="F1236" s="397"/>
      <c r="G1236" s="397"/>
      <c r="H1236" s="397"/>
      <c r="I1236" s="450"/>
      <c r="J1236" s="397"/>
      <c r="K1236" s="397"/>
      <c r="L1236" s="451"/>
      <c r="M1236" s="449"/>
    </row>
    <row r="1237" spans="1:13" x14ac:dyDescent="0.25">
      <c r="A1237" s="397"/>
      <c r="B1237" s="397"/>
      <c r="C1237" s="397"/>
      <c r="D1237" s="397"/>
      <c r="E1237" s="397"/>
      <c r="F1237" s="397"/>
      <c r="G1237" s="397"/>
      <c r="H1237" s="397"/>
      <c r="I1237" s="450"/>
      <c r="J1237" s="397"/>
      <c r="K1237" s="397"/>
      <c r="L1237" s="451"/>
      <c r="M1237" s="449"/>
    </row>
    <row r="1238" spans="1:13" x14ac:dyDescent="0.25">
      <c r="A1238" s="397"/>
      <c r="B1238" s="397"/>
      <c r="C1238" s="397"/>
      <c r="D1238" s="397"/>
      <c r="E1238" s="397"/>
      <c r="F1238" s="397"/>
      <c r="G1238" s="397"/>
      <c r="H1238" s="397"/>
      <c r="I1238" s="450"/>
      <c r="J1238" s="397"/>
      <c r="K1238" s="397"/>
      <c r="L1238" s="451"/>
      <c r="M1238" s="449"/>
    </row>
    <row r="1239" spans="1:13" x14ac:dyDescent="0.25">
      <c r="A1239" s="397"/>
      <c r="B1239" s="397"/>
      <c r="C1239" s="397"/>
      <c r="D1239" s="397"/>
      <c r="E1239" s="397"/>
      <c r="F1239" s="397"/>
      <c r="G1239" s="397"/>
      <c r="H1239" s="397"/>
      <c r="I1239" s="450"/>
      <c r="J1239" s="397"/>
      <c r="K1239" s="397"/>
      <c r="L1239" s="451"/>
      <c r="M1239" s="449"/>
    </row>
    <row r="1240" spans="1:13" x14ac:dyDescent="0.25">
      <c r="A1240" s="397"/>
      <c r="B1240" s="397"/>
      <c r="C1240" s="397"/>
      <c r="D1240" s="397"/>
      <c r="E1240" s="397"/>
      <c r="F1240" s="397"/>
      <c r="G1240" s="397"/>
      <c r="H1240" s="397"/>
      <c r="I1240" s="450"/>
      <c r="J1240" s="397"/>
      <c r="K1240" s="397"/>
      <c r="L1240" s="451"/>
      <c r="M1240" s="449"/>
    </row>
    <row r="1241" spans="1:13" x14ac:dyDescent="0.25">
      <c r="A1241" s="397"/>
      <c r="B1241" s="397"/>
      <c r="C1241" s="397"/>
      <c r="D1241" s="397"/>
      <c r="E1241" s="397"/>
      <c r="F1241" s="397"/>
      <c r="G1241" s="397"/>
      <c r="H1241" s="397"/>
      <c r="I1241" s="450"/>
      <c r="J1241" s="397"/>
      <c r="K1241" s="397"/>
      <c r="L1241" s="451"/>
      <c r="M1241" s="449"/>
    </row>
    <row r="1242" spans="1:13" x14ac:dyDescent="0.25">
      <c r="A1242" s="397"/>
      <c r="B1242" s="397"/>
      <c r="C1242" s="397"/>
      <c r="D1242" s="397"/>
      <c r="E1242" s="397"/>
      <c r="F1242" s="397"/>
      <c r="G1242" s="397"/>
      <c r="H1242" s="397"/>
      <c r="I1242" s="450"/>
      <c r="J1242" s="397"/>
      <c r="K1242" s="397"/>
      <c r="L1242" s="451"/>
      <c r="M1242" s="449"/>
    </row>
    <row r="1243" spans="1:13" x14ac:dyDescent="0.25">
      <c r="A1243" s="397"/>
      <c r="B1243" s="397"/>
      <c r="C1243" s="397"/>
      <c r="D1243" s="397"/>
      <c r="E1243" s="397"/>
      <c r="F1243" s="397"/>
      <c r="G1243" s="397"/>
      <c r="H1243" s="397"/>
      <c r="I1243" s="450"/>
      <c r="J1243" s="397"/>
      <c r="K1243" s="397"/>
      <c r="L1243" s="451"/>
      <c r="M1243" s="449"/>
    </row>
    <row r="1244" spans="1:13" x14ac:dyDescent="0.25">
      <c r="A1244" s="397"/>
      <c r="B1244" s="397"/>
      <c r="C1244" s="397"/>
      <c r="D1244" s="397"/>
      <c r="E1244" s="397"/>
      <c r="F1244" s="397"/>
      <c r="G1244" s="397"/>
      <c r="H1244" s="397"/>
      <c r="I1244" s="450"/>
      <c r="J1244" s="397"/>
      <c r="K1244" s="397"/>
      <c r="L1244" s="451"/>
      <c r="M1244" s="449"/>
    </row>
    <row r="1245" spans="1:13" x14ac:dyDescent="0.25">
      <c r="A1245" s="397"/>
      <c r="B1245" s="397"/>
      <c r="C1245" s="397"/>
      <c r="D1245" s="397"/>
      <c r="E1245" s="397"/>
      <c r="F1245" s="397"/>
      <c r="G1245" s="397"/>
      <c r="H1245" s="397"/>
      <c r="I1245" s="450"/>
      <c r="J1245" s="397"/>
      <c r="K1245" s="397"/>
      <c r="L1245" s="451"/>
      <c r="M1245" s="449"/>
    </row>
    <row r="1246" spans="1:13" x14ac:dyDescent="0.25">
      <c r="A1246" s="397"/>
      <c r="B1246" s="397"/>
      <c r="C1246" s="397"/>
      <c r="D1246" s="397"/>
      <c r="E1246" s="397"/>
      <c r="F1246" s="397"/>
      <c r="G1246" s="397"/>
      <c r="H1246" s="397"/>
      <c r="I1246" s="450"/>
      <c r="J1246" s="397"/>
      <c r="K1246" s="397"/>
      <c r="L1246" s="451"/>
      <c r="M1246" s="449"/>
    </row>
    <row r="1247" spans="1:13" x14ac:dyDescent="0.25">
      <c r="A1247" s="397"/>
      <c r="B1247" s="397"/>
      <c r="C1247" s="397"/>
      <c r="D1247" s="397"/>
      <c r="E1247" s="397"/>
      <c r="F1247" s="397"/>
      <c r="G1247" s="397"/>
      <c r="H1247" s="397"/>
      <c r="I1247" s="450"/>
      <c r="J1247" s="397"/>
      <c r="K1247" s="397"/>
      <c r="L1247" s="451"/>
      <c r="M1247" s="449"/>
    </row>
    <row r="1248" spans="1:13" x14ac:dyDescent="0.25">
      <c r="A1248" s="397"/>
      <c r="B1248" s="397"/>
      <c r="C1248" s="397"/>
      <c r="D1248" s="397"/>
      <c r="E1248" s="397"/>
      <c r="F1248" s="397"/>
      <c r="G1248" s="397"/>
      <c r="H1248" s="397"/>
      <c r="I1248" s="450"/>
      <c r="J1248" s="397"/>
      <c r="K1248" s="397"/>
      <c r="L1248" s="451"/>
      <c r="M1248" s="449"/>
    </row>
    <row r="1249" spans="1:13" x14ac:dyDescent="0.25">
      <c r="A1249" s="397"/>
      <c r="B1249" s="397"/>
      <c r="C1249" s="397"/>
      <c r="D1249" s="397"/>
      <c r="E1249" s="397"/>
      <c r="F1249" s="397"/>
      <c r="G1249" s="397"/>
      <c r="H1249" s="397"/>
      <c r="I1249" s="450"/>
      <c r="J1249" s="397"/>
      <c r="K1249" s="397"/>
      <c r="L1249" s="451"/>
      <c r="M1249" s="449"/>
    </row>
    <row r="1250" spans="1:13" x14ac:dyDescent="0.25">
      <c r="A1250" s="397"/>
      <c r="B1250" s="397"/>
      <c r="C1250" s="397"/>
      <c r="D1250" s="397"/>
      <c r="E1250" s="397"/>
      <c r="F1250" s="397"/>
      <c r="G1250" s="397"/>
      <c r="H1250" s="397"/>
      <c r="I1250" s="450"/>
      <c r="J1250" s="397"/>
      <c r="K1250" s="397"/>
      <c r="L1250" s="451"/>
      <c r="M1250" s="449"/>
    </row>
    <row r="1251" spans="1:13" x14ac:dyDescent="0.25">
      <c r="A1251" s="397"/>
      <c r="B1251" s="397"/>
      <c r="C1251" s="397"/>
      <c r="D1251" s="397"/>
      <c r="E1251" s="397"/>
      <c r="F1251" s="397"/>
      <c r="G1251" s="397"/>
      <c r="H1251" s="397"/>
      <c r="I1251" s="450"/>
      <c r="J1251" s="397"/>
      <c r="K1251" s="397"/>
      <c r="L1251" s="451"/>
      <c r="M1251" s="449"/>
    </row>
    <row r="1252" spans="1:13" x14ac:dyDescent="0.25">
      <c r="A1252" s="397"/>
      <c r="B1252" s="397"/>
      <c r="C1252" s="397"/>
      <c r="D1252" s="397"/>
      <c r="E1252" s="397"/>
      <c r="F1252" s="397"/>
      <c r="G1252" s="397"/>
      <c r="H1252" s="397"/>
      <c r="I1252" s="450"/>
      <c r="J1252" s="397"/>
      <c r="K1252" s="397"/>
      <c r="L1252" s="451"/>
      <c r="M1252" s="449"/>
    </row>
    <row r="1253" spans="1:13" x14ac:dyDescent="0.25">
      <c r="A1253" s="397"/>
      <c r="B1253" s="397"/>
      <c r="C1253" s="397"/>
      <c r="D1253" s="397"/>
      <c r="E1253" s="397"/>
      <c r="F1253" s="397"/>
      <c r="G1253" s="397"/>
      <c r="H1253" s="397"/>
      <c r="I1253" s="450"/>
      <c r="J1253" s="397"/>
      <c r="K1253" s="397"/>
      <c r="L1253" s="451"/>
      <c r="M1253" s="449"/>
    </row>
    <row r="1254" spans="1:13" x14ac:dyDescent="0.25">
      <c r="A1254" s="397"/>
      <c r="B1254" s="397"/>
      <c r="C1254" s="397"/>
      <c r="D1254" s="397"/>
      <c r="E1254" s="397"/>
      <c r="F1254" s="397"/>
      <c r="G1254" s="397"/>
      <c r="H1254" s="397"/>
      <c r="I1254" s="450"/>
      <c r="J1254" s="397"/>
      <c r="K1254" s="397"/>
      <c r="L1254" s="451"/>
      <c r="M1254" s="449"/>
    </row>
    <row r="1255" spans="1:13" x14ac:dyDescent="0.25">
      <c r="A1255" s="397"/>
      <c r="B1255" s="397"/>
      <c r="C1255" s="397"/>
      <c r="D1255" s="397"/>
      <c r="E1255" s="397"/>
      <c r="F1255" s="397"/>
      <c r="G1255" s="397"/>
      <c r="H1255" s="397"/>
      <c r="I1255" s="450"/>
      <c r="J1255" s="397"/>
      <c r="K1255" s="397"/>
      <c r="L1255" s="451"/>
      <c r="M1255" s="449"/>
    </row>
    <row r="1256" spans="1:13" x14ac:dyDescent="0.25">
      <c r="A1256" s="397"/>
      <c r="B1256" s="397"/>
      <c r="C1256" s="397"/>
      <c r="D1256" s="397"/>
      <c r="E1256" s="397"/>
      <c r="F1256" s="397"/>
      <c r="G1256" s="397"/>
      <c r="H1256" s="397"/>
      <c r="I1256" s="450"/>
      <c r="J1256" s="397"/>
      <c r="K1256" s="397"/>
      <c r="L1256" s="451"/>
      <c r="M1256" s="449"/>
    </row>
    <row r="1257" spans="1:13" x14ac:dyDescent="0.25">
      <c r="A1257" s="397"/>
      <c r="B1257" s="397"/>
      <c r="C1257" s="397"/>
      <c r="D1257" s="397"/>
      <c r="E1257" s="397"/>
      <c r="F1257" s="397"/>
      <c r="G1257" s="397"/>
      <c r="H1257" s="397"/>
      <c r="I1257" s="450"/>
      <c r="J1257" s="397"/>
      <c r="K1257" s="397"/>
      <c r="L1257" s="451"/>
      <c r="M1257" s="449"/>
    </row>
    <row r="1258" spans="1:13" x14ac:dyDescent="0.25">
      <c r="A1258" s="397"/>
      <c r="B1258" s="397"/>
      <c r="C1258" s="397"/>
      <c r="D1258" s="397"/>
      <c r="E1258" s="397"/>
      <c r="F1258" s="397"/>
      <c r="G1258" s="397"/>
      <c r="H1258" s="397"/>
      <c r="I1258" s="450"/>
      <c r="J1258" s="397"/>
      <c r="K1258" s="397"/>
      <c r="L1258" s="451"/>
      <c r="M1258" s="449"/>
    </row>
    <row r="1259" spans="1:13" x14ac:dyDescent="0.25">
      <c r="A1259" s="397"/>
      <c r="B1259" s="397"/>
      <c r="C1259" s="397"/>
      <c r="D1259" s="397"/>
      <c r="E1259" s="397"/>
      <c r="F1259" s="397"/>
      <c r="G1259" s="397"/>
      <c r="H1259" s="397"/>
      <c r="I1259" s="450"/>
      <c r="J1259" s="397"/>
      <c r="K1259" s="397"/>
      <c r="L1259" s="451"/>
      <c r="M1259" s="449"/>
    </row>
    <row r="1260" spans="1:13" x14ac:dyDescent="0.25">
      <c r="A1260" s="397"/>
      <c r="B1260" s="397"/>
      <c r="C1260" s="397"/>
      <c r="D1260" s="397"/>
      <c r="E1260" s="397"/>
      <c r="F1260" s="397"/>
      <c r="G1260" s="397"/>
      <c r="H1260" s="397"/>
      <c r="I1260" s="450"/>
      <c r="J1260" s="397"/>
      <c r="K1260" s="397"/>
      <c r="L1260" s="451"/>
      <c r="M1260" s="449"/>
    </row>
    <row r="1261" spans="1:13" x14ac:dyDescent="0.25">
      <c r="A1261" s="397"/>
      <c r="B1261" s="397"/>
      <c r="C1261" s="397"/>
      <c r="D1261" s="397"/>
      <c r="E1261" s="397"/>
      <c r="F1261" s="397"/>
      <c r="G1261" s="397"/>
      <c r="H1261" s="397"/>
      <c r="I1261" s="450"/>
      <c r="J1261" s="397"/>
      <c r="K1261" s="397"/>
      <c r="L1261" s="451"/>
      <c r="M1261" s="449"/>
    </row>
    <row r="1262" spans="1:13" x14ac:dyDescent="0.25">
      <c r="A1262" s="397"/>
      <c r="B1262" s="397"/>
      <c r="C1262" s="397"/>
      <c r="D1262" s="397"/>
      <c r="E1262" s="397"/>
      <c r="F1262" s="397"/>
      <c r="G1262" s="397"/>
      <c r="H1262" s="397"/>
      <c r="I1262" s="450"/>
      <c r="J1262" s="397"/>
      <c r="K1262" s="397"/>
      <c r="L1262" s="451"/>
      <c r="M1262" s="449"/>
    </row>
    <row r="1263" spans="1:13" x14ac:dyDescent="0.25">
      <c r="A1263" s="397"/>
      <c r="B1263" s="397"/>
      <c r="C1263" s="397"/>
      <c r="D1263" s="397"/>
      <c r="E1263" s="397"/>
      <c r="F1263" s="397"/>
      <c r="G1263" s="397"/>
      <c r="H1263" s="397"/>
      <c r="I1263" s="450"/>
      <c r="J1263" s="397"/>
      <c r="K1263" s="397"/>
      <c r="L1263" s="451"/>
      <c r="M1263" s="449"/>
    </row>
    <row r="1264" spans="1:13" x14ac:dyDescent="0.25">
      <c r="A1264" s="397"/>
      <c r="B1264" s="397"/>
      <c r="C1264" s="397"/>
      <c r="D1264" s="397"/>
      <c r="E1264" s="397"/>
      <c r="F1264" s="397"/>
      <c r="G1264" s="397"/>
      <c r="H1264" s="397"/>
      <c r="I1264" s="450"/>
      <c r="J1264" s="397"/>
      <c r="K1264" s="397"/>
      <c r="L1264" s="451"/>
      <c r="M1264" s="449"/>
    </row>
    <row r="1265" spans="1:13" x14ac:dyDescent="0.25">
      <c r="A1265" s="397"/>
      <c r="B1265" s="397"/>
      <c r="C1265" s="397"/>
      <c r="D1265" s="397"/>
      <c r="E1265" s="397"/>
      <c r="F1265" s="397"/>
      <c r="G1265" s="397"/>
      <c r="H1265" s="397"/>
      <c r="I1265" s="450"/>
      <c r="J1265" s="397"/>
      <c r="K1265" s="397"/>
      <c r="L1265" s="451"/>
      <c r="M1265" s="449"/>
    </row>
    <row r="1266" spans="1:13" x14ac:dyDescent="0.25">
      <c r="A1266" s="397"/>
      <c r="B1266" s="397"/>
      <c r="C1266" s="397"/>
      <c r="D1266" s="397"/>
      <c r="E1266" s="397"/>
      <c r="F1266" s="397"/>
      <c r="G1266" s="397"/>
      <c r="H1266" s="397"/>
      <c r="I1266" s="450"/>
      <c r="J1266" s="397"/>
      <c r="K1266" s="397"/>
      <c r="L1266" s="451"/>
      <c r="M1266" s="449"/>
    </row>
    <row r="1267" spans="1:13" x14ac:dyDescent="0.25">
      <c r="A1267" s="397"/>
      <c r="B1267" s="397"/>
      <c r="C1267" s="397"/>
      <c r="D1267" s="397"/>
      <c r="E1267" s="397"/>
      <c r="F1267" s="397"/>
      <c r="G1267" s="397"/>
      <c r="H1267" s="397"/>
      <c r="I1267" s="450"/>
      <c r="J1267" s="397"/>
      <c r="K1267" s="397"/>
      <c r="L1267" s="451"/>
      <c r="M1267" s="449"/>
    </row>
    <row r="1268" spans="1:13" x14ac:dyDescent="0.25">
      <c r="A1268" s="397"/>
      <c r="B1268" s="397"/>
      <c r="C1268" s="397"/>
      <c r="D1268" s="397"/>
      <c r="E1268" s="397"/>
      <c r="F1268" s="397"/>
      <c r="G1268" s="397"/>
      <c r="H1268" s="397"/>
      <c r="I1268" s="450"/>
      <c r="J1268" s="397"/>
      <c r="K1268" s="397"/>
      <c r="L1268" s="451"/>
      <c r="M1268" s="449"/>
    </row>
    <row r="1269" spans="1:13" x14ac:dyDescent="0.25">
      <c r="A1269" s="397"/>
      <c r="B1269" s="397"/>
      <c r="C1269" s="397"/>
      <c r="D1269" s="397"/>
      <c r="E1269" s="397"/>
      <c r="F1269" s="397"/>
      <c r="G1269" s="397"/>
      <c r="H1269" s="397"/>
      <c r="I1269" s="450"/>
      <c r="J1269" s="397"/>
      <c r="K1269" s="397"/>
      <c r="L1269" s="451"/>
      <c r="M1269" s="449"/>
    </row>
    <row r="1270" spans="1:13" x14ac:dyDescent="0.25">
      <c r="A1270" s="397"/>
      <c r="B1270" s="397"/>
      <c r="C1270" s="397"/>
      <c r="D1270" s="397"/>
      <c r="E1270" s="397"/>
      <c r="F1270" s="397"/>
      <c r="G1270" s="397"/>
      <c r="H1270" s="397"/>
      <c r="I1270" s="450"/>
      <c r="J1270" s="397"/>
      <c r="K1270" s="397"/>
      <c r="L1270" s="451"/>
      <c r="M1270" s="449"/>
    </row>
    <row r="1271" spans="1:13" x14ac:dyDescent="0.25">
      <c r="A1271" s="397"/>
      <c r="B1271" s="397"/>
      <c r="C1271" s="397"/>
      <c r="D1271" s="397"/>
      <c r="E1271" s="397"/>
      <c r="F1271" s="397"/>
      <c r="G1271" s="397"/>
      <c r="H1271" s="397"/>
      <c r="I1271" s="450"/>
      <c r="J1271" s="397"/>
      <c r="K1271" s="397"/>
      <c r="L1271" s="451"/>
      <c r="M1271" s="449"/>
    </row>
    <row r="1272" spans="1:13" x14ac:dyDescent="0.25">
      <c r="A1272" s="397"/>
      <c r="B1272" s="397"/>
      <c r="C1272" s="397"/>
      <c r="D1272" s="397"/>
      <c r="E1272" s="397"/>
      <c r="F1272" s="397"/>
      <c r="G1272" s="397"/>
      <c r="H1272" s="397"/>
      <c r="I1272" s="450"/>
      <c r="J1272" s="397"/>
      <c r="K1272" s="397"/>
      <c r="L1272" s="451"/>
      <c r="M1272" s="449"/>
    </row>
    <row r="1273" spans="1:13" x14ac:dyDescent="0.25">
      <c r="A1273" s="397"/>
      <c r="B1273" s="397"/>
      <c r="C1273" s="397"/>
      <c r="D1273" s="397"/>
      <c r="E1273" s="397"/>
      <c r="F1273" s="397"/>
      <c r="G1273" s="397"/>
      <c r="H1273" s="397"/>
      <c r="I1273" s="450"/>
      <c r="J1273" s="397"/>
      <c r="K1273" s="397"/>
      <c r="L1273" s="451"/>
      <c r="M1273" s="449"/>
    </row>
    <row r="1274" spans="1:13" x14ac:dyDescent="0.25">
      <c r="A1274" s="397"/>
      <c r="B1274" s="397"/>
      <c r="C1274" s="397"/>
      <c r="D1274" s="397"/>
      <c r="E1274" s="397"/>
      <c r="F1274" s="397"/>
      <c r="G1274" s="397"/>
      <c r="H1274" s="397"/>
      <c r="I1274" s="450"/>
      <c r="J1274" s="397"/>
      <c r="K1274" s="397"/>
      <c r="L1274" s="451"/>
      <c r="M1274" s="449"/>
    </row>
    <row r="1275" spans="1:13" x14ac:dyDescent="0.25">
      <c r="A1275" s="397"/>
      <c r="B1275" s="397"/>
      <c r="C1275" s="397"/>
      <c r="D1275" s="397"/>
      <c r="E1275" s="397"/>
      <c r="F1275" s="397"/>
      <c r="G1275" s="397"/>
      <c r="H1275" s="397"/>
      <c r="I1275" s="450"/>
      <c r="J1275" s="397"/>
      <c r="K1275" s="397"/>
      <c r="L1275" s="451"/>
      <c r="M1275" s="449"/>
    </row>
    <row r="1276" spans="1:13" x14ac:dyDescent="0.25">
      <c r="A1276" s="397"/>
      <c r="B1276" s="397"/>
      <c r="C1276" s="397"/>
      <c r="D1276" s="397"/>
      <c r="E1276" s="397"/>
      <c r="F1276" s="397"/>
      <c r="G1276" s="397"/>
      <c r="H1276" s="397"/>
      <c r="I1276" s="450"/>
      <c r="J1276" s="397"/>
      <c r="K1276" s="397"/>
      <c r="L1276" s="451"/>
      <c r="M1276" s="449"/>
    </row>
    <row r="1277" spans="1:13" x14ac:dyDescent="0.25">
      <c r="A1277" s="397"/>
      <c r="B1277" s="397"/>
      <c r="C1277" s="397"/>
      <c r="D1277" s="397"/>
      <c r="E1277" s="397"/>
      <c r="F1277" s="397"/>
      <c r="G1277" s="397"/>
      <c r="H1277" s="397"/>
      <c r="I1277" s="450"/>
      <c r="J1277" s="397"/>
      <c r="K1277" s="397"/>
      <c r="L1277" s="451"/>
      <c r="M1277" s="449"/>
    </row>
    <row r="1278" spans="1:13" x14ac:dyDescent="0.25">
      <c r="A1278" s="397"/>
      <c r="B1278" s="397"/>
      <c r="C1278" s="397"/>
      <c r="D1278" s="397"/>
      <c r="E1278" s="397"/>
      <c r="F1278" s="397"/>
      <c r="G1278" s="397"/>
      <c r="H1278" s="397"/>
      <c r="I1278" s="450"/>
      <c r="J1278" s="397"/>
      <c r="K1278" s="397"/>
      <c r="L1278" s="451"/>
      <c r="M1278" s="449"/>
    </row>
    <row r="1279" spans="1:13" x14ac:dyDescent="0.25">
      <c r="A1279" s="397"/>
      <c r="B1279" s="397"/>
      <c r="C1279" s="397"/>
      <c r="D1279" s="397"/>
      <c r="E1279" s="397"/>
      <c r="F1279" s="397"/>
      <c r="G1279" s="397"/>
      <c r="H1279" s="397"/>
      <c r="I1279" s="450"/>
      <c r="J1279" s="397"/>
      <c r="K1279" s="397"/>
      <c r="L1279" s="451"/>
      <c r="M1279" s="449"/>
    </row>
    <row r="1280" spans="1:13" x14ac:dyDescent="0.25">
      <c r="A1280" s="397"/>
      <c r="B1280" s="397"/>
      <c r="C1280" s="397"/>
      <c r="D1280" s="397"/>
      <c r="E1280" s="397"/>
      <c r="F1280" s="397"/>
      <c r="G1280" s="397"/>
      <c r="H1280" s="397"/>
      <c r="I1280" s="450"/>
      <c r="J1280" s="397"/>
      <c r="K1280" s="397"/>
      <c r="L1280" s="451"/>
      <c r="M1280" s="449"/>
    </row>
    <row r="1281" spans="1:13" x14ac:dyDescent="0.25">
      <c r="A1281" s="397"/>
      <c r="B1281" s="397"/>
      <c r="C1281" s="397"/>
      <c r="D1281" s="397"/>
      <c r="E1281" s="397"/>
      <c r="F1281" s="397"/>
      <c r="G1281" s="397"/>
      <c r="H1281" s="397"/>
      <c r="I1281" s="450"/>
      <c r="J1281" s="397"/>
      <c r="K1281" s="397"/>
      <c r="L1281" s="451"/>
      <c r="M1281" s="449"/>
    </row>
    <row r="1282" spans="1:13" x14ac:dyDescent="0.25">
      <c r="A1282" s="397"/>
      <c r="B1282" s="397"/>
      <c r="C1282" s="397"/>
      <c r="D1282" s="397"/>
      <c r="E1282" s="397"/>
      <c r="F1282" s="397"/>
      <c r="G1282" s="397"/>
      <c r="H1282" s="397"/>
      <c r="I1282" s="450"/>
      <c r="J1282" s="397"/>
      <c r="K1282" s="397"/>
      <c r="L1282" s="451"/>
      <c r="M1282" s="449"/>
    </row>
    <row r="1283" spans="1:13" x14ac:dyDescent="0.25">
      <c r="A1283" s="397"/>
      <c r="B1283" s="397"/>
      <c r="C1283" s="397"/>
      <c r="D1283" s="397"/>
      <c r="E1283" s="397"/>
      <c r="F1283" s="397"/>
      <c r="G1283" s="397"/>
      <c r="H1283" s="397"/>
      <c r="I1283" s="450"/>
      <c r="J1283" s="397"/>
      <c r="K1283" s="397"/>
      <c r="L1283" s="451"/>
      <c r="M1283" s="449"/>
    </row>
    <row r="1284" spans="1:13" x14ac:dyDescent="0.25">
      <c r="A1284" s="397"/>
      <c r="B1284" s="397"/>
      <c r="C1284" s="397"/>
      <c r="D1284" s="397"/>
      <c r="E1284" s="397"/>
      <c r="F1284" s="397"/>
      <c r="G1284" s="397"/>
      <c r="H1284" s="397"/>
      <c r="I1284" s="450"/>
      <c r="J1284" s="397"/>
      <c r="K1284" s="397"/>
      <c r="L1284" s="451"/>
      <c r="M1284" s="449"/>
    </row>
    <row r="1285" spans="1:13" x14ac:dyDescent="0.25">
      <c r="A1285" s="397"/>
      <c r="B1285" s="397"/>
      <c r="C1285" s="397"/>
      <c r="D1285" s="397"/>
      <c r="E1285" s="397"/>
      <c r="F1285" s="397"/>
      <c r="G1285" s="397"/>
      <c r="H1285" s="397"/>
      <c r="I1285" s="450"/>
      <c r="J1285" s="397"/>
      <c r="K1285" s="397"/>
      <c r="L1285" s="451"/>
      <c r="M1285" s="449"/>
    </row>
    <row r="1286" spans="1:13" x14ac:dyDescent="0.25">
      <c r="A1286" s="397"/>
      <c r="B1286" s="397"/>
      <c r="C1286" s="397"/>
      <c r="D1286" s="397"/>
      <c r="E1286" s="397"/>
      <c r="F1286" s="397"/>
      <c r="G1286" s="397"/>
      <c r="H1286" s="397"/>
      <c r="I1286" s="450"/>
      <c r="J1286" s="397"/>
      <c r="K1286" s="397"/>
      <c r="L1286" s="451"/>
      <c r="M1286" s="449"/>
    </row>
    <row r="1287" spans="1:13" x14ac:dyDescent="0.25">
      <c r="A1287" s="397"/>
      <c r="B1287" s="397"/>
      <c r="C1287" s="397"/>
      <c r="D1287" s="397"/>
      <c r="E1287" s="397"/>
      <c r="F1287" s="397"/>
      <c r="G1287" s="397"/>
      <c r="H1287" s="397"/>
      <c r="I1287" s="450"/>
      <c r="J1287" s="397"/>
      <c r="K1287" s="397"/>
      <c r="L1287" s="451"/>
      <c r="M1287" s="449"/>
    </row>
    <row r="1288" spans="1:13" x14ac:dyDescent="0.25">
      <c r="A1288" s="397"/>
      <c r="B1288" s="397"/>
      <c r="C1288" s="397"/>
      <c r="D1288" s="397"/>
      <c r="E1288" s="397"/>
      <c r="F1288" s="397"/>
      <c r="G1288" s="397"/>
      <c r="H1288" s="397"/>
      <c r="I1288" s="450"/>
      <c r="J1288" s="397"/>
      <c r="K1288" s="397"/>
      <c r="L1288" s="451"/>
      <c r="M1288" s="449"/>
    </row>
    <row r="1289" spans="1:13" x14ac:dyDescent="0.25">
      <c r="A1289" s="397"/>
      <c r="B1289" s="397"/>
      <c r="C1289" s="397"/>
      <c r="D1289" s="397"/>
      <c r="E1289" s="397"/>
      <c r="F1289" s="397"/>
      <c r="G1289" s="397"/>
      <c r="H1289" s="397"/>
      <c r="I1289" s="450"/>
      <c r="J1289" s="397"/>
      <c r="K1289" s="397"/>
      <c r="L1289" s="451"/>
      <c r="M1289" s="449"/>
    </row>
    <row r="1290" spans="1:13" x14ac:dyDescent="0.25">
      <c r="A1290" s="397"/>
      <c r="B1290" s="397"/>
      <c r="C1290" s="397"/>
      <c r="D1290" s="397"/>
      <c r="E1290" s="397"/>
      <c r="F1290" s="397"/>
      <c r="G1290" s="397"/>
      <c r="H1290" s="397"/>
      <c r="I1290" s="450"/>
      <c r="J1290" s="397"/>
      <c r="K1290" s="397"/>
      <c r="L1290" s="451"/>
      <c r="M1290" s="449"/>
    </row>
    <row r="1291" spans="1:13" x14ac:dyDescent="0.25">
      <c r="A1291" s="397"/>
      <c r="B1291" s="397"/>
      <c r="C1291" s="397"/>
      <c r="D1291" s="397"/>
      <c r="E1291" s="397"/>
      <c r="F1291" s="397"/>
      <c r="G1291" s="397"/>
      <c r="H1291" s="397"/>
      <c r="I1291" s="450"/>
      <c r="J1291" s="397"/>
      <c r="K1291" s="397"/>
      <c r="L1291" s="451"/>
      <c r="M1291" s="449"/>
    </row>
    <row r="1292" spans="1:13" x14ac:dyDescent="0.25">
      <c r="A1292" s="397"/>
      <c r="B1292" s="397"/>
      <c r="C1292" s="397"/>
      <c r="D1292" s="397"/>
      <c r="E1292" s="397"/>
      <c r="F1292" s="397"/>
      <c r="G1292" s="397"/>
      <c r="H1292" s="397"/>
      <c r="I1292" s="450"/>
      <c r="J1292" s="397"/>
      <c r="K1292" s="397"/>
      <c r="L1292" s="451"/>
      <c r="M1292" s="449"/>
    </row>
    <row r="1293" spans="1:13" x14ac:dyDescent="0.25">
      <c r="A1293" s="397"/>
      <c r="B1293" s="397"/>
      <c r="C1293" s="397"/>
      <c r="D1293" s="397"/>
      <c r="E1293" s="397"/>
      <c r="F1293" s="397"/>
      <c r="G1293" s="397"/>
      <c r="H1293" s="397"/>
      <c r="I1293" s="450"/>
      <c r="J1293" s="397"/>
      <c r="K1293" s="397"/>
      <c r="L1293" s="451"/>
      <c r="M1293" s="449"/>
    </row>
    <row r="1294" spans="1:13" x14ac:dyDescent="0.25">
      <c r="A1294" s="397"/>
      <c r="B1294" s="397"/>
      <c r="C1294" s="397"/>
      <c r="D1294" s="397"/>
      <c r="E1294" s="397"/>
      <c r="F1294" s="397"/>
      <c r="G1294" s="397"/>
      <c r="H1294" s="397"/>
      <c r="I1294" s="450"/>
      <c r="J1294" s="397"/>
      <c r="K1294" s="397"/>
      <c r="L1294" s="451"/>
      <c r="M1294" s="449"/>
    </row>
    <row r="1295" spans="1:13" x14ac:dyDescent="0.25">
      <c r="A1295" s="397"/>
      <c r="B1295" s="397"/>
      <c r="C1295" s="397"/>
      <c r="D1295" s="397"/>
      <c r="E1295" s="397"/>
      <c r="F1295" s="397"/>
      <c r="G1295" s="397"/>
      <c r="H1295" s="397"/>
      <c r="I1295" s="450"/>
      <c r="J1295" s="397"/>
      <c r="K1295" s="397"/>
      <c r="L1295" s="451"/>
      <c r="M1295" s="449"/>
    </row>
    <row r="1296" spans="1:13" x14ac:dyDescent="0.25">
      <c r="A1296" s="397"/>
      <c r="B1296" s="397"/>
      <c r="C1296" s="397"/>
      <c r="D1296" s="397"/>
      <c r="E1296" s="397"/>
      <c r="F1296" s="397"/>
      <c r="G1296" s="397"/>
      <c r="H1296" s="397"/>
      <c r="I1296" s="450"/>
      <c r="J1296" s="397"/>
      <c r="K1296" s="397"/>
      <c r="L1296" s="451"/>
      <c r="M1296" s="449"/>
    </row>
    <row r="1297" spans="1:13" x14ac:dyDescent="0.25">
      <c r="A1297" s="397"/>
      <c r="B1297" s="397"/>
      <c r="C1297" s="397"/>
      <c r="D1297" s="397"/>
      <c r="E1297" s="397"/>
      <c r="F1297" s="397"/>
      <c r="G1297" s="397"/>
      <c r="H1297" s="397"/>
      <c r="I1297" s="450"/>
      <c r="J1297" s="397"/>
      <c r="K1297" s="397"/>
      <c r="L1297" s="451"/>
      <c r="M1297" s="449"/>
    </row>
    <row r="1298" spans="1:13" x14ac:dyDescent="0.25">
      <c r="A1298" s="397"/>
      <c r="B1298" s="397"/>
      <c r="C1298" s="397"/>
      <c r="D1298" s="397"/>
      <c r="E1298" s="397"/>
      <c r="F1298" s="397"/>
      <c r="G1298" s="397"/>
      <c r="H1298" s="397"/>
      <c r="I1298" s="450"/>
      <c r="J1298" s="397"/>
      <c r="K1298" s="397"/>
      <c r="L1298" s="451"/>
      <c r="M1298" s="449"/>
    </row>
    <row r="1299" spans="1:13" x14ac:dyDescent="0.25">
      <c r="A1299" s="397"/>
      <c r="B1299" s="397"/>
      <c r="C1299" s="397"/>
      <c r="D1299" s="397"/>
      <c r="E1299" s="397"/>
      <c r="F1299" s="397"/>
      <c r="G1299" s="397"/>
      <c r="H1299" s="397"/>
      <c r="I1299" s="450"/>
      <c r="J1299" s="397"/>
      <c r="K1299" s="397"/>
      <c r="L1299" s="451"/>
      <c r="M1299" s="449"/>
    </row>
    <row r="1300" spans="1:13" x14ac:dyDescent="0.25">
      <c r="A1300" s="397"/>
      <c r="B1300" s="397"/>
      <c r="C1300" s="397"/>
      <c r="D1300" s="397"/>
      <c r="E1300" s="397"/>
      <c r="F1300" s="397"/>
      <c r="G1300" s="397"/>
      <c r="H1300" s="397"/>
      <c r="I1300" s="450"/>
      <c r="J1300" s="397"/>
      <c r="K1300" s="397"/>
      <c r="L1300" s="451"/>
      <c r="M1300" s="449"/>
    </row>
    <row r="1301" spans="1:13" x14ac:dyDescent="0.25">
      <c r="A1301" s="397"/>
      <c r="B1301" s="397"/>
      <c r="C1301" s="397"/>
      <c r="D1301" s="397"/>
      <c r="E1301" s="397"/>
      <c r="F1301" s="397"/>
      <c r="G1301" s="397"/>
      <c r="H1301" s="397"/>
      <c r="I1301" s="450"/>
      <c r="J1301" s="397"/>
      <c r="K1301" s="397"/>
      <c r="L1301" s="451"/>
      <c r="M1301" s="449"/>
    </row>
    <row r="1302" spans="1:13" x14ac:dyDescent="0.25">
      <c r="A1302" s="397"/>
      <c r="B1302" s="397"/>
      <c r="C1302" s="397"/>
      <c r="D1302" s="397"/>
      <c r="E1302" s="397"/>
      <c r="F1302" s="397"/>
      <c r="G1302" s="397"/>
      <c r="H1302" s="397"/>
      <c r="I1302" s="450"/>
      <c r="J1302" s="397"/>
      <c r="K1302" s="397"/>
      <c r="L1302" s="451"/>
      <c r="M1302" s="449"/>
    </row>
    <row r="1303" spans="1:13" x14ac:dyDescent="0.25">
      <c r="A1303" s="397"/>
      <c r="B1303" s="397"/>
      <c r="C1303" s="397"/>
      <c r="D1303" s="397"/>
      <c r="E1303" s="397"/>
      <c r="F1303" s="397"/>
      <c r="G1303" s="397"/>
      <c r="H1303" s="397"/>
      <c r="I1303" s="450"/>
      <c r="J1303" s="397"/>
      <c r="K1303" s="397"/>
      <c r="L1303" s="451"/>
      <c r="M1303" s="449"/>
    </row>
    <row r="1304" spans="1:13" x14ac:dyDescent="0.25">
      <c r="A1304" s="397"/>
      <c r="B1304" s="397"/>
      <c r="C1304" s="397"/>
      <c r="D1304" s="397"/>
      <c r="E1304" s="397"/>
      <c r="F1304" s="397"/>
      <c r="G1304" s="397"/>
      <c r="H1304" s="397"/>
      <c r="I1304" s="450"/>
      <c r="J1304" s="397"/>
      <c r="K1304" s="397"/>
      <c r="L1304" s="451"/>
      <c r="M1304" s="449"/>
    </row>
    <row r="1305" spans="1:13" x14ac:dyDescent="0.25">
      <c r="A1305" s="397"/>
      <c r="B1305" s="397"/>
      <c r="C1305" s="397"/>
      <c r="D1305" s="397"/>
      <c r="E1305" s="397"/>
      <c r="F1305" s="397"/>
      <c r="G1305" s="397"/>
      <c r="H1305" s="397"/>
      <c r="I1305" s="450"/>
      <c r="J1305" s="397"/>
      <c r="K1305" s="397"/>
      <c r="L1305" s="451"/>
      <c r="M1305" s="449"/>
    </row>
    <row r="1306" spans="1:13" x14ac:dyDescent="0.25">
      <c r="A1306" s="397"/>
      <c r="B1306" s="397"/>
      <c r="C1306" s="397"/>
      <c r="D1306" s="397"/>
      <c r="E1306" s="397"/>
      <c r="F1306" s="397"/>
      <c r="G1306" s="397"/>
      <c r="H1306" s="397"/>
      <c r="I1306" s="450"/>
      <c r="J1306" s="397"/>
      <c r="K1306" s="397"/>
      <c r="L1306" s="451"/>
      <c r="M1306" s="449"/>
    </row>
    <row r="1307" spans="1:13" x14ac:dyDescent="0.25">
      <c r="A1307" s="397"/>
      <c r="B1307" s="397"/>
      <c r="C1307" s="397"/>
      <c r="D1307" s="397"/>
      <c r="E1307" s="397"/>
      <c r="F1307" s="397"/>
      <c r="G1307" s="397"/>
      <c r="H1307" s="397"/>
      <c r="I1307" s="450"/>
      <c r="J1307" s="397"/>
      <c r="K1307" s="397"/>
      <c r="L1307" s="451"/>
      <c r="M1307" s="449"/>
    </row>
    <row r="1308" spans="1:13" x14ac:dyDescent="0.25">
      <c r="A1308" s="397"/>
      <c r="B1308" s="397"/>
      <c r="C1308" s="397"/>
      <c r="D1308" s="397"/>
      <c r="E1308" s="397"/>
      <c r="F1308" s="397"/>
      <c r="G1308" s="397"/>
      <c r="H1308" s="397"/>
      <c r="I1308" s="450"/>
      <c r="J1308" s="397"/>
      <c r="K1308" s="397"/>
      <c r="L1308" s="451"/>
      <c r="M1308" s="449"/>
    </row>
    <row r="1309" spans="1:13" x14ac:dyDescent="0.25">
      <c r="A1309" s="397"/>
      <c r="B1309" s="397"/>
      <c r="C1309" s="397"/>
      <c r="D1309" s="397"/>
      <c r="E1309" s="397"/>
      <c r="F1309" s="397"/>
      <c r="G1309" s="397"/>
      <c r="H1309" s="397"/>
      <c r="I1309" s="450"/>
      <c r="J1309" s="397"/>
      <c r="K1309" s="397"/>
      <c r="L1309" s="451"/>
      <c r="M1309" s="449"/>
    </row>
    <row r="1310" spans="1:13" x14ac:dyDescent="0.25">
      <c r="A1310" s="397"/>
      <c r="B1310" s="397"/>
      <c r="C1310" s="397"/>
      <c r="D1310" s="397"/>
      <c r="E1310" s="397"/>
      <c r="F1310" s="397"/>
      <c r="G1310" s="397"/>
      <c r="H1310" s="397"/>
      <c r="I1310" s="450"/>
      <c r="J1310" s="397"/>
      <c r="K1310" s="397"/>
      <c r="L1310" s="451"/>
      <c r="M1310" s="449"/>
    </row>
    <row r="1311" spans="1:13" x14ac:dyDescent="0.25">
      <c r="A1311" s="397"/>
      <c r="B1311" s="397"/>
      <c r="C1311" s="397"/>
      <c r="D1311" s="397"/>
      <c r="E1311" s="397"/>
      <c r="F1311" s="397"/>
      <c r="G1311" s="397"/>
      <c r="H1311" s="397"/>
      <c r="I1311" s="450"/>
      <c r="J1311" s="397"/>
      <c r="K1311" s="397"/>
      <c r="L1311" s="451"/>
      <c r="M1311" s="449"/>
    </row>
    <row r="1312" spans="1:13" x14ac:dyDescent="0.25">
      <c r="A1312" s="397"/>
      <c r="B1312" s="397"/>
      <c r="C1312" s="397"/>
      <c r="D1312" s="397"/>
      <c r="E1312" s="397"/>
      <c r="F1312" s="397"/>
      <c r="G1312" s="397"/>
      <c r="H1312" s="397"/>
      <c r="I1312" s="450"/>
      <c r="J1312" s="397"/>
      <c r="K1312" s="397"/>
      <c r="L1312" s="451"/>
      <c r="M1312" s="449"/>
    </row>
    <row r="1313" spans="1:13" x14ac:dyDescent="0.25">
      <c r="A1313" s="397"/>
      <c r="B1313" s="397"/>
      <c r="C1313" s="397"/>
      <c r="D1313" s="397"/>
      <c r="E1313" s="397"/>
      <c r="F1313" s="397"/>
      <c r="G1313" s="397"/>
      <c r="H1313" s="397"/>
      <c r="I1313" s="450"/>
      <c r="J1313" s="397"/>
      <c r="K1313" s="397"/>
      <c r="L1313" s="451"/>
      <c r="M1313" s="449"/>
    </row>
    <row r="1314" spans="1:13" x14ac:dyDescent="0.25">
      <c r="A1314" s="397"/>
      <c r="B1314" s="397"/>
      <c r="C1314" s="397"/>
      <c r="D1314" s="397"/>
      <c r="E1314" s="397"/>
      <c r="F1314" s="397"/>
      <c r="G1314" s="397"/>
      <c r="H1314" s="397"/>
      <c r="I1314" s="450"/>
      <c r="J1314" s="397"/>
      <c r="K1314" s="397"/>
      <c r="L1314" s="451"/>
      <c r="M1314" s="449"/>
    </row>
    <row r="1315" spans="1:13" x14ac:dyDescent="0.25">
      <c r="A1315" s="397"/>
      <c r="B1315" s="397"/>
      <c r="C1315" s="397"/>
      <c r="D1315" s="397"/>
      <c r="E1315" s="397"/>
      <c r="F1315" s="397"/>
      <c r="G1315" s="397"/>
      <c r="H1315" s="397"/>
      <c r="I1315" s="450"/>
      <c r="J1315" s="397"/>
      <c r="K1315" s="397"/>
      <c r="L1315" s="451"/>
      <c r="M1315" s="449"/>
    </row>
    <row r="1316" spans="1:13" x14ac:dyDescent="0.25">
      <c r="A1316" s="397"/>
      <c r="B1316" s="397"/>
      <c r="C1316" s="397"/>
      <c r="D1316" s="397"/>
      <c r="E1316" s="397"/>
      <c r="F1316" s="397"/>
      <c r="G1316" s="397"/>
      <c r="H1316" s="397"/>
      <c r="I1316" s="450"/>
      <c r="J1316" s="397"/>
      <c r="K1316" s="397"/>
      <c r="L1316" s="451"/>
      <c r="M1316" s="449"/>
    </row>
    <row r="1317" spans="1:13" x14ac:dyDescent="0.25">
      <c r="A1317" s="397"/>
      <c r="B1317" s="397"/>
      <c r="C1317" s="397"/>
      <c r="D1317" s="397"/>
      <c r="E1317" s="397"/>
      <c r="F1317" s="397"/>
      <c r="G1317" s="397"/>
      <c r="H1317" s="397"/>
      <c r="I1317" s="450"/>
      <c r="J1317" s="397"/>
      <c r="K1317" s="397"/>
      <c r="L1317" s="451"/>
      <c r="M1317" s="449"/>
    </row>
    <row r="1318" spans="1:13" x14ac:dyDescent="0.25">
      <c r="A1318" s="397"/>
      <c r="B1318" s="397"/>
      <c r="C1318" s="397"/>
      <c r="D1318" s="397"/>
      <c r="E1318" s="397"/>
      <c r="F1318" s="397"/>
      <c r="G1318" s="397"/>
      <c r="H1318" s="397"/>
      <c r="I1318" s="450"/>
      <c r="J1318" s="397"/>
      <c r="K1318" s="397"/>
      <c r="L1318" s="451"/>
      <c r="M1318" s="449"/>
    </row>
    <row r="1319" spans="1:13" x14ac:dyDescent="0.25">
      <c r="A1319" s="397"/>
      <c r="B1319" s="397"/>
      <c r="C1319" s="397"/>
      <c r="D1319" s="397"/>
      <c r="E1319" s="397"/>
      <c r="F1319" s="397"/>
      <c r="G1319" s="397"/>
      <c r="H1319" s="397"/>
      <c r="I1319" s="450"/>
      <c r="J1319" s="397"/>
      <c r="K1319" s="397"/>
      <c r="L1319" s="451"/>
      <c r="M1319" s="449"/>
    </row>
    <row r="1320" spans="1:13" x14ac:dyDescent="0.25">
      <c r="A1320" s="397"/>
      <c r="B1320" s="397"/>
      <c r="C1320" s="397"/>
      <c r="D1320" s="397"/>
      <c r="E1320" s="397"/>
      <c r="F1320" s="397"/>
      <c r="G1320" s="397"/>
      <c r="H1320" s="397"/>
      <c r="I1320" s="450"/>
      <c r="J1320" s="397"/>
      <c r="K1320" s="397"/>
      <c r="L1320" s="451"/>
      <c r="M1320" s="449"/>
    </row>
    <row r="1321" spans="1:13" x14ac:dyDescent="0.25">
      <c r="A1321" s="397"/>
      <c r="B1321" s="397"/>
      <c r="C1321" s="397"/>
      <c r="D1321" s="397"/>
      <c r="E1321" s="397"/>
      <c r="F1321" s="397"/>
      <c r="G1321" s="397"/>
      <c r="H1321" s="397"/>
      <c r="I1321" s="450"/>
      <c r="J1321" s="397"/>
      <c r="K1321" s="397"/>
      <c r="L1321" s="451"/>
      <c r="M1321" s="449"/>
    </row>
    <row r="1322" spans="1:13" x14ac:dyDescent="0.25">
      <c r="A1322" s="397"/>
      <c r="B1322" s="397"/>
      <c r="C1322" s="397"/>
      <c r="D1322" s="397"/>
      <c r="E1322" s="397"/>
      <c r="F1322" s="397"/>
      <c r="G1322" s="397"/>
      <c r="H1322" s="397"/>
      <c r="I1322" s="450"/>
      <c r="J1322" s="397"/>
      <c r="K1322" s="397"/>
      <c r="L1322" s="451"/>
      <c r="M1322" s="449"/>
    </row>
    <row r="1323" spans="1:13" x14ac:dyDescent="0.25">
      <c r="A1323" s="397"/>
      <c r="B1323" s="397"/>
      <c r="C1323" s="397"/>
      <c r="D1323" s="397"/>
      <c r="E1323" s="397"/>
      <c r="F1323" s="397"/>
      <c r="G1323" s="397"/>
      <c r="H1323" s="397"/>
      <c r="I1323" s="450"/>
      <c r="J1323" s="397"/>
      <c r="K1323" s="397"/>
      <c r="L1323" s="451"/>
      <c r="M1323" s="449"/>
    </row>
    <row r="1324" spans="1:13" x14ac:dyDescent="0.25">
      <c r="A1324" s="397"/>
      <c r="B1324" s="397"/>
      <c r="C1324" s="397"/>
      <c r="D1324" s="397"/>
      <c r="E1324" s="397"/>
      <c r="F1324" s="397"/>
      <c r="G1324" s="397"/>
      <c r="H1324" s="397"/>
      <c r="I1324" s="450"/>
      <c r="J1324" s="397"/>
      <c r="K1324" s="397"/>
      <c r="L1324" s="451"/>
      <c r="M1324" s="449"/>
    </row>
    <row r="1325" spans="1:13" x14ac:dyDescent="0.25">
      <c r="A1325" s="397"/>
      <c r="B1325" s="397"/>
      <c r="C1325" s="397"/>
      <c r="D1325" s="397"/>
      <c r="E1325" s="397"/>
      <c r="F1325" s="397"/>
      <c r="G1325" s="397"/>
      <c r="H1325" s="397"/>
      <c r="I1325" s="450"/>
      <c r="J1325" s="397"/>
      <c r="K1325" s="397"/>
      <c r="L1325" s="451"/>
      <c r="M1325" s="449"/>
    </row>
    <row r="1326" spans="1:13" x14ac:dyDescent="0.25">
      <c r="A1326" s="397"/>
      <c r="B1326" s="397"/>
      <c r="C1326" s="397"/>
      <c r="D1326" s="397"/>
      <c r="E1326" s="397"/>
      <c r="F1326" s="397"/>
      <c r="G1326" s="397"/>
      <c r="H1326" s="397"/>
      <c r="I1326" s="450"/>
      <c r="J1326" s="397"/>
      <c r="K1326" s="397"/>
      <c r="L1326" s="451"/>
      <c r="M1326" s="449"/>
    </row>
    <row r="1327" spans="1:13" x14ac:dyDescent="0.25">
      <c r="A1327" s="397"/>
      <c r="B1327" s="397"/>
      <c r="C1327" s="397"/>
      <c r="D1327" s="397"/>
      <c r="E1327" s="397"/>
      <c r="F1327" s="397"/>
      <c r="G1327" s="397"/>
      <c r="H1327" s="397"/>
      <c r="I1327" s="450"/>
      <c r="J1327" s="397"/>
      <c r="K1327" s="397"/>
      <c r="L1327" s="451"/>
      <c r="M1327" s="449"/>
    </row>
    <row r="1328" spans="1:13" x14ac:dyDescent="0.25">
      <c r="A1328" s="397"/>
      <c r="B1328" s="397"/>
      <c r="C1328" s="397"/>
      <c r="D1328" s="397"/>
      <c r="E1328" s="397"/>
      <c r="F1328" s="397"/>
      <c r="G1328" s="397"/>
      <c r="H1328" s="397"/>
      <c r="I1328" s="450"/>
      <c r="J1328" s="397"/>
      <c r="K1328" s="397"/>
      <c r="L1328" s="451"/>
      <c r="M1328" s="449"/>
    </row>
    <row r="1329" spans="1:13" x14ac:dyDescent="0.25">
      <c r="A1329" s="397"/>
      <c r="B1329" s="397"/>
      <c r="C1329" s="397"/>
      <c r="D1329" s="397"/>
      <c r="E1329" s="397"/>
      <c r="F1329" s="397"/>
      <c r="G1329" s="397"/>
      <c r="H1329" s="397"/>
      <c r="I1329" s="450"/>
      <c r="J1329" s="397"/>
      <c r="K1329" s="397"/>
      <c r="L1329" s="451"/>
      <c r="M1329" s="449"/>
    </row>
    <row r="1330" spans="1:13" x14ac:dyDescent="0.25">
      <c r="A1330" s="397"/>
      <c r="B1330" s="397"/>
      <c r="C1330" s="397"/>
      <c r="D1330" s="397"/>
      <c r="E1330" s="397"/>
      <c r="F1330" s="397"/>
      <c r="G1330" s="397"/>
      <c r="H1330" s="397"/>
      <c r="I1330" s="450"/>
      <c r="J1330" s="397"/>
      <c r="K1330" s="397"/>
      <c r="L1330" s="451"/>
      <c r="M1330" s="449"/>
    </row>
    <row r="1331" spans="1:13" x14ac:dyDescent="0.25">
      <c r="A1331" s="397"/>
      <c r="B1331" s="397"/>
      <c r="C1331" s="397"/>
      <c r="D1331" s="397"/>
      <c r="E1331" s="397"/>
      <c r="F1331" s="397"/>
      <c r="G1331" s="397"/>
      <c r="H1331" s="397"/>
      <c r="I1331" s="450"/>
      <c r="J1331" s="397"/>
      <c r="K1331" s="397"/>
      <c r="L1331" s="451"/>
      <c r="M1331" s="449"/>
    </row>
    <row r="1332" spans="1:13" x14ac:dyDescent="0.25">
      <c r="A1332" s="397"/>
      <c r="B1332" s="397"/>
      <c r="C1332" s="397"/>
      <c r="D1332" s="397"/>
      <c r="E1332" s="397"/>
      <c r="F1332" s="397"/>
      <c r="G1332" s="397"/>
      <c r="H1332" s="397"/>
      <c r="I1332" s="450"/>
      <c r="J1332" s="397"/>
      <c r="K1332" s="397"/>
      <c r="L1332" s="451"/>
      <c r="M1332" s="449"/>
    </row>
    <row r="1333" spans="1:13" x14ac:dyDescent="0.25">
      <c r="A1333" s="397"/>
      <c r="B1333" s="397"/>
      <c r="C1333" s="397"/>
      <c r="D1333" s="397"/>
      <c r="E1333" s="397"/>
      <c r="F1333" s="397"/>
      <c r="G1333" s="397"/>
      <c r="H1333" s="397"/>
      <c r="I1333" s="450"/>
      <c r="J1333" s="397"/>
      <c r="K1333" s="397"/>
      <c r="L1333" s="451"/>
      <c r="M1333" s="449"/>
    </row>
    <row r="1334" spans="1:13" x14ac:dyDescent="0.25">
      <c r="A1334" s="397"/>
      <c r="B1334" s="397"/>
      <c r="C1334" s="397"/>
      <c r="D1334" s="397"/>
      <c r="E1334" s="397"/>
      <c r="F1334" s="397"/>
      <c r="G1334" s="397"/>
      <c r="H1334" s="397"/>
      <c r="I1334" s="450"/>
      <c r="J1334" s="397"/>
      <c r="K1334" s="397"/>
      <c r="L1334" s="451"/>
      <c r="M1334" s="449"/>
    </row>
    <row r="1335" spans="1:13" x14ac:dyDescent="0.25">
      <c r="A1335" s="397"/>
      <c r="B1335" s="397"/>
      <c r="C1335" s="397"/>
      <c r="D1335" s="397"/>
      <c r="E1335" s="397"/>
      <c r="F1335" s="397"/>
      <c r="G1335" s="397"/>
      <c r="H1335" s="397"/>
      <c r="I1335" s="450"/>
      <c r="J1335" s="397"/>
      <c r="K1335" s="397"/>
      <c r="L1335" s="451"/>
      <c r="M1335" s="449"/>
    </row>
    <row r="1336" spans="1:13" x14ac:dyDescent="0.25">
      <c r="A1336" s="397"/>
      <c r="B1336" s="397"/>
      <c r="C1336" s="397"/>
      <c r="D1336" s="397"/>
      <c r="E1336" s="397"/>
      <c r="F1336" s="397"/>
      <c r="G1336" s="397"/>
      <c r="H1336" s="397"/>
      <c r="I1336" s="450"/>
      <c r="J1336" s="397"/>
      <c r="K1336" s="397"/>
      <c r="L1336" s="451"/>
      <c r="M1336" s="449"/>
    </row>
    <row r="1337" spans="1:13" x14ac:dyDescent="0.25">
      <c r="A1337" s="397"/>
      <c r="B1337" s="397"/>
      <c r="C1337" s="397"/>
      <c r="D1337" s="397"/>
      <c r="E1337" s="397"/>
      <c r="F1337" s="397"/>
      <c r="G1337" s="397"/>
      <c r="H1337" s="397"/>
      <c r="I1337" s="450"/>
      <c r="J1337" s="397"/>
      <c r="K1337" s="397"/>
      <c r="L1337" s="451"/>
      <c r="M1337" s="449"/>
    </row>
    <row r="1338" spans="1:13" x14ac:dyDescent="0.25">
      <c r="A1338" s="397"/>
      <c r="B1338" s="397"/>
      <c r="C1338" s="397"/>
      <c r="D1338" s="397"/>
      <c r="E1338" s="397"/>
      <c r="F1338" s="397"/>
      <c r="G1338" s="397"/>
      <c r="H1338" s="397"/>
      <c r="I1338" s="450"/>
      <c r="J1338" s="397"/>
      <c r="K1338" s="397"/>
      <c r="L1338" s="451"/>
      <c r="M1338" s="449"/>
    </row>
    <row r="1339" spans="1:13" x14ac:dyDescent="0.25">
      <c r="A1339" s="397"/>
      <c r="B1339" s="397"/>
      <c r="C1339" s="397"/>
      <c r="D1339" s="397"/>
      <c r="E1339" s="397"/>
      <c r="F1339" s="397"/>
      <c r="G1339" s="397"/>
      <c r="H1339" s="397"/>
      <c r="I1339" s="450"/>
      <c r="J1339" s="397"/>
      <c r="K1339" s="397"/>
      <c r="L1339" s="451"/>
      <c r="M1339" s="449"/>
    </row>
    <row r="1340" spans="1:13" x14ac:dyDescent="0.25">
      <c r="A1340" s="397"/>
      <c r="B1340" s="397"/>
      <c r="C1340" s="397"/>
      <c r="D1340" s="397"/>
      <c r="E1340" s="397"/>
      <c r="F1340" s="397"/>
      <c r="G1340" s="397"/>
      <c r="H1340" s="397"/>
      <c r="I1340" s="450"/>
      <c r="J1340" s="397"/>
      <c r="K1340" s="397"/>
      <c r="L1340" s="451"/>
      <c r="M1340" s="449"/>
    </row>
    <row r="1341" spans="1:13" x14ac:dyDescent="0.25">
      <c r="A1341" s="397"/>
      <c r="B1341" s="397"/>
      <c r="C1341" s="397"/>
      <c r="D1341" s="397"/>
      <c r="E1341" s="397"/>
      <c r="F1341" s="397"/>
      <c r="G1341" s="397"/>
      <c r="H1341" s="397"/>
      <c r="I1341" s="450"/>
      <c r="J1341" s="397"/>
      <c r="K1341" s="397"/>
      <c r="L1341" s="451"/>
      <c r="M1341" s="449"/>
    </row>
    <row r="1342" spans="1:13" x14ac:dyDescent="0.25">
      <c r="A1342" s="397"/>
      <c r="B1342" s="397"/>
      <c r="C1342" s="397"/>
      <c r="D1342" s="397"/>
      <c r="E1342" s="397"/>
      <c r="F1342" s="397"/>
      <c r="G1342" s="397"/>
      <c r="H1342" s="397"/>
      <c r="I1342" s="450"/>
      <c r="J1342" s="397"/>
      <c r="K1342" s="397"/>
      <c r="L1342" s="451"/>
      <c r="M1342" s="449"/>
    </row>
    <row r="1343" spans="1:13" x14ac:dyDescent="0.25">
      <c r="A1343" s="397"/>
      <c r="B1343" s="397"/>
      <c r="C1343" s="397"/>
      <c r="D1343" s="397"/>
      <c r="E1343" s="397"/>
      <c r="F1343" s="397"/>
      <c r="G1343" s="397"/>
      <c r="H1343" s="397"/>
      <c r="I1343" s="450"/>
      <c r="J1343" s="397"/>
      <c r="K1343" s="397"/>
      <c r="L1343" s="451"/>
      <c r="M1343" s="449"/>
    </row>
    <row r="1344" spans="1:13" x14ac:dyDescent="0.25">
      <c r="A1344" s="397"/>
      <c r="B1344" s="397"/>
      <c r="C1344" s="397"/>
      <c r="D1344" s="397"/>
      <c r="E1344" s="397"/>
      <c r="F1344" s="397"/>
      <c r="G1344" s="397"/>
      <c r="H1344" s="397"/>
      <c r="I1344" s="450"/>
      <c r="J1344" s="397"/>
      <c r="K1344" s="397"/>
      <c r="L1344" s="451"/>
      <c r="M1344" s="449"/>
    </row>
    <row r="1345" spans="1:13" x14ac:dyDescent="0.25">
      <c r="A1345" s="397"/>
      <c r="B1345" s="397"/>
      <c r="C1345" s="397"/>
      <c r="D1345" s="397"/>
      <c r="E1345" s="397"/>
      <c r="F1345" s="397"/>
      <c r="G1345" s="397"/>
      <c r="H1345" s="397"/>
      <c r="I1345" s="450"/>
      <c r="J1345" s="397"/>
      <c r="K1345" s="397"/>
      <c r="L1345" s="451"/>
      <c r="M1345" s="449"/>
    </row>
    <row r="1346" spans="1:13" x14ac:dyDescent="0.25">
      <c r="A1346" s="397"/>
      <c r="B1346" s="397"/>
      <c r="C1346" s="397"/>
      <c r="D1346" s="397"/>
      <c r="E1346" s="397"/>
      <c r="F1346" s="397"/>
      <c r="G1346" s="397"/>
      <c r="H1346" s="397"/>
      <c r="I1346" s="450"/>
      <c r="J1346" s="397"/>
      <c r="K1346" s="397"/>
      <c r="L1346" s="451"/>
      <c r="M1346" s="449"/>
    </row>
    <row r="1347" spans="1:13" x14ac:dyDescent="0.25">
      <c r="A1347" s="397"/>
      <c r="B1347" s="397"/>
      <c r="C1347" s="397"/>
      <c r="D1347" s="397"/>
      <c r="E1347" s="397"/>
      <c r="F1347" s="397"/>
      <c r="G1347" s="397"/>
      <c r="H1347" s="397"/>
      <c r="I1347" s="450"/>
      <c r="J1347" s="397"/>
      <c r="K1347" s="397"/>
      <c r="L1347" s="451"/>
      <c r="M1347" s="449"/>
    </row>
    <row r="1348" spans="1:13" x14ac:dyDescent="0.25">
      <c r="A1348" s="397"/>
      <c r="B1348" s="397"/>
      <c r="C1348" s="397"/>
      <c r="D1348" s="397"/>
      <c r="E1348" s="397"/>
      <c r="F1348" s="397"/>
      <c r="G1348" s="397"/>
      <c r="H1348" s="397"/>
      <c r="I1348" s="450"/>
      <c r="J1348" s="397"/>
      <c r="K1348" s="397"/>
      <c r="L1348" s="451"/>
      <c r="M1348" s="449"/>
    </row>
    <row r="1349" spans="1:13" x14ac:dyDescent="0.25">
      <c r="A1349" s="397"/>
      <c r="B1349" s="397"/>
      <c r="C1349" s="397"/>
      <c r="D1349" s="397"/>
      <c r="E1349" s="397"/>
      <c r="F1349" s="397"/>
      <c r="G1349" s="397"/>
      <c r="H1349" s="397"/>
      <c r="I1349" s="450"/>
      <c r="J1349" s="397"/>
      <c r="K1349" s="397"/>
      <c r="L1349" s="451"/>
      <c r="M1349" s="449"/>
    </row>
    <row r="1350" spans="1:13" x14ac:dyDescent="0.25">
      <c r="A1350" s="397"/>
      <c r="B1350" s="397"/>
      <c r="C1350" s="397"/>
      <c r="D1350" s="397"/>
      <c r="E1350" s="397"/>
      <c r="F1350" s="397"/>
      <c r="G1350" s="397"/>
      <c r="H1350" s="397"/>
      <c r="I1350" s="450"/>
      <c r="J1350" s="397"/>
      <c r="K1350" s="397"/>
      <c r="L1350" s="451"/>
      <c r="M1350" s="449"/>
    </row>
    <row r="1351" spans="1:13" x14ac:dyDescent="0.25">
      <c r="A1351" s="397"/>
      <c r="B1351" s="397"/>
      <c r="C1351" s="397"/>
      <c r="D1351" s="397"/>
      <c r="E1351" s="397"/>
      <c r="F1351" s="397"/>
      <c r="G1351" s="397"/>
      <c r="H1351" s="397"/>
      <c r="I1351" s="450"/>
      <c r="J1351" s="397"/>
      <c r="K1351" s="397"/>
      <c r="L1351" s="451"/>
      <c r="M1351" s="449"/>
    </row>
    <row r="1352" spans="1:13" x14ac:dyDescent="0.25">
      <c r="A1352" s="397"/>
      <c r="B1352" s="397"/>
      <c r="C1352" s="397"/>
      <c r="D1352" s="397"/>
      <c r="E1352" s="397"/>
      <c r="F1352" s="397"/>
      <c r="G1352" s="397"/>
      <c r="H1352" s="397"/>
      <c r="I1352" s="450"/>
      <c r="J1352" s="397"/>
      <c r="K1352" s="397"/>
      <c r="L1352" s="451"/>
      <c r="M1352" s="449"/>
    </row>
    <row r="1353" spans="1:13" x14ac:dyDescent="0.25">
      <c r="A1353" s="397"/>
      <c r="B1353" s="397"/>
      <c r="C1353" s="397"/>
      <c r="D1353" s="397"/>
      <c r="E1353" s="397"/>
      <c r="F1353" s="397"/>
      <c r="G1353" s="397"/>
      <c r="H1353" s="397"/>
      <c r="I1353" s="450"/>
      <c r="J1353" s="397"/>
      <c r="K1353" s="397"/>
      <c r="L1353" s="451"/>
      <c r="M1353" s="449"/>
    </row>
    <row r="1354" spans="1:13" x14ac:dyDescent="0.25">
      <c r="A1354" s="397"/>
      <c r="B1354" s="397"/>
      <c r="C1354" s="397"/>
      <c r="D1354" s="397"/>
      <c r="E1354" s="397"/>
      <c r="F1354" s="397"/>
      <c r="G1354" s="397"/>
      <c r="H1354" s="397"/>
      <c r="I1354" s="450"/>
      <c r="J1354" s="397"/>
      <c r="K1354" s="397"/>
      <c r="L1354" s="451"/>
      <c r="M1354" s="449"/>
    </row>
    <row r="1355" spans="1:13" x14ac:dyDescent="0.25">
      <c r="A1355" s="397"/>
      <c r="B1355" s="397"/>
      <c r="C1355" s="397"/>
      <c r="D1355" s="397"/>
      <c r="E1355" s="397"/>
      <c r="F1355" s="397"/>
      <c r="G1355" s="397"/>
      <c r="H1355" s="397"/>
      <c r="I1355" s="450"/>
      <c r="J1355" s="397"/>
      <c r="K1355" s="397"/>
      <c r="L1355" s="451"/>
      <c r="M1355" s="449"/>
    </row>
    <row r="1356" spans="1:13" x14ac:dyDescent="0.25">
      <c r="A1356" s="397"/>
      <c r="B1356" s="397"/>
      <c r="C1356" s="397"/>
      <c r="D1356" s="397"/>
      <c r="E1356" s="397"/>
      <c r="F1356" s="397"/>
      <c r="G1356" s="397"/>
      <c r="H1356" s="397"/>
      <c r="I1356" s="450"/>
      <c r="J1356" s="397"/>
      <c r="K1356" s="397"/>
      <c r="L1356" s="451"/>
      <c r="M1356" s="449"/>
    </row>
    <row r="1357" spans="1:13" x14ac:dyDescent="0.25">
      <c r="A1357" s="397"/>
      <c r="B1357" s="397"/>
      <c r="C1357" s="397"/>
      <c r="D1357" s="397"/>
      <c r="E1357" s="397"/>
      <c r="F1357" s="397"/>
      <c r="G1357" s="397"/>
      <c r="H1357" s="397"/>
      <c r="I1357" s="450"/>
      <c r="J1357" s="397"/>
      <c r="K1357" s="397"/>
      <c r="L1357" s="451"/>
      <c r="M1357" s="449"/>
    </row>
    <row r="1358" spans="1:13" x14ac:dyDescent="0.25">
      <c r="A1358" s="397"/>
      <c r="B1358" s="397"/>
      <c r="C1358" s="397"/>
      <c r="D1358" s="397"/>
      <c r="E1358" s="397"/>
      <c r="F1358" s="397"/>
      <c r="G1358" s="397"/>
      <c r="H1358" s="397"/>
      <c r="I1358" s="450"/>
      <c r="J1358" s="397"/>
      <c r="K1358" s="397"/>
      <c r="L1358" s="451"/>
      <c r="M1358" s="449"/>
    </row>
    <row r="1359" spans="1:13" x14ac:dyDescent="0.25">
      <c r="A1359" s="397"/>
      <c r="B1359" s="397"/>
      <c r="C1359" s="397"/>
      <c r="D1359" s="397"/>
      <c r="E1359" s="397"/>
      <c r="F1359" s="397"/>
      <c r="G1359" s="397"/>
      <c r="H1359" s="397"/>
      <c r="I1359" s="450"/>
      <c r="J1359" s="397"/>
      <c r="K1359" s="397"/>
      <c r="L1359" s="451"/>
      <c r="M1359" s="449"/>
    </row>
    <row r="1360" spans="1:13" x14ac:dyDescent="0.25">
      <c r="A1360" s="397"/>
      <c r="B1360" s="397"/>
      <c r="C1360" s="397"/>
      <c r="D1360" s="397"/>
      <c r="E1360" s="397"/>
      <c r="F1360" s="397"/>
      <c r="G1360" s="397"/>
      <c r="H1360" s="397"/>
      <c r="I1360" s="450"/>
      <c r="J1360" s="397"/>
      <c r="K1360" s="397"/>
      <c r="L1360" s="451"/>
      <c r="M1360" s="449"/>
    </row>
    <row r="1361" spans="1:13" x14ac:dyDescent="0.25">
      <c r="A1361" s="397"/>
      <c r="B1361" s="397"/>
      <c r="C1361" s="397"/>
      <c r="D1361" s="397"/>
      <c r="E1361" s="397"/>
      <c r="F1361" s="397"/>
      <c r="G1361" s="397"/>
      <c r="H1361" s="397"/>
      <c r="I1361" s="450"/>
      <c r="J1361" s="397"/>
      <c r="K1361" s="397"/>
      <c r="L1361" s="451"/>
      <c r="M1361" s="449"/>
    </row>
    <row r="1362" spans="1:13" x14ac:dyDescent="0.25">
      <c r="A1362" s="397"/>
      <c r="B1362" s="397"/>
      <c r="C1362" s="397"/>
      <c r="D1362" s="397"/>
      <c r="E1362" s="397"/>
      <c r="F1362" s="397"/>
      <c r="G1362" s="397"/>
      <c r="H1362" s="397"/>
      <c r="I1362" s="450"/>
      <c r="J1362" s="397"/>
      <c r="K1362" s="397"/>
      <c r="L1362" s="451"/>
      <c r="M1362" s="449"/>
    </row>
    <row r="1363" spans="1:13" x14ac:dyDescent="0.25">
      <c r="A1363" s="397"/>
      <c r="B1363" s="397"/>
      <c r="C1363" s="397"/>
      <c r="D1363" s="397"/>
      <c r="E1363" s="397"/>
      <c r="F1363" s="397"/>
      <c r="G1363" s="397"/>
      <c r="H1363" s="397"/>
      <c r="I1363" s="450"/>
      <c r="J1363" s="397"/>
      <c r="K1363" s="397"/>
      <c r="L1363" s="451"/>
      <c r="M1363" s="449"/>
    </row>
    <row r="1364" spans="1:13" x14ac:dyDescent="0.25">
      <c r="A1364" s="397"/>
      <c r="B1364" s="397"/>
      <c r="C1364" s="397"/>
      <c r="D1364" s="397"/>
      <c r="E1364" s="397"/>
      <c r="F1364" s="397"/>
      <c r="G1364" s="397"/>
      <c r="H1364" s="397"/>
      <c r="I1364" s="450"/>
      <c r="J1364" s="397"/>
      <c r="K1364" s="397"/>
      <c r="L1364" s="451"/>
      <c r="M1364" s="449"/>
    </row>
    <row r="1365" spans="1:13" x14ac:dyDescent="0.25">
      <c r="A1365" s="397"/>
      <c r="B1365" s="397"/>
      <c r="C1365" s="397"/>
      <c r="D1365" s="397"/>
      <c r="E1365" s="397"/>
      <c r="F1365" s="397"/>
      <c r="G1365" s="397"/>
      <c r="H1365" s="397"/>
      <c r="I1365" s="450"/>
      <c r="J1365" s="397"/>
      <c r="K1365" s="397"/>
      <c r="L1365" s="451"/>
      <c r="M1365" s="449"/>
    </row>
    <row r="1366" spans="1:13" x14ac:dyDescent="0.25">
      <c r="A1366" s="397"/>
      <c r="B1366" s="397"/>
      <c r="C1366" s="397"/>
      <c r="D1366" s="397"/>
      <c r="E1366" s="397"/>
      <c r="F1366" s="397"/>
      <c r="G1366" s="397"/>
      <c r="H1366" s="397"/>
      <c r="I1366" s="450"/>
      <c r="J1366" s="397"/>
      <c r="K1366" s="397"/>
      <c r="L1366" s="451"/>
      <c r="M1366" s="449"/>
    </row>
    <row r="1367" spans="1:13" x14ac:dyDescent="0.25">
      <c r="A1367" s="397"/>
      <c r="B1367" s="397"/>
      <c r="C1367" s="397"/>
      <c r="D1367" s="397"/>
      <c r="E1367" s="397"/>
      <c r="F1367" s="397"/>
      <c r="G1367" s="397"/>
      <c r="H1367" s="397"/>
      <c r="I1367" s="450"/>
      <c r="J1367" s="397"/>
      <c r="K1367" s="397"/>
      <c r="L1367" s="451"/>
      <c r="M1367" s="449"/>
    </row>
    <row r="1368" spans="1:13" x14ac:dyDescent="0.25">
      <c r="A1368" s="397"/>
      <c r="B1368" s="397"/>
      <c r="C1368" s="397"/>
      <c r="D1368" s="397"/>
      <c r="E1368" s="397"/>
      <c r="F1368" s="397"/>
      <c r="G1368" s="397"/>
      <c r="H1368" s="397"/>
      <c r="I1368" s="450"/>
      <c r="J1368" s="397"/>
      <c r="K1368" s="397"/>
      <c r="L1368" s="451"/>
      <c r="M1368" s="449"/>
    </row>
    <row r="1369" spans="1:13" x14ac:dyDescent="0.25">
      <c r="A1369" s="397"/>
      <c r="B1369" s="397"/>
      <c r="C1369" s="397"/>
      <c r="D1369" s="397"/>
      <c r="E1369" s="397"/>
      <c r="F1369" s="397"/>
      <c r="G1369" s="397"/>
      <c r="H1369" s="397"/>
      <c r="I1369" s="450"/>
      <c r="J1369" s="397"/>
      <c r="K1369" s="397"/>
      <c r="L1369" s="451"/>
      <c r="M1369" s="449"/>
    </row>
    <row r="1370" spans="1:13" x14ac:dyDescent="0.25">
      <c r="A1370" s="397"/>
      <c r="B1370" s="397"/>
      <c r="C1370" s="397"/>
      <c r="D1370" s="397"/>
      <c r="E1370" s="397"/>
      <c r="F1370" s="397"/>
      <c r="G1370" s="397"/>
      <c r="H1370" s="397"/>
      <c r="I1370" s="450"/>
      <c r="J1370" s="397"/>
      <c r="K1370" s="397"/>
      <c r="L1370" s="451"/>
      <c r="M1370" s="449"/>
    </row>
    <row r="1371" spans="1:13" x14ac:dyDescent="0.25">
      <c r="A1371" s="397"/>
      <c r="B1371" s="397"/>
      <c r="C1371" s="397"/>
      <c r="D1371" s="397"/>
      <c r="E1371" s="397"/>
      <c r="F1371" s="397"/>
      <c r="G1371" s="397"/>
      <c r="H1371" s="397"/>
      <c r="I1371" s="450"/>
      <c r="J1371" s="397"/>
      <c r="K1371" s="397"/>
      <c r="L1371" s="451"/>
      <c r="M1371" s="449"/>
    </row>
    <row r="1372" spans="1:13" x14ac:dyDescent="0.25">
      <c r="A1372" s="397"/>
      <c r="B1372" s="397"/>
      <c r="C1372" s="397"/>
      <c r="D1372" s="397"/>
      <c r="E1372" s="397"/>
      <c r="F1372" s="397"/>
      <c r="G1372" s="397"/>
      <c r="H1372" s="397"/>
      <c r="I1372" s="450"/>
      <c r="J1372" s="397"/>
      <c r="K1372" s="397"/>
      <c r="L1372" s="451"/>
      <c r="M1372" s="449"/>
    </row>
    <row r="1373" spans="1:13" x14ac:dyDescent="0.25">
      <c r="A1373" s="397"/>
      <c r="B1373" s="397"/>
      <c r="C1373" s="397"/>
      <c r="D1373" s="397"/>
      <c r="E1373" s="397"/>
      <c r="F1373" s="397"/>
      <c r="G1373" s="397"/>
      <c r="H1373" s="397"/>
      <c r="I1373" s="450"/>
      <c r="J1373" s="397"/>
      <c r="K1373" s="397"/>
      <c r="L1373" s="451"/>
      <c r="M1373" s="449"/>
    </row>
    <row r="1374" spans="1:13" x14ac:dyDescent="0.25">
      <c r="A1374" s="397"/>
      <c r="B1374" s="397"/>
      <c r="C1374" s="397"/>
      <c r="D1374" s="397"/>
      <c r="E1374" s="397"/>
      <c r="F1374" s="397"/>
      <c r="G1374" s="397"/>
      <c r="H1374" s="397"/>
      <c r="I1374" s="450"/>
      <c r="J1374" s="397"/>
      <c r="K1374" s="397"/>
      <c r="L1374" s="451"/>
      <c r="M1374" s="449"/>
    </row>
    <row r="1375" spans="1:13" x14ac:dyDescent="0.25">
      <c r="A1375" s="397"/>
      <c r="B1375" s="397"/>
      <c r="C1375" s="397"/>
      <c r="D1375" s="397"/>
      <c r="E1375" s="397"/>
      <c r="F1375" s="397"/>
      <c r="G1375" s="397"/>
      <c r="H1375" s="397"/>
      <c r="I1375" s="450"/>
      <c r="J1375" s="397"/>
      <c r="K1375" s="397"/>
      <c r="L1375" s="451"/>
      <c r="M1375" s="449"/>
    </row>
    <row r="1376" spans="1:13" x14ac:dyDescent="0.25">
      <c r="A1376" s="397"/>
      <c r="B1376" s="397"/>
      <c r="C1376" s="397"/>
      <c r="D1376" s="397"/>
      <c r="E1376" s="397"/>
      <c r="F1376" s="397"/>
      <c r="G1376" s="397"/>
      <c r="H1376" s="397"/>
      <c r="I1376" s="450"/>
      <c r="J1376" s="397"/>
      <c r="K1376" s="397"/>
      <c r="L1376" s="451"/>
      <c r="M1376" s="449"/>
    </row>
    <row r="1377" spans="1:13" x14ac:dyDescent="0.25">
      <c r="A1377" s="397"/>
      <c r="B1377" s="397"/>
      <c r="C1377" s="397"/>
      <c r="D1377" s="397"/>
      <c r="E1377" s="397"/>
      <c r="F1377" s="397"/>
      <c r="G1377" s="397"/>
      <c r="H1377" s="397"/>
      <c r="I1377" s="450"/>
      <c r="J1377" s="397"/>
      <c r="K1377" s="397"/>
      <c r="L1377" s="451"/>
      <c r="M1377" s="449"/>
    </row>
    <row r="1378" spans="1:13" x14ac:dyDescent="0.25">
      <c r="A1378" s="397"/>
      <c r="B1378" s="397"/>
      <c r="C1378" s="397"/>
      <c r="D1378" s="397"/>
      <c r="E1378" s="397"/>
      <c r="F1378" s="397"/>
      <c r="G1378" s="397"/>
      <c r="H1378" s="397"/>
      <c r="I1378" s="450"/>
      <c r="J1378" s="397"/>
      <c r="K1378" s="397"/>
      <c r="L1378" s="451"/>
      <c r="M1378" s="449"/>
    </row>
    <row r="1379" spans="1:13" x14ac:dyDescent="0.25">
      <c r="A1379" s="397"/>
      <c r="B1379" s="397"/>
      <c r="C1379" s="397"/>
      <c r="D1379" s="397"/>
      <c r="E1379" s="397"/>
      <c r="F1379" s="397"/>
      <c r="G1379" s="397"/>
      <c r="H1379" s="397"/>
      <c r="I1379" s="450"/>
      <c r="J1379" s="397"/>
      <c r="K1379" s="397"/>
      <c r="L1379" s="451"/>
      <c r="M1379" s="449"/>
    </row>
    <row r="1380" spans="1:13" x14ac:dyDescent="0.25">
      <c r="A1380" s="397"/>
      <c r="B1380" s="397"/>
      <c r="C1380" s="397"/>
      <c r="D1380" s="397"/>
      <c r="E1380" s="397"/>
      <c r="F1380" s="397"/>
      <c r="G1380" s="397"/>
      <c r="H1380" s="397"/>
      <c r="I1380" s="450"/>
      <c r="J1380" s="397"/>
      <c r="K1380" s="397"/>
      <c r="L1380" s="451"/>
      <c r="M1380" s="449"/>
    </row>
    <row r="1381" spans="1:13" x14ac:dyDescent="0.25">
      <c r="A1381" s="397"/>
      <c r="B1381" s="397"/>
      <c r="C1381" s="397"/>
      <c r="D1381" s="397"/>
      <c r="E1381" s="397"/>
      <c r="F1381" s="397"/>
      <c r="G1381" s="397"/>
      <c r="H1381" s="397"/>
      <c r="I1381" s="450"/>
      <c r="J1381" s="397"/>
      <c r="K1381" s="397"/>
      <c r="L1381" s="451"/>
      <c r="M1381" s="449"/>
    </row>
    <row r="1382" spans="1:13" x14ac:dyDescent="0.25">
      <c r="A1382" s="397"/>
      <c r="B1382" s="397"/>
      <c r="C1382" s="397"/>
      <c r="D1382" s="397"/>
      <c r="E1382" s="397"/>
      <c r="F1382" s="397"/>
      <c r="G1382" s="397"/>
      <c r="H1382" s="397"/>
      <c r="I1382" s="450"/>
      <c r="J1382" s="397"/>
      <c r="K1382" s="397"/>
      <c r="L1382" s="451"/>
      <c r="M1382" s="449"/>
    </row>
    <row r="1383" spans="1:13" x14ac:dyDescent="0.25">
      <c r="A1383" s="397"/>
      <c r="B1383" s="397"/>
      <c r="C1383" s="397"/>
      <c r="D1383" s="397"/>
      <c r="E1383" s="397"/>
      <c r="F1383" s="397"/>
      <c r="G1383" s="397"/>
      <c r="H1383" s="397"/>
      <c r="I1383" s="450"/>
      <c r="J1383" s="397"/>
      <c r="K1383" s="397"/>
      <c r="L1383" s="451"/>
      <c r="M1383" s="449"/>
    </row>
    <row r="1384" spans="1:13" x14ac:dyDescent="0.25">
      <c r="A1384" s="397"/>
      <c r="B1384" s="397"/>
      <c r="C1384" s="397"/>
      <c r="D1384" s="397"/>
      <c r="E1384" s="397"/>
      <c r="F1384" s="397"/>
      <c r="G1384" s="397"/>
      <c r="H1384" s="397"/>
      <c r="I1384" s="450"/>
      <c r="J1384" s="397"/>
      <c r="K1384" s="397"/>
      <c r="L1384" s="451"/>
      <c r="M1384" s="449"/>
    </row>
    <row r="1385" spans="1:13" x14ac:dyDescent="0.25">
      <c r="A1385" s="397"/>
      <c r="B1385" s="397"/>
      <c r="C1385" s="397"/>
      <c r="D1385" s="397"/>
      <c r="E1385" s="397"/>
      <c r="F1385" s="397"/>
      <c r="G1385" s="397"/>
      <c r="H1385" s="397"/>
      <c r="I1385" s="450"/>
      <c r="J1385" s="397"/>
      <c r="K1385" s="397"/>
      <c r="L1385" s="451"/>
      <c r="M1385" s="449"/>
    </row>
    <row r="1386" spans="1:13" x14ac:dyDescent="0.25">
      <c r="A1386" s="397"/>
      <c r="B1386" s="397"/>
      <c r="C1386" s="397"/>
      <c r="D1386" s="397"/>
      <c r="E1386" s="397"/>
      <c r="F1386" s="397"/>
      <c r="G1386" s="397"/>
      <c r="H1386" s="397"/>
      <c r="I1386" s="450"/>
      <c r="J1386" s="397"/>
      <c r="K1386" s="397"/>
      <c r="L1386" s="451"/>
      <c r="M1386" s="449"/>
    </row>
    <row r="1387" spans="1:13" x14ac:dyDescent="0.25">
      <c r="A1387" s="397"/>
      <c r="B1387" s="397"/>
      <c r="C1387" s="397"/>
      <c r="D1387" s="397"/>
      <c r="E1387" s="397"/>
      <c r="F1387" s="397"/>
      <c r="G1387" s="397"/>
      <c r="H1387" s="397"/>
      <c r="I1387" s="450"/>
      <c r="J1387" s="397"/>
      <c r="K1387" s="397"/>
      <c r="L1387" s="451"/>
      <c r="M1387" s="449"/>
    </row>
    <row r="1388" spans="1:13" x14ac:dyDescent="0.25">
      <c r="A1388" s="397"/>
      <c r="B1388" s="397"/>
      <c r="C1388" s="397"/>
      <c r="D1388" s="397"/>
      <c r="E1388" s="397"/>
      <c r="F1388" s="397"/>
      <c r="G1388" s="397"/>
      <c r="H1388" s="397"/>
      <c r="I1388" s="450"/>
      <c r="J1388" s="397"/>
      <c r="K1388" s="397"/>
      <c r="L1388" s="451"/>
      <c r="M1388" s="449"/>
    </row>
    <row r="1389" spans="1:13" x14ac:dyDescent="0.25">
      <c r="A1389" s="397"/>
      <c r="B1389" s="397"/>
      <c r="C1389" s="397"/>
      <c r="D1389" s="397"/>
      <c r="E1389" s="397"/>
      <c r="F1389" s="397"/>
      <c r="G1389" s="397"/>
      <c r="H1389" s="397"/>
      <c r="I1389" s="450"/>
      <c r="J1389" s="397"/>
      <c r="K1389" s="397"/>
      <c r="L1389" s="451"/>
      <c r="M1389" s="449"/>
    </row>
    <row r="1390" spans="1:13" x14ac:dyDescent="0.25">
      <c r="A1390" s="397"/>
      <c r="B1390" s="397"/>
      <c r="C1390" s="397"/>
      <c r="D1390" s="397"/>
      <c r="E1390" s="397"/>
      <c r="F1390" s="397"/>
      <c r="G1390" s="397"/>
      <c r="H1390" s="397"/>
      <c r="I1390" s="450"/>
      <c r="J1390" s="397"/>
      <c r="K1390" s="397"/>
      <c r="L1390" s="451"/>
      <c r="M1390" s="449"/>
    </row>
    <row r="1391" spans="1:13" x14ac:dyDescent="0.25">
      <c r="A1391" s="397"/>
      <c r="B1391" s="397"/>
      <c r="C1391" s="397"/>
      <c r="D1391" s="397"/>
      <c r="E1391" s="397"/>
      <c r="F1391" s="397"/>
      <c r="G1391" s="397"/>
      <c r="H1391" s="397"/>
      <c r="I1391" s="450"/>
      <c r="J1391" s="397"/>
      <c r="K1391" s="397"/>
      <c r="L1391" s="451"/>
      <c r="M1391" s="449"/>
    </row>
    <row r="1392" spans="1:13" x14ac:dyDescent="0.25">
      <c r="A1392" s="397"/>
      <c r="B1392" s="397"/>
      <c r="C1392" s="397"/>
      <c r="D1392" s="397"/>
      <c r="E1392" s="397"/>
      <c r="F1392" s="397"/>
      <c r="G1392" s="397"/>
      <c r="H1392" s="397"/>
      <c r="I1392" s="450"/>
      <c r="J1392" s="397"/>
      <c r="K1392" s="397"/>
      <c r="L1392" s="451"/>
      <c r="M1392" s="449"/>
    </row>
    <row r="1393" spans="1:13" x14ac:dyDescent="0.25">
      <c r="A1393" s="397"/>
      <c r="B1393" s="397"/>
      <c r="C1393" s="397"/>
      <c r="D1393" s="397"/>
      <c r="E1393" s="397"/>
      <c r="F1393" s="397"/>
      <c r="G1393" s="397"/>
      <c r="H1393" s="397"/>
      <c r="I1393" s="450"/>
      <c r="J1393" s="397"/>
      <c r="K1393" s="397"/>
      <c r="L1393" s="451"/>
      <c r="M1393" s="449"/>
    </row>
    <row r="1394" spans="1:13" x14ac:dyDescent="0.25">
      <c r="A1394" s="397"/>
      <c r="B1394" s="397"/>
      <c r="C1394" s="397"/>
      <c r="D1394" s="397"/>
      <c r="E1394" s="397"/>
      <c r="F1394" s="397"/>
      <c r="G1394" s="397"/>
      <c r="H1394" s="397"/>
      <c r="I1394" s="450"/>
      <c r="J1394" s="397"/>
      <c r="K1394" s="397"/>
      <c r="L1394" s="451"/>
      <c r="M1394" s="449"/>
    </row>
    <row r="1395" spans="1:13" x14ac:dyDescent="0.25">
      <c r="A1395" s="397"/>
      <c r="B1395" s="397"/>
      <c r="C1395" s="397"/>
      <c r="D1395" s="397"/>
      <c r="E1395" s="397"/>
      <c r="F1395" s="397"/>
      <c r="G1395" s="397"/>
      <c r="H1395" s="397"/>
      <c r="I1395" s="450"/>
      <c r="J1395" s="397"/>
      <c r="K1395" s="397"/>
      <c r="L1395" s="451"/>
      <c r="M1395" s="449"/>
    </row>
    <row r="1396" spans="1:13" x14ac:dyDescent="0.25">
      <c r="A1396" s="397"/>
      <c r="B1396" s="397"/>
      <c r="C1396" s="397"/>
      <c r="D1396" s="397"/>
      <c r="E1396" s="397"/>
      <c r="F1396" s="397"/>
      <c r="G1396" s="397"/>
      <c r="H1396" s="397"/>
      <c r="I1396" s="450"/>
      <c r="J1396" s="397"/>
      <c r="K1396" s="397"/>
      <c r="L1396" s="451"/>
      <c r="M1396" s="449"/>
    </row>
    <row r="1397" spans="1:13" x14ac:dyDescent="0.25">
      <c r="A1397" s="397"/>
      <c r="B1397" s="397"/>
      <c r="C1397" s="397"/>
      <c r="D1397" s="397"/>
      <c r="E1397" s="397"/>
      <c r="F1397" s="397"/>
      <c r="G1397" s="397"/>
      <c r="H1397" s="397"/>
      <c r="I1397" s="450"/>
      <c r="J1397" s="397"/>
      <c r="K1397" s="397"/>
      <c r="L1397" s="451"/>
      <c r="M1397" s="449"/>
    </row>
    <row r="1398" spans="1:13" x14ac:dyDescent="0.25">
      <c r="A1398" s="397"/>
      <c r="B1398" s="397"/>
      <c r="C1398" s="397"/>
      <c r="D1398" s="397"/>
      <c r="E1398" s="397"/>
      <c r="F1398" s="397"/>
      <c r="G1398" s="397"/>
      <c r="H1398" s="397"/>
      <c r="I1398" s="450"/>
      <c r="J1398" s="397"/>
      <c r="K1398" s="397"/>
      <c r="L1398" s="451"/>
      <c r="M1398" s="449"/>
    </row>
    <row r="1399" spans="1:13" x14ac:dyDescent="0.25">
      <c r="A1399" s="397"/>
      <c r="B1399" s="397"/>
      <c r="C1399" s="397"/>
      <c r="D1399" s="397"/>
      <c r="E1399" s="397"/>
      <c r="F1399" s="397"/>
      <c r="G1399" s="397"/>
      <c r="H1399" s="397"/>
      <c r="I1399" s="450"/>
      <c r="J1399" s="397"/>
      <c r="K1399" s="397"/>
      <c r="L1399" s="451"/>
      <c r="M1399" s="449"/>
    </row>
    <row r="1400" spans="1:13" x14ac:dyDescent="0.25">
      <c r="A1400" s="397"/>
      <c r="B1400" s="397"/>
      <c r="C1400" s="397"/>
      <c r="D1400" s="397"/>
      <c r="E1400" s="397"/>
      <c r="F1400" s="397"/>
      <c r="G1400" s="397"/>
      <c r="H1400" s="397"/>
      <c r="I1400" s="450"/>
      <c r="J1400" s="397"/>
      <c r="K1400" s="397"/>
      <c r="L1400" s="451"/>
      <c r="M1400" s="449"/>
    </row>
    <row r="1401" spans="1:13" x14ac:dyDescent="0.25">
      <c r="A1401" s="397"/>
      <c r="B1401" s="397"/>
      <c r="C1401" s="397"/>
      <c r="D1401" s="397"/>
      <c r="E1401" s="397"/>
      <c r="F1401" s="397"/>
      <c r="G1401" s="397"/>
      <c r="H1401" s="397"/>
      <c r="I1401" s="450"/>
      <c r="J1401" s="397"/>
      <c r="K1401" s="397"/>
      <c r="L1401" s="451"/>
      <c r="M1401" s="449"/>
    </row>
    <row r="1402" spans="1:13" x14ac:dyDescent="0.25">
      <c r="A1402" s="397"/>
      <c r="B1402" s="397"/>
      <c r="C1402" s="397"/>
      <c r="D1402" s="397"/>
      <c r="E1402" s="397"/>
      <c r="F1402" s="397"/>
      <c r="G1402" s="397"/>
      <c r="H1402" s="397"/>
      <c r="I1402" s="450"/>
      <c r="J1402" s="397"/>
      <c r="K1402" s="397"/>
      <c r="L1402" s="451"/>
      <c r="M1402" s="449"/>
    </row>
    <row r="1403" spans="1:13" x14ac:dyDescent="0.25">
      <c r="A1403" s="397"/>
      <c r="B1403" s="397"/>
      <c r="C1403" s="397"/>
      <c r="D1403" s="397"/>
      <c r="E1403" s="397"/>
      <c r="F1403" s="397"/>
      <c r="G1403" s="397"/>
      <c r="H1403" s="397"/>
      <c r="I1403" s="450"/>
      <c r="J1403" s="397"/>
      <c r="K1403" s="397"/>
      <c r="L1403" s="451"/>
      <c r="M1403" s="449"/>
    </row>
    <row r="1404" spans="1:13" x14ac:dyDescent="0.25">
      <c r="A1404" s="397"/>
      <c r="B1404" s="397"/>
      <c r="C1404" s="397"/>
      <c r="D1404" s="397"/>
      <c r="E1404" s="397"/>
      <c r="F1404" s="397"/>
      <c r="G1404" s="397"/>
      <c r="H1404" s="397"/>
      <c r="I1404" s="450"/>
      <c r="J1404" s="397"/>
      <c r="K1404" s="397"/>
      <c r="L1404" s="451"/>
      <c r="M1404" s="449"/>
    </row>
    <row r="1405" spans="1:13" x14ac:dyDescent="0.25">
      <c r="A1405" s="397"/>
      <c r="B1405" s="397"/>
      <c r="C1405" s="397"/>
      <c r="D1405" s="397"/>
      <c r="E1405" s="397"/>
      <c r="F1405" s="397"/>
      <c r="G1405" s="397"/>
      <c r="H1405" s="397"/>
      <c r="I1405" s="450"/>
      <c r="J1405" s="397"/>
      <c r="K1405" s="397"/>
      <c r="L1405" s="451"/>
      <c r="M1405" s="449"/>
    </row>
    <row r="1406" spans="1:13" x14ac:dyDescent="0.25">
      <c r="A1406" s="397"/>
      <c r="B1406" s="397"/>
      <c r="C1406" s="397"/>
      <c r="D1406" s="397"/>
      <c r="E1406" s="397"/>
      <c r="F1406" s="397"/>
      <c r="G1406" s="397"/>
      <c r="H1406" s="397"/>
      <c r="I1406" s="450"/>
      <c r="J1406" s="397"/>
      <c r="K1406" s="397"/>
      <c r="L1406" s="451"/>
      <c r="M1406" s="449"/>
    </row>
    <row r="1407" spans="1:13" x14ac:dyDescent="0.25">
      <c r="A1407" s="397"/>
      <c r="B1407" s="397"/>
      <c r="C1407" s="397"/>
      <c r="D1407" s="397"/>
      <c r="E1407" s="397"/>
      <c r="F1407" s="397"/>
      <c r="G1407" s="397"/>
      <c r="H1407" s="397"/>
      <c r="I1407" s="450"/>
      <c r="J1407" s="397"/>
      <c r="K1407" s="397"/>
      <c r="L1407" s="451"/>
      <c r="M1407" s="449"/>
    </row>
    <row r="1408" spans="1:13" x14ac:dyDescent="0.25">
      <c r="A1408" s="397"/>
      <c r="B1408" s="397"/>
      <c r="C1408" s="397"/>
      <c r="D1408" s="397"/>
      <c r="E1408" s="397"/>
      <c r="F1408" s="397"/>
      <c r="G1408" s="397"/>
      <c r="H1408" s="397"/>
      <c r="I1408" s="450"/>
      <c r="J1408" s="397"/>
      <c r="K1408" s="397"/>
      <c r="L1408" s="451"/>
      <c r="M1408" s="449"/>
    </row>
    <row r="1409" spans="1:13" x14ac:dyDescent="0.25">
      <c r="A1409" s="397"/>
      <c r="B1409" s="397"/>
      <c r="C1409" s="397"/>
      <c r="D1409" s="397"/>
      <c r="E1409" s="397"/>
      <c r="F1409" s="397"/>
      <c r="G1409" s="397"/>
      <c r="H1409" s="397"/>
      <c r="I1409" s="450"/>
      <c r="J1409" s="397"/>
      <c r="K1409" s="397"/>
      <c r="L1409" s="451"/>
      <c r="M1409" s="449"/>
    </row>
    <row r="1410" spans="1:13" x14ac:dyDescent="0.25">
      <c r="A1410" s="397"/>
      <c r="B1410" s="397"/>
      <c r="C1410" s="397"/>
      <c r="D1410" s="397"/>
      <c r="E1410" s="397"/>
      <c r="F1410" s="397"/>
      <c r="G1410" s="397"/>
      <c r="H1410" s="397"/>
      <c r="I1410" s="450"/>
      <c r="J1410" s="397"/>
      <c r="K1410" s="397"/>
      <c r="L1410" s="451"/>
      <c r="M1410" s="449"/>
    </row>
    <row r="1411" spans="1:13" x14ac:dyDescent="0.25">
      <c r="A1411" s="397"/>
      <c r="B1411" s="397"/>
      <c r="C1411" s="397"/>
      <c r="D1411" s="397"/>
      <c r="E1411" s="397"/>
      <c r="F1411" s="397"/>
      <c r="G1411" s="397"/>
      <c r="H1411" s="397"/>
      <c r="I1411" s="450"/>
      <c r="J1411" s="397"/>
      <c r="K1411" s="397"/>
      <c r="L1411" s="451"/>
      <c r="M1411" s="449"/>
    </row>
    <row r="1412" spans="1:13" x14ac:dyDescent="0.25">
      <c r="A1412" s="397"/>
      <c r="B1412" s="397"/>
      <c r="C1412" s="397"/>
      <c r="D1412" s="397"/>
      <c r="E1412" s="397"/>
      <c r="F1412" s="397"/>
      <c r="G1412" s="397"/>
      <c r="H1412" s="397"/>
      <c r="I1412" s="450"/>
      <c r="J1412" s="397"/>
      <c r="K1412" s="397"/>
      <c r="L1412" s="451"/>
      <c r="M1412" s="449"/>
    </row>
    <row r="1413" spans="1:13" x14ac:dyDescent="0.25">
      <c r="A1413" s="397"/>
      <c r="B1413" s="397"/>
      <c r="C1413" s="397"/>
      <c r="D1413" s="397"/>
      <c r="E1413" s="397"/>
      <c r="F1413" s="397"/>
      <c r="G1413" s="397"/>
      <c r="H1413" s="397"/>
      <c r="I1413" s="450"/>
      <c r="J1413" s="397"/>
      <c r="K1413" s="397"/>
      <c r="L1413" s="451"/>
      <c r="M1413" s="449"/>
    </row>
    <row r="1414" spans="1:13" x14ac:dyDescent="0.25">
      <c r="A1414" s="397"/>
      <c r="B1414" s="397"/>
      <c r="C1414" s="397"/>
      <c r="D1414" s="397"/>
      <c r="E1414" s="397"/>
      <c r="F1414" s="397"/>
      <c r="G1414" s="397"/>
      <c r="H1414" s="397"/>
      <c r="I1414" s="450"/>
      <c r="J1414" s="397"/>
      <c r="K1414" s="397"/>
      <c r="L1414" s="451"/>
      <c r="M1414" s="449"/>
    </row>
    <row r="1415" spans="1:13" x14ac:dyDescent="0.25">
      <c r="A1415" s="397"/>
      <c r="B1415" s="397"/>
      <c r="C1415" s="397"/>
      <c r="D1415" s="397"/>
      <c r="E1415" s="397"/>
      <c r="F1415" s="397"/>
      <c r="G1415" s="397"/>
      <c r="H1415" s="397"/>
      <c r="I1415" s="450"/>
      <c r="J1415" s="397"/>
      <c r="K1415" s="397"/>
      <c r="L1415" s="451"/>
      <c r="M1415" s="449"/>
    </row>
    <row r="1416" spans="1:13" x14ac:dyDescent="0.25">
      <c r="A1416" s="397"/>
      <c r="B1416" s="397"/>
      <c r="C1416" s="397"/>
      <c r="D1416" s="397"/>
      <c r="E1416" s="397"/>
      <c r="F1416" s="397"/>
      <c r="G1416" s="397"/>
      <c r="H1416" s="397"/>
      <c r="I1416" s="450"/>
      <c r="J1416" s="397"/>
      <c r="K1416" s="397"/>
      <c r="L1416" s="451"/>
      <c r="M1416" s="449"/>
    </row>
    <row r="1417" spans="1:13" x14ac:dyDescent="0.25">
      <c r="A1417" s="397"/>
      <c r="B1417" s="397"/>
      <c r="C1417" s="397"/>
      <c r="D1417" s="397"/>
      <c r="E1417" s="397"/>
      <c r="F1417" s="397"/>
      <c r="G1417" s="397"/>
      <c r="H1417" s="397"/>
      <c r="I1417" s="450"/>
      <c r="J1417" s="397"/>
      <c r="K1417" s="397"/>
      <c r="L1417" s="451"/>
      <c r="M1417" s="449"/>
    </row>
    <row r="1418" spans="1:13" x14ac:dyDescent="0.25">
      <c r="A1418" s="397"/>
      <c r="B1418" s="397"/>
      <c r="C1418" s="397"/>
      <c r="D1418" s="397"/>
      <c r="E1418" s="397"/>
      <c r="F1418" s="397"/>
      <c r="G1418" s="397"/>
      <c r="H1418" s="397"/>
      <c r="I1418" s="450"/>
      <c r="J1418" s="397"/>
      <c r="K1418" s="397"/>
      <c r="L1418" s="451"/>
      <c r="M1418" s="449"/>
    </row>
    <row r="1419" spans="1:13" x14ac:dyDescent="0.25">
      <c r="A1419" s="397"/>
      <c r="B1419" s="397"/>
      <c r="C1419" s="397"/>
      <c r="D1419" s="397"/>
      <c r="E1419" s="397"/>
      <c r="F1419" s="397"/>
      <c r="G1419" s="397"/>
      <c r="H1419" s="397"/>
      <c r="I1419" s="450"/>
      <c r="J1419" s="397"/>
      <c r="K1419" s="397"/>
      <c r="L1419" s="451"/>
      <c r="M1419" s="449"/>
    </row>
    <row r="1420" spans="1:13" x14ac:dyDescent="0.25">
      <c r="A1420" s="397"/>
      <c r="B1420" s="397"/>
      <c r="C1420" s="397"/>
      <c r="D1420" s="397"/>
      <c r="E1420" s="397"/>
      <c r="F1420" s="397"/>
      <c r="G1420" s="397"/>
      <c r="H1420" s="397"/>
      <c r="I1420" s="450"/>
      <c r="J1420" s="397"/>
      <c r="K1420" s="397"/>
      <c r="L1420" s="451"/>
      <c r="M1420" s="449"/>
    </row>
    <row r="1421" spans="1:13" x14ac:dyDescent="0.25">
      <c r="A1421" s="397"/>
      <c r="B1421" s="397"/>
      <c r="C1421" s="397"/>
      <c r="D1421" s="397"/>
      <c r="E1421" s="397"/>
      <c r="F1421" s="397"/>
      <c r="G1421" s="397"/>
      <c r="H1421" s="397"/>
      <c r="I1421" s="450"/>
      <c r="J1421" s="397"/>
      <c r="K1421" s="397"/>
      <c r="L1421" s="451"/>
      <c r="M1421" s="449"/>
    </row>
    <row r="1422" spans="1:13" x14ac:dyDescent="0.25">
      <c r="A1422" s="397"/>
      <c r="B1422" s="397"/>
      <c r="C1422" s="397"/>
      <c r="D1422" s="397"/>
      <c r="E1422" s="397"/>
      <c r="F1422" s="397"/>
      <c r="G1422" s="397"/>
      <c r="H1422" s="397"/>
      <c r="I1422" s="450"/>
      <c r="J1422" s="397"/>
      <c r="K1422" s="397"/>
      <c r="L1422" s="451"/>
      <c r="M1422" s="449"/>
    </row>
    <row r="1423" spans="1:13" x14ac:dyDescent="0.25">
      <c r="A1423" s="397"/>
      <c r="B1423" s="397"/>
      <c r="C1423" s="397"/>
      <c r="D1423" s="397"/>
      <c r="E1423" s="397"/>
      <c r="F1423" s="397"/>
      <c r="G1423" s="397"/>
      <c r="H1423" s="397"/>
      <c r="I1423" s="450"/>
      <c r="J1423" s="397"/>
      <c r="K1423" s="397"/>
      <c r="L1423" s="451"/>
      <c r="M1423" s="449"/>
    </row>
    <row r="1424" spans="1:13" x14ac:dyDescent="0.25">
      <c r="A1424" s="397"/>
      <c r="B1424" s="397"/>
      <c r="C1424" s="397"/>
      <c r="D1424" s="397"/>
      <c r="E1424" s="397"/>
      <c r="F1424" s="397"/>
      <c r="G1424" s="397"/>
      <c r="H1424" s="397"/>
      <c r="I1424" s="450"/>
      <c r="J1424" s="397"/>
      <c r="K1424" s="397"/>
      <c r="L1424" s="451"/>
      <c r="M1424" s="449"/>
    </row>
    <row r="1425" spans="1:13" x14ac:dyDescent="0.25">
      <c r="A1425" s="397"/>
      <c r="B1425" s="397"/>
      <c r="C1425" s="397"/>
      <c r="D1425" s="397"/>
      <c r="E1425" s="397"/>
      <c r="F1425" s="397"/>
      <c r="G1425" s="397"/>
      <c r="H1425" s="397"/>
      <c r="I1425" s="450"/>
      <c r="J1425" s="397"/>
      <c r="K1425" s="397"/>
      <c r="L1425" s="451"/>
      <c r="M1425" s="449"/>
    </row>
    <row r="1426" spans="1:13" x14ac:dyDescent="0.25">
      <c r="A1426" s="397"/>
      <c r="B1426" s="397"/>
      <c r="C1426" s="397"/>
      <c r="D1426" s="397"/>
      <c r="E1426" s="397"/>
      <c r="F1426" s="397"/>
      <c r="G1426" s="397"/>
      <c r="H1426" s="397"/>
      <c r="I1426" s="450"/>
      <c r="J1426" s="397"/>
      <c r="K1426" s="397"/>
      <c r="L1426" s="451"/>
      <c r="M1426" s="449"/>
    </row>
    <row r="1427" spans="1:13" x14ac:dyDescent="0.25">
      <c r="A1427" s="397"/>
      <c r="B1427" s="397"/>
      <c r="C1427" s="397"/>
      <c r="D1427" s="397"/>
      <c r="E1427" s="397"/>
      <c r="F1427" s="397"/>
      <c r="G1427" s="397"/>
      <c r="H1427" s="397"/>
      <c r="I1427" s="450"/>
      <c r="J1427" s="397"/>
      <c r="K1427" s="397"/>
      <c r="L1427" s="451"/>
      <c r="M1427" s="449"/>
    </row>
    <row r="1428" spans="1:13" x14ac:dyDescent="0.25">
      <c r="A1428" s="397"/>
      <c r="B1428" s="397"/>
      <c r="C1428" s="397"/>
      <c r="D1428" s="397"/>
      <c r="E1428" s="397"/>
      <c r="F1428" s="397"/>
      <c r="G1428" s="397"/>
      <c r="H1428" s="397"/>
      <c r="I1428" s="450"/>
      <c r="J1428" s="397"/>
      <c r="K1428" s="397"/>
      <c r="L1428" s="451"/>
      <c r="M1428" s="449"/>
    </row>
    <row r="1429" spans="1:13" x14ac:dyDescent="0.25">
      <c r="A1429" s="397"/>
      <c r="B1429" s="397"/>
      <c r="C1429" s="397"/>
      <c r="D1429" s="397"/>
      <c r="E1429" s="397"/>
      <c r="F1429" s="397"/>
      <c r="G1429" s="397"/>
      <c r="H1429" s="397"/>
      <c r="I1429" s="450"/>
      <c r="J1429" s="397"/>
      <c r="K1429" s="397"/>
      <c r="L1429" s="451"/>
      <c r="M1429" s="449"/>
    </row>
    <row r="1430" spans="1:13" x14ac:dyDescent="0.25">
      <c r="A1430" s="397"/>
      <c r="B1430" s="397"/>
      <c r="C1430" s="397"/>
      <c r="D1430" s="397"/>
      <c r="E1430" s="397"/>
      <c r="F1430" s="397"/>
      <c r="G1430" s="397"/>
      <c r="H1430" s="397"/>
      <c r="I1430" s="450"/>
      <c r="J1430" s="397"/>
      <c r="K1430" s="397"/>
      <c r="L1430" s="451"/>
      <c r="M1430" s="449"/>
    </row>
    <row r="1431" spans="1:13" x14ac:dyDescent="0.25">
      <c r="A1431" s="397"/>
      <c r="B1431" s="397"/>
      <c r="C1431" s="397"/>
      <c r="D1431" s="397"/>
      <c r="E1431" s="397"/>
      <c r="F1431" s="397"/>
      <c r="G1431" s="397"/>
      <c r="H1431" s="397"/>
      <c r="I1431" s="450"/>
      <c r="J1431" s="397"/>
      <c r="K1431" s="397"/>
      <c r="L1431" s="451"/>
      <c r="M1431" s="449"/>
    </row>
    <row r="1432" spans="1:13" x14ac:dyDescent="0.25">
      <c r="A1432" s="397"/>
      <c r="B1432" s="397"/>
      <c r="C1432" s="397"/>
      <c r="D1432" s="397"/>
      <c r="E1432" s="397"/>
      <c r="F1432" s="397"/>
      <c r="G1432" s="397"/>
      <c r="H1432" s="397"/>
      <c r="I1432" s="450"/>
      <c r="J1432" s="397"/>
      <c r="K1432" s="397"/>
      <c r="L1432" s="451"/>
      <c r="M1432" s="449"/>
    </row>
    <row r="1433" spans="1:13" x14ac:dyDescent="0.25">
      <c r="A1433" s="397"/>
      <c r="B1433" s="397"/>
      <c r="C1433" s="397"/>
      <c r="D1433" s="397"/>
      <c r="E1433" s="397"/>
      <c r="F1433" s="397"/>
      <c r="G1433" s="397"/>
      <c r="H1433" s="397"/>
      <c r="I1433" s="450"/>
      <c r="J1433" s="397"/>
      <c r="K1433" s="397"/>
      <c r="L1433" s="451"/>
      <c r="M1433" s="449"/>
    </row>
    <row r="1434" spans="1:13" x14ac:dyDescent="0.25">
      <c r="A1434" s="397"/>
      <c r="B1434" s="397"/>
      <c r="C1434" s="397"/>
      <c r="D1434" s="397"/>
      <c r="E1434" s="397"/>
      <c r="F1434" s="397"/>
      <c r="G1434" s="397"/>
      <c r="H1434" s="397"/>
      <c r="I1434" s="450"/>
      <c r="J1434" s="397"/>
      <c r="K1434" s="397"/>
      <c r="L1434" s="451"/>
      <c r="M1434" s="449"/>
    </row>
    <row r="1435" spans="1:13" x14ac:dyDescent="0.25">
      <c r="A1435" s="397"/>
      <c r="B1435" s="397"/>
      <c r="C1435" s="397"/>
      <c r="D1435" s="397"/>
      <c r="E1435" s="397"/>
      <c r="F1435" s="397"/>
      <c r="G1435" s="397"/>
      <c r="H1435" s="397"/>
      <c r="I1435" s="450"/>
      <c r="J1435" s="397"/>
      <c r="K1435" s="397"/>
      <c r="L1435" s="451"/>
      <c r="M1435" s="449"/>
    </row>
    <row r="1436" spans="1:13" x14ac:dyDescent="0.25">
      <c r="A1436" s="397"/>
      <c r="B1436" s="397"/>
      <c r="C1436" s="397"/>
      <c r="D1436" s="397"/>
      <c r="E1436" s="397"/>
      <c r="F1436" s="397"/>
      <c r="G1436" s="397"/>
      <c r="H1436" s="397"/>
      <c r="I1436" s="450"/>
      <c r="J1436" s="397"/>
      <c r="K1436" s="397"/>
      <c r="L1436" s="451"/>
      <c r="M1436" s="449"/>
    </row>
    <row r="1437" spans="1:13" x14ac:dyDescent="0.25">
      <c r="A1437" s="397"/>
      <c r="B1437" s="397"/>
      <c r="C1437" s="397"/>
      <c r="D1437" s="397"/>
      <c r="E1437" s="397"/>
      <c r="F1437" s="397"/>
      <c r="G1437" s="397"/>
      <c r="H1437" s="397"/>
      <c r="I1437" s="450"/>
      <c r="J1437" s="397"/>
      <c r="K1437" s="397"/>
      <c r="L1437" s="451"/>
      <c r="M1437" s="449"/>
    </row>
    <row r="1438" spans="1:13" x14ac:dyDescent="0.25">
      <c r="A1438" s="397"/>
      <c r="B1438" s="397"/>
      <c r="C1438" s="397"/>
      <c r="D1438" s="397"/>
      <c r="E1438" s="397"/>
      <c r="F1438" s="397"/>
      <c r="G1438" s="397"/>
      <c r="H1438" s="397"/>
      <c r="I1438" s="450"/>
      <c r="J1438" s="397"/>
      <c r="K1438" s="397"/>
      <c r="L1438" s="451"/>
      <c r="M1438" s="449"/>
    </row>
    <row r="1439" spans="1:13" x14ac:dyDescent="0.25">
      <c r="A1439" s="397"/>
      <c r="B1439" s="397"/>
      <c r="C1439" s="397"/>
      <c r="D1439" s="397"/>
      <c r="E1439" s="397"/>
      <c r="F1439" s="397"/>
      <c r="G1439" s="397"/>
      <c r="H1439" s="397"/>
      <c r="I1439" s="450"/>
      <c r="J1439" s="397"/>
      <c r="K1439" s="397"/>
      <c r="L1439" s="451"/>
      <c r="M1439" s="449"/>
    </row>
    <row r="1440" spans="1:13" x14ac:dyDescent="0.25">
      <c r="A1440" s="397"/>
      <c r="B1440" s="397"/>
      <c r="C1440" s="397"/>
      <c r="D1440" s="397"/>
      <c r="E1440" s="397"/>
      <c r="F1440" s="397"/>
      <c r="G1440" s="397"/>
      <c r="H1440" s="397"/>
      <c r="I1440" s="450"/>
      <c r="J1440" s="397"/>
      <c r="K1440" s="397"/>
      <c r="L1440" s="451"/>
      <c r="M1440" s="449"/>
    </row>
    <row r="1441" spans="1:13" x14ac:dyDescent="0.25">
      <c r="A1441" s="397"/>
      <c r="B1441" s="397"/>
      <c r="C1441" s="397"/>
      <c r="D1441" s="397"/>
      <c r="E1441" s="397"/>
      <c r="F1441" s="397"/>
      <c r="G1441" s="397"/>
      <c r="H1441" s="397"/>
      <c r="I1441" s="450"/>
      <c r="J1441" s="397"/>
      <c r="K1441" s="397"/>
      <c r="L1441" s="451"/>
      <c r="M1441" s="449"/>
    </row>
    <row r="1442" spans="1:13" x14ac:dyDescent="0.25">
      <c r="A1442" s="397"/>
      <c r="B1442" s="397"/>
      <c r="C1442" s="397"/>
      <c r="D1442" s="397"/>
      <c r="E1442" s="397"/>
      <c r="F1442" s="397"/>
      <c r="G1442" s="397"/>
      <c r="H1442" s="397"/>
      <c r="I1442" s="450"/>
      <c r="J1442" s="397"/>
      <c r="K1442" s="397"/>
      <c r="L1442" s="451"/>
      <c r="M1442" s="449"/>
    </row>
    <row r="1443" spans="1:13" x14ac:dyDescent="0.25">
      <c r="A1443" s="397"/>
      <c r="B1443" s="397"/>
      <c r="C1443" s="397"/>
      <c r="D1443" s="397"/>
      <c r="E1443" s="397"/>
      <c r="F1443" s="397"/>
      <c r="G1443" s="397"/>
      <c r="H1443" s="397"/>
      <c r="I1443" s="450"/>
      <c r="J1443" s="397"/>
      <c r="K1443" s="397"/>
      <c r="L1443" s="451"/>
      <c r="M1443" s="449"/>
    </row>
    <row r="1444" spans="1:13" x14ac:dyDescent="0.25">
      <c r="A1444" s="397"/>
      <c r="B1444" s="397"/>
      <c r="C1444" s="397"/>
      <c r="D1444" s="397"/>
      <c r="E1444" s="397"/>
      <c r="F1444" s="397"/>
      <c r="G1444" s="397"/>
      <c r="H1444" s="397"/>
      <c r="I1444" s="450"/>
      <c r="J1444" s="397"/>
      <c r="K1444" s="397"/>
      <c r="L1444" s="451"/>
      <c r="M1444" s="449"/>
    </row>
    <row r="1445" spans="1:13" x14ac:dyDescent="0.25">
      <c r="A1445" s="397"/>
      <c r="B1445" s="397"/>
      <c r="C1445" s="397"/>
      <c r="D1445" s="397"/>
      <c r="E1445" s="397"/>
      <c r="F1445" s="397"/>
      <c r="G1445" s="397"/>
      <c r="H1445" s="397"/>
      <c r="I1445" s="450"/>
      <c r="J1445" s="397"/>
      <c r="K1445" s="397"/>
      <c r="L1445" s="451"/>
      <c r="M1445" s="449"/>
    </row>
    <row r="1446" spans="1:13" x14ac:dyDescent="0.25">
      <c r="A1446" s="397"/>
      <c r="B1446" s="397"/>
      <c r="C1446" s="397"/>
      <c r="D1446" s="397"/>
      <c r="E1446" s="397"/>
      <c r="F1446" s="397"/>
      <c r="G1446" s="397"/>
      <c r="H1446" s="397"/>
      <c r="I1446" s="450"/>
      <c r="J1446" s="397"/>
      <c r="K1446" s="397"/>
      <c r="L1446" s="451"/>
      <c r="M1446" s="449"/>
    </row>
    <row r="1447" spans="1:13" x14ac:dyDescent="0.25">
      <c r="A1447" s="397"/>
      <c r="B1447" s="397"/>
      <c r="C1447" s="397"/>
      <c r="D1447" s="397"/>
      <c r="E1447" s="397"/>
      <c r="F1447" s="397"/>
      <c r="G1447" s="397"/>
      <c r="H1447" s="397"/>
      <c r="I1447" s="450"/>
      <c r="J1447" s="397"/>
      <c r="K1447" s="397"/>
      <c r="L1447" s="451"/>
      <c r="M1447" s="449"/>
    </row>
    <row r="1448" spans="1:13" x14ac:dyDescent="0.25">
      <c r="A1448" s="397"/>
      <c r="B1448" s="397"/>
      <c r="C1448" s="397"/>
      <c r="D1448" s="397"/>
      <c r="E1448" s="397"/>
      <c r="F1448" s="397"/>
      <c r="G1448" s="397"/>
      <c r="H1448" s="397"/>
      <c r="I1448" s="450"/>
      <c r="J1448" s="397"/>
      <c r="K1448" s="397"/>
      <c r="L1448" s="451"/>
      <c r="M1448" s="449"/>
    </row>
    <row r="1449" spans="1:13" x14ac:dyDescent="0.25">
      <c r="A1449" s="397"/>
      <c r="B1449" s="397"/>
      <c r="C1449" s="397"/>
      <c r="D1449" s="397"/>
      <c r="E1449" s="397"/>
      <c r="F1449" s="397"/>
      <c r="G1449" s="397"/>
      <c r="H1449" s="397"/>
      <c r="I1449" s="450"/>
      <c r="J1449" s="397"/>
      <c r="K1449" s="397"/>
      <c r="L1449" s="451"/>
      <c r="M1449" s="449"/>
    </row>
    <row r="1450" spans="1:13" x14ac:dyDescent="0.25">
      <c r="A1450" s="397"/>
      <c r="B1450" s="397"/>
      <c r="C1450" s="397"/>
      <c r="D1450" s="397"/>
      <c r="E1450" s="397"/>
      <c r="F1450" s="397"/>
      <c r="G1450" s="397"/>
      <c r="H1450" s="397"/>
      <c r="I1450" s="450"/>
      <c r="J1450" s="397"/>
      <c r="K1450" s="397"/>
      <c r="L1450" s="451"/>
      <c r="M1450" s="449"/>
    </row>
    <row r="1451" spans="1:13" x14ac:dyDescent="0.25">
      <c r="A1451" s="397"/>
      <c r="B1451" s="397"/>
      <c r="C1451" s="397"/>
      <c r="D1451" s="397"/>
      <c r="E1451" s="397"/>
      <c r="F1451" s="397"/>
      <c r="G1451" s="397"/>
      <c r="H1451" s="397"/>
      <c r="I1451" s="450"/>
      <c r="J1451" s="397"/>
      <c r="K1451" s="397"/>
      <c r="L1451" s="451"/>
      <c r="M1451" s="449"/>
    </row>
    <row r="1452" spans="1:13" x14ac:dyDescent="0.25">
      <c r="A1452" s="397"/>
      <c r="B1452" s="397"/>
      <c r="C1452" s="397"/>
      <c r="D1452" s="397"/>
      <c r="E1452" s="397"/>
      <c r="F1452" s="397"/>
      <c r="G1452" s="397"/>
      <c r="H1452" s="397"/>
      <c r="I1452" s="450"/>
      <c r="J1452" s="397"/>
      <c r="K1452" s="397"/>
      <c r="L1452" s="451"/>
      <c r="M1452" s="449"/>
    </row>
    <row r="1453" spans="1:13" x14ac:dyDescent="0.25">
      <c r="A1453" s="397"/>
      <c r="B1453" s="397"/>
      <c r="C1453" s="397"/>
      <c r="D1453" s="397"/>
      <c r="E1453" s="397"/>
      <c r="F1453" s="397"/>
      <c r="G1453" s="397"/>
      <c r="H1453" s="397"/>
      <c r="I1453" s="450"/>
      <c r="J1453" s="397"/>
      <c r="K1453" s="397"/>
      <c r="L1453" s="451"/>
      <c r="M1453" s="449"/>
    </row>
    <row r="1454" spans="1:13" x14ac:dyDescent="0.25">
      <c r="A1454" s="397"/>
      <c r="B1454" s="397"/>
      <c r="C1454" s="397"/>
      <c r="D1454" s="397"/>
      <c r="E1454" s="397"/>
      <c r="F1454" s="397"/>
      <c r="G1454" s="397"/>
      <c r="H1454" s="397"/>
      <c r="I1454" s="450"/>
      <c r="J1454" s="397"/>
      <c r="K1454" s="397"/>
      <c r="L1454" s="451"/>
      <c r="M1454" s="449"/>
    </row>
    <row r="1455" spans="1:13" x14ac:dyDescent="0.25">
      <c r="A1455" s="397"/>
      <c r="B1455" s="397"/>
      <c r="C1455" s="397"/>
      <c r="D1455" s="397"/>
      <c r="E1455" s="397"/>
      <c r="F1455" s="397"/>
      <c r="G1455" s="397"/>
      <c r="H1455" s="397"/>
      <c r="I1455" s="450"/>
      <c r="J1455" s="397"/>
      <c r="K1455" s="397"/>
      <c r="L1455" s="451"/>
      <c r="M1455" s="449"/>
    </row>
    <row r="1456" spans="1:13" x14ac:dyDescent="0.25">
      <c r="A1456" s="397"/>
      <c r="B1456" s="397"/>
      <c r="C1456" s="397"/>
      <c r="D1456" s="397"/>
      <c r="E1456" s="397"/>
      <c r="F1456" s="397"/>
      <c r="G1456" s="397"/>
      <c r="H1456" s="397"/>
      <c r="I1456" s="450"/>
      <c r="J1456" s="397"/>
      <c r="K1456" s="397"/>
      <c r="L1456" s="451"/>
      <c r="M1456" s="449"/>
    </row>
    <row r="1457" spans="1:13" x14ac:dyDescent="0.25">
      <c r="A1457" s="397"/>
      <c r="B1457" s="397"/>
      <c r="C1457" s="397"/>
      <c r="D1457" s="397"/>
      <c r="E1457" s="397"/>
      <c r="F1457" s="397"/>
      <c r="G1457" s="397"/>
      <c r="H1457" s="397"/>
      <c r="I1457" s="450"/>
      <c r="J1457" s="397"/>
      <c r="K1457" s="397"/>
      <c r="L1457" s="451"/>
      <c r="M1457" s="449"/>
    </row>
    <row r="1458" spans="1:13" x14ac:dyDescent="0.25">
      <c r="A1458" s="397"/>
      <c r="B1458" s="397"/>
      <c r="C1458" s="397"/>
      <c r="D1458" s="397"/>
      <c r="E1458" s="397"/>
      <c r="F1458" s="397"/>
      <c r="G1458" s="397"/>
      <c r="H1458" s="397"/>
      <c r="I1458" s="450"/>
      <c r="J1458" s="397"/>
      <c r="K1458" s="397"/>
      <c r="L1458" s="451"/>
      <c r="M1458" s="449"/>
    </row>
    <row r="1459" spans="1:13" x14ac:dyDescent="0.25">
      <c r="A1459" s="397"/>
      <c r="B1459" s="397"/>
      <c r="C1459" s="397"/>
      <c r="D1459" s="397"/>
      <c r="E1459" s="397"/>
      <c r="F1459" s="397"/>
      <c r="G1459" s="397"/>
      <c r="H1459" s="397"/>
      <c r="I1459" s="450"/>
      <c r="J1459" s="397"/>
      <c r="K1459" s="397"/>
      <c r="L1459" s="451"/>
      <c r="M1459" s="449"/>
    </row>
    <row r="1460" spans="1:13" x14ac:dyDescent="0.25">
      <c r="A1460" s="397"/>
      <c r="B1460" s="397"/>
      <c r="C1460" s="397"/>
      <c r="D1460" s="397"/>
      <c r="E1460" s="397"/>
      <c r="F1460" s="397"/>
      <c r="G1460" s="397"/>
      <c r="H1460" s="397"/>
      <c r="I1460" s="450"/>
      <c r="J1460" s="397"/>
      <c r="K1460" s="397"/>
      <c r="L1460" s="451"/>
      <c r="M1460" s="449"/>
    </row>
    <row r="1461" spans="1:13" x14ac:dyDescent="0.25">
      <c r="A1461" s="397"/>
      <c r="B1461" s="397"/>
      <c r="C1461" s="397"/>
      <c r="D1461" s="397"/>
      <c r="E1461" s="397"/>
      <c r="F1461" s="397"/>
      <c r="G1461" s="397"/>
      <c r="H1461" s="397"/>
      <c r="I1461" s="450"/>
      <c r="J1461" s="397"/>
      <c r="K1461" s="397"/>
      <c r="L1461" s="451"/>
      <c r="M1461" s="449"/>
    </row>
    <row r="1462" spans="1:13" x14ac:dyDescent="0.25">
      <c r="A1462" s="397"/>
      <c r="B1462" s="397"/>
      <c r="C1462" s="397"/>
      <c r="D1462" s="397"/>
      <c r="E1462" s="397"/>
      <c r="F1462" s="397"/>
      <c r="G1462" s="397"/>
      <c r="H1462" s="397"/>
      <c r="I1462" s="450"/>
      <c r="J1462" s="397"/>
      <c r="K1462" s="397"/>
      <c r="L1462" s="451"/>
      <c r="M1462" s="449"/>
    </row>
    <row r="1463" spans="1:13" x14ac:dyDescent="0.25">
      <c r="A1463" s="397"/>
      <c r="B1463" s="397"/>
      <c r="C1463" s="397"/>
      <c r="D1463" s="397"/>
      <c r="E1463" s="397"/>
      <c r="F1463" s="397"/>
      <c r="G1463" s="397"/>
      <c r="H1463" s="397"/>
      <c r="I1463" s="450"/>
      <c r="J1463" s="397"/>
      <c r="K1463" s="397"/>
      <c r="L1463" s="451"/>
      <c r="M1463" s="449"/>
    </row>
    <row r="1464" spans="1:13" x14ac:dyDescent="0.25">
      <c r="A1464" s="397"/>
      <c r="B1464" s="397"/>
      <c r="C1464" s="397"/>
      <c r="D1464" s="397"/>
      <c r="E1464" s="397"/>
      <c r="F1464" s="397"/>
      <c r="G1464" s="397"/>
      <c r="H1464" s="397"/>
      <c r="I1464" s="450"/>
      <c r="J1464" s="397"/>
      <c r="K1464" s="397"/>
      <c r="L1464" s="451"/>
      <c r="M1464" s="449"/>
    </row>
    <row r="1465" spans="1:13" x14ac:dyDescent="0.25">
      <c r="A1465" s="397"/>
      <c r="B1465" s="397"/>
      <c r="C1465" s="397"/>
      <c r="D1465" s="397"/>
      <c r="E1465" s="397"/>
      <c r="F1465" s="397"/>
      <c r="G1465" s="397"/>
      <c r="H1465" s="397"/>
      <c r="I1465" s="450"/>
      <c r="J1465" s="397"/>
      <c r="K1465" s="397"/>
      <c r="L1465" s="451"/>
      <c r="M1465" s="449"/>
    </row>
    <row r="1466" spans="1:13" x14ac:dyDescent="0.25">
      <c r="A1466" s="397"/>
      <c r="B1466" s="397"/>
      <c r="C1466" s="397"/>
      <c r="D1466" s="397"/>
      <c r="E1466" s="397"/>
      <c r="F1466" s="397"/>
      <c r="G1466" s="397"/>
      <c r="H1466" s="397"/>
      <c r="I1466" s="450"/>
      <c r="J1466" s="397"/>
      <c r="K1466" s="397"/>
      <c r="L1466" s="451"/>
      <c r="M1466" s="449"/>
    </row>
    <row r="1467" spans="1:13" x14ac:dyDescent="0.25">
      <c r="A1467" s="397"/>
      <c r="B1467" s="397"/>
      <c r="C1467" s="397"/>
      <c r="D1467" s="397"/>
      <c r="E1467" s="397"/>
      <c r="F1467" s="397"/>
      <c r="G1467" s="397"/>
      <c r="H1467" s="397"/>
      <c r="I1467" s="450"/>
      <c r="J1467" s="397"/>
      <c r="K1467" s="397"/>
      <c r="L1467" s="451"/>
      <c r="M1467" s="449"/>
    </row>
    <row r="1468" spans="1:13" x14ac:dyDescent="0.25">
      <c r="A1468" s="397"/>
      <c r="B1468" s="397"/>
      <c r="C1468" s="397"/>
      <c r="D1468" s="397"/>
      <c r="E1468" s="397"/>
      <c r="F1468" s="397"/>
      <c r="G1468" s="397"/>
      <c r="H1468" s="397"/>
      <c r="I1468" s="450"/>
      <c r="J1468" s="397"/>
      <c r="K1468" s="397"/>
      <c r="L1468" s="451"/>
      <c r="M1468" s="449"/>
    </row>
    <row r="1469" spans="1:13" x14ac:dyDescent="0.25">
      <c r="A1469" s="397"/>
      <c r="B1469" s="397"/>
      <c r="C1469" s="397"/>
      <c r="D1469" s="397"/>
      <c r="E1469" s="397"/>
      <c r="F1469" s="397"/>
      <c r="G1469" s="397"/>
      <c r="H1469" s="397"/>
      <c r="I1469" s="450"/>
      <c r="J1469" s="397"/>
      <c r="K1469" s="397"/>
      <c r="L1469" s="451"/>
      <c r="M1469" s="449"/>
    </row>
    <row r="1470" spans="1:13" x14ac:dyDescent="0.25">
      <c r="A1470" s="397"/>
      <c r="B1470" s="397"/>
      <c r="C1470" s="397"/>
      <c r="D1470" s="397"/>
      <c r="E1470" s="397"/>
      <c r="F1470" s="397"/>
      <c r="G1470" s="397"/>
      <c r="H1470" s="397"/>
      <c r="I1470" s="450"/>
      <c r="J1470" s="397"/>
      <c r="K1470" s="397"/>
      <c r="L1470" s="451"/>
      <c r="M1470" s="449"/>
    </row>
    <row r="1471" spans="1:13" x14ac:dyDescent="0.25">
      <c r="A1471" s="397"/>
      <c r="B1471" s="397"/>
      <c r="C1471" s="397"/>
      <c r="D1471" s="397"/>
      <c r="E1471" s="397"/>
      <c r="F1471" s="397"/>
      <c r="G1471" s="397"/>
      <c r="H1471" s="397"/>
      <c r="I1471" s="450"/>
      <c r="J1471" s="397"/>
      <c r="K1471" s="397"/>
      <c r="L1471" s="451"/>
      <c r="M1471" s="449"/>
    </row>
    <row r="1472" spans="1:13" x14ac:dyDescent="0.25">
      <c r="A1472" s="397"/>
      <c r="B1472" s="397"/>
      <c r="C1472" s="397"/>
      <c r="D1472" s="397"/>
      <c r="E1472" s="397"/>
      <c r="F1472" s="397"/>
      <c r="G1472" s="397"/>
      <c r="H1472" s="397"/>
      <c r="I1472" s="450"/>
      <c r="J1472" s="397"/>
      <c r="K1472" s="397"/>
      <c r="L1472" s="451"/>
      <c r="M1472" s="449"/>
    </row>
    <row r="1473" spans="1:13" x14ac:dyDescent="0.25">
      <c r="A1473" s="397"/>
      <c r="B1473" s="397"/>
      <c r="C1473" s="397"/>
      <c r="D1473" s="397"/>
      <c r="E1473" s="397"/>
      <c r="F1473" s="397"/>
      <c r="G1473" s="397"/>
      <c r="H1473" s="397"/>
      <c r="I1473" s="450"/>
      <c r="J1473" s="397"/>
      <c r="K1473" s="397"/>
      <c r="L1473" s="451"/>
      <c r="M1473" s="449"/>
    </row>
    <row r="1474" spans="1:13" x14ac:dyDescent="0.25">
      <c r="A1474" s="397"/>
      <c r="B1474" s="397"/>
      <c r="C1474" s="397"/>
      <c r="D1474" s="397"/>
      <c r="E1474" s="397"/>
      <c r="F1474" s="397"/>
      <c r="G1474" s="397"/>
      <c r="H1474" s="397"/>
      <c r="I1474" s="450"/>
      <c r="J1474" s="397"/>
      <c r="K1474" s="397"/>
      <c r="L1474" s="451"/>
      <c r="M1474" s="449"/>
    </row>
    <row r="1475" spans="1:13" x14ac:dyDescent="0.25">
      <c r="A1475" s="397"/>
      <c r="B1475" s="397"/>
      <c r="C1475" s="397"/>
      <c r="D1475" s="397"/>
      <c r="E1475" s="397"/>
      <c r="F1475" s="397"/>
      <c r="G1475" s="397"/>
      <c r="H1475" s="397"/>
      <c r="I1475" s="450"/>
      <c r="J1475" s="397"/>
      <c r="K1475" s="397"/>
      <c r="L1475" s="451"/>
      <c r="M1475" s="449"/>
    </row>
    <row r="1476" spans="1:13" x14ac:dyDescent="0.25">
      <c r="A1476" s="397"/>
      <c r="B1476" s="397"/>
      <c r="C1476" s="397"/>
      <c r="D1476" s="397"/>
      <c r="E1476" s="397"/>
      <c r="F1476" s="397"/>
      <c r="G1476" s="397"/>
      <c r="H1476" s="397"/>
      <c r="I1476" s="450"/>
      <c r="J1476" s="397"/>
      <c r="K1476" s="397"/>
      <c r="L1476" s="451"/>
      <c r="M1476" s="449"/>
    </row>
    <row r="1477" spans="1:13" x14ac:dyDescent="0.25">
      <c r="A1477" s="397"/>
      <c r="B1477" s="397"/>
      <c r="C1477" s="397"/>
      <c r="D1477" s="397"/>
      <c r="E1477" s="397"/>
      <c r="F1477" s="397"/>
      <c r="G1477" s="397"/>
      <c r="H1477" s="397"/>
      <c r="I1477" s="450"/>
      <c r="J1477" s="397"/>
      <c r="K1477" s="397"/>
      <c r="L1477" s="451"/>
      <c r="M1477" s="449"/>
    </row>
    <row r="1478" spans="1:13" x14ac:dyDescent="0.25">
      <c r="A1478" s="397"/>
      <c r="B1478" s="397"/>
      <c r="C1478" s="397"/>
      <c r="D1478" s="397"/>
      <c r="E1478" s="397"/>
      <c r="F1478" s="397"/>
      <c r="G1478" s="397"/>
      <c r="H1478" s="397"/>
      <c r="I1478" s="450"/>
      <c r="J1478" s="397"/>
      <c r="K1478" s="397"/>
      <c r="L1478" s="451"/>
      <c r="M1478" s="449"/>
    </row>
    <row r="1479" spans="1:13" x14ac:dyDescent="0.25">
      <c r="A1479" s="397"/>
      <c r="B1479" s="397"/>
      <c r="C1479" s="397"/>
      <c r="D1479" s="397"/>
      <c r="E1479" s="397"/>
      <c r="F1479" s="397"/>
      <c r="G1479" s="397"/>
      <c r="H1479" s="397"/>
      <c r="I1479" s="450"/>
      <c r="J1479" s="397"/>
      <c r="K1479" s="397"/>
      <c r="L1479" s="451"/>
      <c r="M1479" s="449"/>
    </row>
    <row r="1480" spans="1:13" x14ac:dyDescent="0.25">
      <c r="A1480" s="397"/>
      <c r="B1480" s="397"/>
      <c r="C1480" s="397"/>
      <c r="D1480" s="397"/>
      <c r="E1480" s="397"/>
      <c r="F1480" s="397"/>
      <c r="G1480" s="397"/>
      <c r="H1480" s="397"/>
      <c r="I1480" s="450"/>
      <c r="J1480" s="397"/>
      <c r="K1480" s="397"/>
      <c r="L1480" s="451"/>
      <c r="M1480" s="449"/>
    </row>
    <row r="1481" spans="1:13" x14ac:dyDescent="0.25">
      <c r="A1481" s="397"/>
      <c r="B1481" s="397"/>
      <c r="C1481" s="397"/>
      <c r="D1481" s="397"/>
      <c r="E1481" s="397"/>
      <c r="F1481" s="397"/>
      <c r="G1481" s="397"/>
      <c r="H1481" s="397"/>
      <c r="I1481" s="450"/>
      <c r="J1481" s="397"/>
      <c r="K1481" s="397"/>
      <c r="L1481" s="451"/>
      <c r="M1481" s="449"/>
    </row>
    <row r="1482" spans="1:13" x14ac:dyDescent="0.25">
      <c r="A1482" s="397"/>
      <c r="B1482" s="397"/>
      <c r="C1482" s="397"/>
      <c r="D1482" s="397"/>
      <c r="E1482" s="397"/>
      <c r="F1482" s="397"/>
      <c r="G1482" s="397"/>
      <c r="H1482" s="397"/>
      <c r="I1482" s="450"/>
      <c r="J1482" s="397"/>
      <c r="K1482" s="397"/>
      <c r="L1482" s="451"/>
      <c r="M1482" s="449"/>
    </row>
    <row r="1483" spans="1:13" x14ac:dyDescent="0.25">
      <c r="A1483" s="397"/>
      <c r="B1483" s="397"/>
      <c r="C1483" s="397"/>
      <c r="D1483" s="397"/>
      <c r="E1483" s="397"/>
      <c r="F1483" s="397"/>
      <c r="G1483" s="397"/>
      <c r="H1483" s="397"/>
      <c r="I1483" s="450"/>
      <c r="J1483" s="397"/>
      <c r="K1483" s="397"/>
      <c r="L1483" s="451"/>
      <c r="M1483" s="449"/>
    </row>
    <row r="1484" spans="1:13" x14ac:dyDescent="0.25">
      <c r="A1484" s="397"/>
      <c r="B1484" s="397"/>
      <c r="C1484" s="397"/>
      <c r="D1484" s="397"/>
      <c r="E1484" s="397"/>
      <c r="F1484" s="397"/>
      <c r="G1484" s="397"/>
      <c r="H1484" s="397"/>
      <c r="I1484" s="450"/>
      <c r="J1484" s="397"/>
      <c r="K1484" s="397"/>
      <c r="L1484" s="451"/>
      <c r="M1484" s="449"/>
    </row>
    <row r="1485" spans="1:13" x14ac:dyDescent="0.25">
      <c r="A1485" s="397"/>
      <c r="B1485" s="397"/>
      <c r="C1485" s="397"/>
      <c r="D1485" s="397"/>
      <c r="E1485" s="397"/>
      <c r="F1485" s="397"/>
      <c r="G1485" s="397"/>
      <c r="H1485" s="397"/>
      <c r="I1485" s="450"/>
      <c r="J1485" s="397"/>
      <c r="K1485" s="397"/>
      <c r="L1485" s="451"/>
      <c r="M1485" s="449"/>
    </row>
    <row r="1486" spans="1:13" x14ac:dyDescent="0.25">
      <c r="A1486" s="397"/>
      <c r="B1486" s="397"/>
      <c r="C1486" s="397"/>
      <c r="D1486" s="397"/>
      <c r="E1486" s="397"/>
      <c r="F1486" s="397"/>
      <c r="G1486" s="397"/>
      <c r="H1486" s="397"/>
      <c r="I1486" s="450"/>
      <c r="J1486" s="397"/>
      <c r="K1486" s="397"/>
      <c r="L1486" s="451"/>
      <c r="M1486" s="449"/>
    </row>
    <row r="1487" spans="1:13" x14ac:dyDescent="0.25">
      <c r="A1487" s="397"/>
      <c r="B1487" s="397"/>
      <c r="C1487" s="397"/>
      <c r="D1487" s="397"/>
      <c r="E1487" s="397"/>
      <c r="F1487" s="397"/>
      <c r="G1487" s="397"/>
      <c r="H1487" s="397"/>
      <c r="I1487" s="450"/>
      <c r="J1487" s="397"/>
      <c r="K1487" s="397"/>
      <c r="L1487" s="451"/>
      <c r="M1487" s="449"/>
    </row>
    <row r="1488" spans="1:13" x14ac:dyDescent="0.25">
      <c r="A1488" s="397"/>
      <c r="B1488" s="397"/>
      <c r="C1488" s="397"/>
      <c r="D1488" s="397"/>
      <c r="E1488" s="397"/>
      <c r="F1488" s="397"/>
      <c r="G1488" s="397"/>
      <c r="H1488" s="397"/>
      <c r="I1488" s="450"/>
      <c r="J1488" s="397"/>
      <c r="K1488" s="397"/>
      <c r="L1488" s="451"/>
      <c r="M1488" s="449"/>
    </row>
    <row r="1489" spans="1:13" x14ac:dyDescent="0.25">
      <c r="A1489" s="397"/>
      <c r="B1489" s="397"/>
      <c r="C1489" s="397"/>
      <c r="D1489" s="397"/>
      <c r="E1489" s="397"/>
      <c r="F1489" s="397"/>
      <c r="G1489" s="397"/>
      <c r="H1489" s="397"/>
      <c r="I1489" s="450"/>
      <c r="J1489" s="397"/>
      <c r="K1489" s="397"/>
      <c r="L1489" s="451"/>
      <c r="M1489" s="449"/>
    </row>
    <row r="1490" spans="1:13" x14ac:dyDescent="0.25">
      <c r="A1490" s="397"/>
      <c r="B1490" s="397"/>
      <c r="C1490" s="397"/>
      <c r="D1490" s="397"/>
      <c r="E1490" s="397"/>
      <c r="F1490" s="397"/>
      <c r="G1490" s="397"/>
      <c r="H1490" s="397"/>
      <c r="I1490" s="450"/>
      <c r="J1490" s="397"/>
      <c r="K1490" s="397"/>
      <c r="L1490" s="451"/>
      <c r="M1490" s="449"/>
    </row>
    <row r="1491" spans="1:13" x14ac:dyDescent="0.25">
      <c r="A1491" s="397"/>
      <c r="B1491" s="397"/>
      <c r="C1491" s="397"/>
      <c r="D1491" s="397"/>
      <c r="E1491" s="397"/>
      <c r="F1491" s="397"/>
      <c r="G1491" s="397"/>
      <c r="H1491" s="397"/>
      <c r="I1491" s="450"/>
      <c r="J1491" s="397"/>
      <c r="K1491" s="397"/>
      <c r="L1491" s="451"/>
      <c r="M1491" s="449"/>
    </row>
    <row r="1492" spans="1:13" x14ac:dyDescent="0.25">
      <c r="A1492" s="397"/>
      <c r="B1492" s="397"/>
      <c r="C1492" s="397"/>
      <c r="D1492" s="397"/>
      <c r="E1492" s="397"/>
      <c r="F1492" s="397"/>
      <c r="G1492" s="397"/>
      <c r="H1492" s="397"/>
      <c r="I1492" s="450"/>
      <c r="J1492" s="397"/>
      <c r="K1492" s="397"/>
      <c r="L1492" s="451"/>
      <c r="M1492" s="449"/>
    </row>
    <row r="1493" spans="1:13" x14ac:dyDescent="0.25">
      <c r="A1493" s="397"/>
      <c r="B1493" s="397"/>
      <c r="C1493" s="397"/>
      <c r="D1493" s="397"/>
      <c r="E1493" s="397"/>
      <c r="F1493" s="397"/>
      <c r="G1493" s="397"/>
      <c r="H1493" s="397"/>
      <c r="I1493" s="450"/>
      <c r="J1493" s="397"/>
      <c r="K1493" s="397"/>
      <c r="L1493" s="451"/>
      <c r="M1493" s="449"/>
    </row>
    <row r="1494" spans="1:13" x14ac:dyDescent="0.25">
      <c r="A1494" s="397"/>
      <c r="B1494" s="397"/>
      <c r="C1494" s="397"/>
      <c r="D1494" s="397"/>
      <c r="E1494" s="397"/>
      <c r="F1494" s="397"/>
      <c r="G1494" s="397"/>
      <c r="H1494" s="397"/>
      <c r="I1494" s="450"/>
      <c r="J1494" s="397"/>
      <c r="K1494" s="397"/>
      <c r="L1494" s="451"/>
      <c r="M1494" s="449"/>
    </row>
    <row r="1495" spans="1:13" x14ac:dyDescent="0.25">
      <c r="A1495" s="397"/>
      <c r="B1495" s="397"/>
      <c r="C1495" s="397"/>
      <c r="D1495" s="397"/>
      <c r="E1495" s="397"/>
      <c r="F1495" s="397"/>
      <c r="G1495" s="397"/>
      <c r="H1495" s="397"/>
      <c r="I1495" s="450"/>
      <c r="J1495" s="397"/>
      <c r="K1495" s="397"/>
      <c r="L1495" s="451"/>
      <c r="M1495" s="449"/>
    </row>
    <row r="1496" spans="1:13" x14ac:dyDescent="0.25">
      <c r="A1496" s="397"/>
      <c r="B1496" s="397"/>
      <c r="C1496" s="397"/>
      <c r="D1496" s="397"/>
      <c r="E1496" s="397"/>
      <c r="F1496" s="397"/>
      <c r="G1496" s="397"/>
      <c r="H1496" s="397"/>
      <c r="I1496" s="450"/>
      <c r="J1496" s="397"/>
      <c r="K1496" s="397"/>
      <c r="L1496" s="451"/>
      <c r="M1496" s="449"/>
    </row>
    <row r="1497" spans="1:13" x14ac:dyDescent="0.25">
      <c r="A1497" s="397"/>
      <c r="B1497" s="397"/>
      <c r="C1497" s="397"/>
      <c r="D1497" s="397"/>
      <c r="E1497" s="397"/>
      <c r="F1497" s="397"/>
      <c r="G1497" s="397"/>
      <c r="H1497" s="397"/>
      <c r="I1497" s="450"/>
      <c r="J1497" s="397"/>
      <c r="K1497" s="397"/>
      <c r="L1497" s="451"/>
      <c r="M1497" s="449"/>
    </row>
    <row r="1498" spans="1:13" x14ac:dyDescent="0.25">
      <c r="A1498" s="397"/>
      <c r="B1498" s="397"/>
      <c r="C1498" s="397"/>
      <c r="D1498" s="397"/>
      <c r="E1498" s="397"/>
      <c r="F1498" s="397"/>
      <c r="G1498" s="397"/>
      <c r="H1498" s="397"/>
      <c r="I1498" s="450"/>
      <c r="J1498" s="397"/>
      <c r="K1498" s="397"/>
      <c r="L1498" s="451"/>
      <c r="M1498" s="449"/>
    </row>
    <row r="1499" spans="1:13" x14ac:dyDescent="0.25">
      <c r="A1499" s="397"/>
      <c r="B1499" s="397"/>
      <c r="C1499" s="397"/>
      <c r="D1499" s="397"/>
      <c r="E1499" s="397"/>
      <c r="F1499" s="397"/>
      <c r="G1499" s="397"/>
      <c r="H1499" s="397"/>
      <c r="I1499" s="450"/>
      <c r="J1499" s="397"/>
      <c r="K1499" s="397"/>
      <c r="L1499" s="451"/>
      <c r="M1499" s="449"/>
    </row>
    <row r="1500" spans="1:13" x14ac:dyDescent="0.25">
      <c r="A1500" s="397"/>
      <c r="B1500" s="397"/>
      <c r="C1500" s="397"/>
      <c r="D1500" s="397"/>
      <c r="E1500" s="397"/>
      <c r="F1500" s="397"/>
      <c r="G1500" s="397"/>
      <c r="H1500" s="397"/>
      <c r="I1500" s="450"/>
      <c r="J1500" s="397"/>
      <c r="K1500" s="397"/>
      <c r="L1500" s="451"/>
      <c r="M1500" s="449"/>
    </row>
    <row r="1501" spans="1:13" x14ac:dyDescent="0.25">
      <c r="A1501" s="397"/>
      <c r="B1501" s="397"/>
      <c r="C1501" s="397"/>
      <c r="D1501" s="397"/>
      <c r="E1501" s="397"/>
      <c r="F1501" s="397"/>
      <c r="G1501" s="397"/>
      <c r="H1501" s="397"/>
      <c r="I1501" s="450"/>
      <c r="J1501" s="397"/>
      <c r="K1501" s="397"/>
      <c r="L1501" s="451"/>
      <c r="M1501" s="449"/>
    </row>
    <row r="1502" spans="1:13" x14ac:dyDescent="0.25">
      <c r="A1502" s="397"/>
      <c r="B1502" s="397"/>
      <c r="C1502" s="397"/>
      <c r="D1502" s="397"/>
      <c r="E1502" s="397"/>
      <c r="F1502" s="397"/>
      <c r="G1502" s="397"/>
      <c r="H1502" s="397"/>
      <c r="I1502" s="450"/>
      <c r="J1502" s="397"/>
      <c r="K1502" s="397"/>
      <c r="L1502" s="451"/>
      <c r="M1502" s="449"/>
    </row>
    <row r="1503" spans="1:13" x14ac:dyDescent="0.25">
      <c r="A1503" s="397"/>
      <c r="B1503" s="397"/>
      <c r="C1503" s="397"/>
      <c r="D1503" s="397"/>
      <c r="E1503" s="397"/>
      <c r="F1503" s="397"/>
      <c r="G1503" s="397"/>
      <c r="H1503" s="397"/>
      <c r="I1503" s="450"/>
      <c r="J1503" s="397"/>
      <c r="K1503" s="397"/>
      <c r="L1503" s="451"/>
      <c r="M1503" s="449"/>
    </row>
    <row r="1504" spans="1:13" x14ac:dyDescent="0.25">
      <c r="A1504" s="397"/>
      <c r="B1504" s="397"/>
      <c r="C1504" s="397"/>
      <c r="D1504" s="397"/>
      <c r="E1504" s="397"/>
      <c r="F1504" s="397"/>
      <c r="G1504" s="397"/>
      <c r="H1504" s="397"/>
      <c r="I1504" s="450"/>
      <c r="J1504" s="397"/>
      <c r="K1504" s="397"/>
      <c r="L1504" s="451"/>
      <c r="M1504" s="449"/>
    </row>
    <row r="1505" spans="1:13" x14ac:dyDescent="0.25">
      <c r="A1505" s="397"/>
      <c r="B1505" s="397"/>
      <c r="C1505" s="397"/>
      <c r="D1505" s="397"/>
      <c r="E1505" s="397"/>
      <c r="F1505" s="397"/>
      <c r="G1505" s="397"/>
      <c r="H1505" s="397"/>
      <c r="I1505" s="450"/>
      <c r="J1505" s="397"/>
      <c r="K1505" s="397"/>
      <c r="L1505" s="451"/>
      <c r="M1505" s="449"/>
    </row>
    <row r="1506" spans="1:13" x14ac:dyDescent="0.25">
      <c r="A1506" s="397"/>
      <c r="B1506" s="397"/>
      <c r="C1506" s="397"/>
      <c r="D1506" s="397"/>
      <c r="E1506" s="397"/>
      <c r="F1506" s="397"/>
      <c r="G1506" s="397"/>
      <c r="H1506" s="397"/>
      <c r="I1506" s="450"/>
      <c r="J1506" s="397"/>
      <c r="K1506" s="397"/>
      <c r="L1506" s="451"/>
      <c r="M1506" s="449"/>
    </row>
    <row r="1507" spans="1:13" x14ac:dyDescent="0.25">
      <c r="A1507" s="397"/>
      <c r="B1507" s="397"/>
      <c r="C1507" s="397"/>
      <c r="D1507" s="397"/>
      <c r="E1507" s="397"/>
      <c r="F1507" s="397"/>
      <c r="G1507" s="397"/>
      <c r="H1507" s="397"/>
      <c r="I1507" s="450"/>
      <c r="J1507" s="397"/>
      <c r="K1507" s="397"/>
      <c r="L1507" s="451"/>
      <c r="M1507" s="449"/>
    </row>
    <row r="1508" spans="1:13" x14ac:dyDescent="0.25">
      <c r="A1508" s="397"/>
      <c r="B1508" s="397"/>
      <c r="C1508" s="397"/>
      <c r="D1508" s="397"/>
      <c r="E1508" s="397"/>
      <c r="F1508" s="397"/>
      <c r="G1508" s="397"/>
      <c r="H1508" s="397"/>
      <c r="I1508" s="450"/>
      <c r="J1508" s="397"/>
      <c r="K1508" s="397"/>
      <c r="L1508" s="451"/>
      <c r="M1508" s="449"/>
    </row>
    <row r="1509" spans="1:13" x14ac:dyDescent="0.25">
      <c r="A1509" s="397"/>
      <c r="B1509" s="397"/>
      <c r="C1509" s="397"/>
      <c r="D1509" s="397"/>
      <c r="E1509" s="397"/>
      <c r="F1509" s="397"/>
      <c r="G1509" s="397"/>
      <c r="H1509" s="397"/>
      <c r="I1509" s="450"/>
      <c r="J1509" s="397"/>
      <c r="K1509" s="397"/>
      <c r="L1509" s="451"/>
      <c r="M1509" s="449"/>
    </row>
    <row r="1510" spans="1:13" x14ac:dyDescent="0.25">
      <c r="A1510" s="397"/>
      <c r="B1510" s="397"/>
      <c r="C1510" s="397"/>
      <c r="D1510" s="397"/>
      <c r="E1510" s="397"/>
      <c r="F1510" s="397"/>
      <c r="G1510" s="397"/>
      <c r="H1510" s="397"/>
      <c r="I1510" s="450"/>
      <c r="J1510" s="397"/>
      <c r="K1510" s="397"/>
      <c r="L1510" s="451"/>
      <c r="M1510" s="449"/>
    </row>
    <row r="1511" spans="1:13" x14ac:dyDescent="0.25">
      <c r="A1511" s="397"/>
      <c r="B1511" s="397"/>
      <c r="C1511" s="397"/>
      <c r="D1511" s="397"/>
      <c r="E1511" s="397"/>
      <c r="F1511" s="397"/>
      <c r="G1511" s="397"/>
      <c r="H1511" s="397"/>
      <c r="I1511" s="450"/>
      <c r="J1511" s="397"/>
      <c r="K1511" s="397"/>
      <c r="L1511" s="451"/>
      <c r="M1511" s="449"/>
    </row>
    <row r="1512" spans="1:13" x14ac:dyDescent="0.25">
      <c r="A1512" s="397"/>
      <c r="B1512" s="397"/>
      <c r="C1512" s="397"/>
      <c r="D1512" s="397"/>
      <c r="E1512" s="397"/>
      <c r="F1512" s="397"/>
      <c r="G1512" s="397"/>
      <c r="H1512" s="397"/>
      <c r="I1512" s="450"/>
      <c r="J1512" s="397"/>
      <c r="K1512" s="397"/>
      <c r="L1512" s="451"/>
      <c r="M1512" s="449"/>
    </row>
    <row r="1513" spans="1:13" x14ac:dyDescent="0.25">
      <c r="A1513" s="397"/>
      <c r="B1513" s="397"/>
      <c r="C1513" s="397"/>
      <c r="D1513" s="397"/>
      <c r="E1513" s="397"/>
      <c r="F1513" s="397"/>
      <c r="G1513" s="397"/>
      <c r="H1513" s="397"/>
      <c r="I1513" s="450"/>
      <c r="J1513" s="397"/>
      <c r="K1513" s="397"/>
      <c r="L1513" s="451"/>
      <c r="M1513" s="449"/>
    </row>
    <row r="1514" spans="1:13" x14ac:dyDescent="0.25">
      <c r="A1514" s="397"/>
      <c r="B1514" s="397"/>
      <c r="C1514" s="397"/>
      <c r="D1514" s="397"/>
      <c r="E1514" s="397"/>
      <c r="F1514" s="397"/>
      <c r="G1514" s="397"/>
      <c r="H1514" s="397"/>
      <c r="I1514" s="450"/>
      <c r="J1514" s="397"/>
      <c r="K1514" s="397"/>
      <c r="L1514" s="451"/>
      <c r="M1514" s="449"/>
    </row>
    <row r="1515" spans="1:13" x14ac:dyDescent="0.25">
      <c r="A1515" s="397"/>
      <c r="B1515" s="397"/>
      <c r="C1515" s="397"/>
      <c r="D1515" s="397"/>
      <c r="E1515" s="397"/>
      <c r="F1515" s="397"/>
      <c r="G1515" s="397"/>
      <c r="H1515" s="397"/>
      <c r="I1515" s="450"/>
      <c r="J1515" s="397"/>
      <c r="K1515" s="397"/>
      <c r="L1515" s="451"/>
      <c r="M1515" s="449"/>
    </row>
    <row r="1516" spans="1:13" x14ac:dyDescent="0.25">
      <c r="A1516" s="397"/>
      <c r="B1516" s="397"/>
      <c r="C1516" s="397"/>
      <c r="D1516" s="397"/>
      <c r="E1516" s="397"/>
      <c r="F1516" s="397"/>
      <c r="G1516" s="397"/>
      <c r="H1516" s="397"/>
      <c r="I1516" s="450"/>
      <c r="J1516" s="397"/>
      <c r="K1516" s="397"/>
      <c r="L1516" s="451"/>
      <c r="M1516" s="449"/>
    </row>
    <row r="1517" spans="1:13" x14ac:dyDescent="0.25">
      <c r="A1517" s="397"/>
      <c r="B1517" s="397"/>
      <c r="C1517" s="397"/>
      <c r="D1517" s="397"/>
      <c r="E1517" s="397"/>
      <c r="F1517" s="397"/>
      <c r="G1517" s="397"/>
      <c r="H1517" s="397"/>
      <c r="I1517" s="450"/>
      <c r="J1517" s="397"/>
      <c r="K1517" s="397"/>
      <c r="L1517" s="451"/>
      <c r="M1517" s="449"/>
    </row>
    <row r="1518" spans="1:13" x14ac:dyDescent="0.25">
      <c r="A1518" s="397"/>
      <c r="B1518" s="397"/>
      <c r="C1518" s="397"/>
      <c r="D1518" s="397"/>
      <c r="E1518" s="397"/>
      <c r="F1518" s="397"/>
      <c r="G1518" s="397"/>
      <c r="H1518" s="397"/>
      <c r="I1518" s="450"/>
      <c r="J1518" s="397"/>
      <c r="K1518" s="397"/>
      <c r="L1518" s="451"/>
      <c r="M1518" s="449"/>
    </row>
    <row r="1519" spans="1:13" x14ac:dyDescent="0.25">
      <c r="A1519" s="397"/>
      <c r="B1519" s="397"/>
      <c r="C1519" s="397"/>
      <c r="D1519" s="397"/>
      <c r="E1519" s="397"/>
      <c r="F1519" s="397"/>
      <c r="G1519" s="397"/>
      <c r="H1519" s="397"/>
      <c r="I1519" s="450"/>
      <c r="J1519" s="397"/>
      <c r="K1519" s="397"/>
      <c r="L1519" s="451"/>
      <c r="M1519" s="449"/>
    </row>
    <row r="1520" spans="1:13" x14ac:dyDescent="0.25">
      <c r="A1520" s="397"/>
      <c r="B1520" s="397"/>
      <c r="C1520" s="397"/>
      <c r="D1520" s="397"/>
      <c r="E1520" s="397"/>
      <c r="F1520" s="397"/>
      <c r="G1520" s="397"/>
      <c r="H1520" s="397"/>
      <c r="I1520" s="450"/>
      <c r="J1520" s="397"/>
      <c r="K1520" s="397"/>
      <c r="L1520" s="451"/>
      <c r="M1520" s="449"/>
    </row>
    <row r="1521" spans="1:13" x14ac:dyDescent="0.25">
      <c r="A1521" s="397"/>
      <c r="B1521" s="397"/>
      <c r="C1521" s="397"/>
      <c r="D1521" s="397"/>
      <c r="E1521" s="397"/>
      <c r="F1521" s="397"/>
      <c r="G1521" s="397"/>
      <c r="H1521" s="397"/>
      <c r="I1521" s="450"/>
      <c r="J1521" s="397"/>
      <c r="K1521" s="397"/>
      <c r="L1521" s="451"/>
      <c r="M1521" s="449"/>
    </row>
    <row r="1522" spans="1:13" x14ac:dyDescent="0.25">
      <c r="A1522" s="397"/>
      <c r="B1522" s="397"/>
      <c r="C1522" s="397"/>
      <c r="D1522" s="397"/>
      <c r="E1522" s="397"/>
      <c r="F1522" s="397"/>
      <c r="G1522" s="397"/>
      <c r="H1522" s="397"/>
      <c r="I1522" s="450"/>
      <c r="J1522" s="397"/>
      <c r="K1522" s="397"/>
      <c r="L1522" s="451"/>
      <c r="M1522" s="449"/>
    </row>
    <row r="1523" spans="1:13" x14ac:dyDescent="0.25">
      <c r="A1523" s="397"/>
      <c r="B1523" s="397"/>
      <c r="C1523" s="397"/>
      <c r="D1523" s="397"/>
      <c r="E1523" s="397"/>
      <c r="F1523" s="397"/>
      <c r="G1523" s="397"/>
      <c r="H1523" s="397"/>
      <c r="I1523" s="450"/>
      <c r="J1523" s="397"/>
      <c r="K1523" s="397"/>
      <c r="L1523" s="451"/>
      <c r="M1523" s="449"/>
    </row>
    <row r="1524" spans="1:13" x14ac:dyDescent="0.25">
      <c r="A1524" s="397"/>
      <c r="B1524" s="397"/>
      <c r="C1524" s="397"/>
      <c r="D1524" s="397"/>
      <c r="E1524" s="397"/>
      <c r="F1524" s="397"/>
      <c r="G1524" s="397"/>
      <c r="H1524" s="397"/>
      <c r="I1524" s="450"/>
      <c r="J1524" s="397"/>
      <c r="K1524" s="397"/>
      <c r="L1524" s="451"/>
      <c r="M1524" s="449"/>
    </row>
    <row r="1525" spans="1:13" x14ac:dyDescent="0.25">
      <c r="A1525" s="397"/>
      <c r="B1525" s="397"/>
      <c r="C1525" s="397"/>
      <c r="D1525" s="397"/>
      <c r="E1525" s="397"/>
      <c r="F1525" s="397"/>
      <c r="G1525" s="397"/>
      <c r="H1525" s="397"/>
      <c r="I1525" s="450"/>
      <c r="J1525" s="397"/>
      <c r="K1525" s="397"/>
      <c r="L1525" s="451"/>
      <c r="M1525" s="449"/>
    </row>
    <row r="1526" spans="1:13" x14ac:dyDescent="0.25">
      <c r="A1526" s="397"/>
      <c r="B1526" s="397"/>
      <c r="C1526" s="397"/>
      <c r="D1526" s="397"/>
      <c r="E1526" s="397"/>
      <c r="F1526" s="397"/>
      <c r="G1526" s="397"/>
      <c r="H1526" s="397"/>
      <c r="I1526" s="450"/>
      <c r="J1526" s="397"/>
      <c r="K1526" s="397"/>
      <c r="L1526" s="451"/>
      <c r="M1526" s="449"/>
    </row>
    <row r="1527" spans="1:13" x14ac:dyDescent="0.25">
      <c r="A1527" s="397"/>
      <c r="B1527" s="397"/>
      <c r="C1527" s="397"/>
      <c r="D1527" s="397"/>
      <c r="E1527" s="397"/>
      <c r="F1527" s="397"/>
      <c r="G1527" s="397"/>
      <c r="H1527" s="397"/>
      <c r="I1527" s="450"/>
      <c r="J1527" s="397"/>
      <c r="K1527" s="397"/>
      <c r="L1527" s="451"/>
      <c r="M1527" s="449"/>
    </row>
    <row r="1528" spans="1:13" x14ac:dyDescent="0.25">
      <c r="A1528" s="397"/>
      <c r="B1528" s="397"/>
      <c r="C1528" s="397"/>
      <c r="D1528" s="397"/>
      <c r="E1528" s="397"/>
      <c r="F1528" s="397"/>
      <c r="G1528" s="397"/>
      <c r="H1528" s="397"/>
      <c r="I1528" s="450"/>
      <c r="J1528" s="397"/>
      <c r="K1528" s="397"/>
      <c r="L1528" s="451"/>
      <c r="M1528" s="449"/>
    </row>
    <row r="1529" spans="1:13" x14ac:dyDescent="0.25">
      <c r="A1529" s="397"/>
      <c r="B1529" s="397"/>
      <c r="C1529" s="397"/>
      <c r="D1529" s="397"/>
      <c r="E1529" s="397"/>
      <c r="F1529" s="397"/>
      <c r="G1529" s="397"/>
      <c r="H1529" s="397"/>
      <c r="I1529" s="450"/>
      <c r="J1529" s="397"/>
      <c r="K1529" s="397"/>
      <c r="L1529" s="451"/>
      <c r="M1529" s="449"/>
    </row>
    <row r="1530" spans="1:13" x14ac:dyDescent="0.25">
      <c r="A1530" s="397"/>
      <c r="B1530" s="397"/>
      <c r="C1530" s="397"/>
      <c r="D1530" s="397"/>
      <c r="E1530" s="397"/>
      <c r="F1530" s="397"/>
      <c r="G1530" s="397"/>
      <c r="H1530" s="397"/>
      <c r="I1530" s="450"/>
      <c r="J1530" s="397"/>
      <c r="K1530" s="397"/>
      <c r="L1530" s="451"/>
      <c r="M1530" s="449"/>
    </row>
    <row r="1531" spans="1:13" x14ac:dyDescent="0.25">
      <c r="A1531" s="397"/>
      <c r="B1531" s="397"/>
      <c r="C1531" s="397"/>
      <c r="D1531" s="397"/>
      <c r="E1531" s="397"/>
      <c r="F1531" s="397"/>
      <c r="G1531" s="397"/>
      <c r="H1531" s="397"/>
      <c r="I1531" s="450"/>
      <c r="J1531" s="397"/>
      <c r="K1531" s="397"/>
      <c r="L1531" s="451"/>
      <c r="M1531" s="449"/>
    </row>
    <row r="1532" spans="1:13" x14ac:dyDescent="0.25">
      <c r="A1532" s="397"/>
      <c r="B1532" s="397"/>
      <c r="C1532" s="397"/>
      <c r="D1532" s="397"/>
      <c r="E1532" s="397"/>
      <c r="F1532" s="397"/>
      <c r="G1532" s="397"/>
      <c r="H1532" s="397"/>
      <c r="I1532" s="450"/>
      <c r="J1532" s="397"/>
      <c r="K1532" s="397"/>
      <c r="L1532" s="451"/>
      <c r="M1532" s="449"/>
    </row>
    <row r="1533" spans="1:13" x14ac:dyDescent="0.25">
      <c r="A1533" s="397"/>
      <c r="B1533" s="397"/>
      <c r="C1533" s="397"/>
      <c r="D1533" s="397"/>
      <c r="E1533" s="397"/>
      <c r="F1533" s="397"/>
      <c r="G1533" s="397"/>
      <c r="H1533" s="397"/>
      <c r="I1533" s="450"/>
      <c r="J1533" s="397"/>
      <c r="K1533" s="397"/>
      <c r="L1533" s="451"/>
      <c r="M1533" s="449"/>
    </row>
    <row r="1534" spans="1:13" x14ac:dyDescent="0.25">
      <c r="A1534" s="397"/>
      <c r="B1534" s="397"/>
      <c r="C1534" s="397"/>
      <c r="D1534" s="397"/>
      <c r="E1534" s="397"/>
      <c r="F1534" s="397"/>
      <c r="G1534" s="397"/>
      <c r="H1534" s="397"/>
      <c r="I1534" s="450"/>
      <c r="J1534" s="397"/>
      <c r="K1534" s="397"/>
      <c r="L1534" s="451"/>
      <c r="M1534" s="449"/>
    </row>
    <row r="1535" spans="1:13" x14ac:dyDescent="0.25">
      <c r="A1535" s="397"/>
      <c r="B1535" s="397"/>
      <c r="C1535" s="397"/>
      <c r="D1535" s="397"/>
      <c r="E1535" s="397"/>
      <c r="F1535" s="397"/>
      <c r="G1535" s="397"/>
      <c r="H1535" s="397"/>
      <c r="I1535" s="450"/>
      <c r="J1535" s="397"/>
      <c r="K1535" s="397"/>
      <c r="L1535" s="451"/>
      <c r="M1535" s="449"/>
    </row>
    <row r="1536" spans="1:13" x14ac:dyDescent="0.25">
      <c r="A1536" s="397"/>
      <c r="B1536" s="397"/>
      <c r="C1536" s="397"/>
      <c r="D1536" s="397"/>
      <c r="E1536" s="397"/>
      <c r="F1536" s="397"/>
      <c r="G1536" s="397"/>
      <c r="H1536" s="397"/>
      <c r="I1536" s="450"/>
      <c r="J1536" s="397"/>
      <c r="K1536" s="397"/>
      <c r="L1536" s="451"/>
      <c r="M1536" s="449"/>
    </row>
    <row r="1537" spans="1:13" x14ac:dyDescent="0.25">
      <c r="A1537" s="397"/>
      <c r="B1537" s="397"/>
      <c r="C1537" s="397"/>
      <c r="D1537" s="397"/>
      <c r="E1537" s="397"/>
      <c r="F1537" s="397"/>
      <c r="G1537" s="397"/>
      <c r="H1537" s="397"/>
      <c r="I1537" s="450"/>
      <c r="J1537" s="397"/>
      <c r="K1537" s="397"/>
      <c r="L1537" s="451"/>
      <c r="M1537" s="449"/>
    </row>
    <row r="1538" spans="1:13" x14ac:dyDescent="0.25">
      <c r="A1538" s="397"/>
      <c r="B1538" s="397"/>
      <c r="C1538" s="397"/>
      <c r="D1538" s="397"/>
      <c r="E1538" s="397"/>
      <c r="F1538" s="397"/>
      <c r="G1538" s="397"/>
      <c r="H1538" s="397"/>
      <c r="I1538" s="450"/>
      <c r="J1538" s="397"/>
      <c r="K1538" s="397"/>
      <c r="L1538" s="451"/>
      <c r="M1538" s="449"/>
    </row>
    <row r="1539" spans="1:13" x14ac:dyDescent="0.25">
      <c r="A1539" s="397"/>
      <c r="B1539" s="397"/>
      <c r="C1539" s="397"/>
      <c r="D1539" s="397"/>
      <c r="E1539" s="397"/>
      <c r="F1539" s="397"/>
      <c r="G1539" s="397"/>
      <c r="H1539" s="397"/>
      <c r="I1539" s="450"/>
      <c r="J1539" s="397"/>
      <c r="K1539" s="397"/>
      <c r="L1539" s="451"/>
      <c r="M1539" s="449"/>
    </row>
    <row r="1540" spans="1:13" x14ac:dyDescent="0.25">
      <c r="A1540" s="397"/>
      <c r="B1540" s="397"/>
      <c r="C1540" s="397"/>
      <c r="D1540" s="397"/>
      <c r="E1540" s="397"/>
      <c r="F1540" s="397"/>
      <c r="G1540" s="397"/>
      <c r="H1540" s="397"/>
      <c r="I1540" s="450"/>
      <c r="J1540" s="397"/>
      <c r="K1540" s="397"/>
      <c r="L1540" s="451"/>
      <c r="M1540" s="449"/>
    </row>
    <row r="1541" spans="1:13" x14ac:dyDescent="0.25">
      <c r="A1541" s="397"/>
      <c r="B1541" s="397"/>
      <c r="C1541" s="397"/>
      <c r="D1541" s="397"/>
      <c r="E1541" s="397"/>
      <c r="F1541" s="397"/>
      <c r="G1541" s="397"/>
      <c r="H1541" s="397"/>
      <c r="I1541" s="450"/>
      <c r="J1541" s="397"/>
      <c r="K1541" s="397"/>
      <c r="L1541" s="451"/>
      <c r="M1541" s="449"/>
    </row>
    <row r="1542" spans="1:13" x14ac:dyDescent="0.25">
      <c r="A1542" s="397"/>
      <c r="B1542" s="397"/>
      <c r="C1542" s="397"/>
      <c r="D1542" s="397"/>
      <c r="E1542" s="397"/>
      <c r="F1542" s="397"/>
      <c r="G1542" s="397"/>
      <c r="H1542" s="397"/>
      <c r="I1542" s="450"/>
      <c r="J1542" s="397"/>
      <c r="K1542" s="397"/>
      <c r="L1542" s="451"/>
      <c r="M1542" s="449"/>
    </row>
    <row r="1543" spans="1:13" x14ac:dyDescent="0.25">
      <c r="A1543" s="397"/>
      <c r="B1543" s="397"/>
      <c r="C1543" s="397"/>
      <c r="D1543" s="397"/>
      <c r="E1543" s="397"/>
      <c r="F1543" s="397"/>
      <c r="G1543" s="397"/>
      <c r="H1543" s="397"/>
      <c r="I1543" s="450"/>
      <c r="J1543" s="397"/>
      <c r="K1543" s="397"/>
      <c r="L1543" s="451"/>
      <c r="M1543" s="449"/>
    </row>
    <row r="1544" spans="1:13" x14ac:dyDescent="0.25">
      <c r="A1544" s="397"/>
      <c r="B1544" s="397"/>
      <c r="C1544" s="397"/>
      <c r="D1544" s="397"/>
      <c r="E1544" s="397"/>
      <c r="F1544" s="397"/>
      <c r="G1544" s="397"/>
      <c r="H1544" s="397"/>
      <c r="I1544" s="450"/>
      <c r="J1544" s="397"/>
      <c r="K1544" s="397"/>
      <c r="L1544" s="451"/>
      <c r="M1544" s="449"/>
    </row>
    <row r="1545" spans="1:13" x14ac:dyDescent="0.25">
      <c r="A1545" s="397"/>
      <c r="B1545" s="397"/>
      <c r="C1545" s="397"/>
      <c r="D1545" s="397"/>
      <c r="E1545" s="397"/>
      <c r="F1545" s="397"/>
      <c r="G1545" s="397"/>
      <c r="H1545" s="397"/>
      <c r="I1545" s="450"/>
      <c r="J1545" s="397"/>
      <c r="K1545" s="397"/>
      <c r="L1545" s="451"/>
      <c r="M1545" s="449"/>
    </row>
    <row r="1546" spans="1:13" x14ac:dyDescent="0.25">
      <c r="A1546" s="397"/>
      <c r="B1546" s="397"/>
      <c r="C1546" s="397"/>
      <c r="D1546" s="397"/>
      <c r="E1546" s="397"/>
      <c r="F1546" s="397"/>
      <c r="G1546" s="397"/>
      <c r="H1546" s="397"/>
      <c r="I1546" s="450"/>
      <c r="J1546" s="397"/>
      <c r="K1546" s="397"/>
      <c r="L1546" s="451"/>
      <c r="M1546" s="449"/>
    </row>
    <row r="1547" spans="1:13" x14ac:dyDescent="0.25">
      <c r="A1547" s="397"/>
      <c r="B1547" s="397"/>
      <c r="C1547" s="397"/>
      <c r="D1547" s="397"/>
      <c r="E1547" s="397"/>
      <c r="F1547" s="397"/>
      <c r="G1547" s="397"/>
      <c r="H1547" s="397"/>
      <c r="I1547" s="450"/>
      <c r="J1547" s="397"/>
      <c r="K1547" s="397"/>
      <c r="L1547" s="451"/>
      <c r="M1547" s="449"/>
    </row>
    <row r="1548" spans="1:13" x14ac:dyDescent="0.25">
      <c r="A1548" s="397"/>
      <c r="B1548" s="397"/>
      <c r="C1548" s="397"/>
      <c r="D1548" s="397"/>
      <c r="E1548" s="397"/>
      <c r="F1548" s="397"/>
      <c r="G1548" s="397"/>
      <c r="H1548" s="397"/>
      <c r="I1548" s="450"/>
      <c r="J1548" s="397"/>
      <c r="K1548" s="397"/>
      <c r="L1548" s="451"/>
      <c r="M1548" s="449"/>
    </row>
    <row r="1549" spans="1:13" x14ac:dyDescent="0.25">
      <c r="A1549" s="397"/>
      <c r="B1549" s="397"/>
      <c r="C1549" s="397"/>
      <c r="D1549" s="397"/>
      <c r="E1549" s="397"/>
      <c r="F1549" s="397"/>
      <c r="G1549" s="397"/>
      <c r="H1549" s="397"/>
      <c r="I1549" s="450"/>
      <c r="J1549" s="397"/>
      <c r="K1549" s="397"/>
      <c r="L1549" s="451"/>
      <c r="M1549" s="449"/>
    </row>
    <row r="1550" spans="1:13" x14ac:dyDescent="0.25">
      <c r="A1550" s="397"/>
      <c r="B1550" s="397"/>
      <c r="C1550" s="397"/>
      <c r="D1550" s="397"/>
      <c r="E1550" s="397"/>
      <c r="F1550" s="397"/>
      <c r="G1550" s="397"/>
      <c r="H1550" s="397"/>
      <c r="I1550" s="450"/>
      <c r="J1550" s="397"/>
      <c r="K1550" s="397"/>
      <c r="L1550" s="451"/>
      <c r="M1550" s="449"/>
    </row>
    <row r="1551" spans="1:13" x14ac:dyDescent="0.25">
      <c r="A1551" s="397"/>
      <c r="B1551" s="397"/>
      <c r="C1551" s="397"/>
      <c r="D1551" s="397"/>
      <c r="E1551" s="397"/>
      <c r="F1551" s="397"/>
      <c r="G1551" s="397"/>
      <c r="H1551" s="397"/>
      <c r="I1551" s="450"/>
      <c r="J1551" s="397"/>
      <c r="K1551" s="397"/>
      <c r="L1551" s="451"/>
      <c r="M1551" s="449"/>
    </row>
    <row r="1552" spans="1:13" x14ac:dyDescent="0.25">
      <c r="A1552" s="397"/>
      <c r="B1552" s="397"/>
      <c r="C1552" s="397"/>
      <c r="D1552" s="397"/>
      <c r="E1552" s="397"/>
      <c r="F1552" s="397"/>
      <c r="G1552" s="397"/>
      <c r="H1552" s="397"/>
      <c r="I1552" s="450"/>
      <c r="J1552" s="397"/>
      <c r="K1552" s="397"/>
      <c r="L1552" s="451"/>
      <c r="M1552" s="449"/>
    </row>
    <row r="1553" spans="1:13" x14ac:dyDescent="0.25">
      <c r="A1553" s="397"/>
      <c r="B1553" s="397"/>
      <c r="C1553" s="397"/>
      <c r="D1553" s="397"/>
      <c r="E1553" s="397"/>
      <c r="F1553" s="397"/>
      <c r="G1553" s="397"/>
      <c r="H1553" s="397"/>
      <c r="I1553" s="450"/>
      <c r="J1553" s="397"/>
      <c r="K1553" s="397"/>
      <c r="L1553" s="451"/>
      <c r="M1553" s="449"/>
    </row>
    <row r="1554" spans="1:13" x14ac:dyDescent="0.25">
      <c r="A1554" s="397"/>
      <c r="B1554" s="397"/>
      <c r="C1554" s="397"/>
      <c r="D1554" s="397"/>
      <c r="E1554" s="397"/>
      <c r="F1554" s="397"/>
      <c r="G1554" s="397"/>
      <c r="H1554" s="397"/>
      <c r="I1554" s="450"/>
      <c r="J1554" s="397"/>
      <c r="K1554" s="397"/>
      <c r="L1554" s="451"/>
      <c r="M1554" s="449"/>
    </row>
    <row r="1555" spans="1:13" x14ac:dyDescent="0.25">
      <c r="A1555" s="397"/>
      <c r="B1555" s="397"/>
      <c r="C1555" s="397"/>
      <c r="D1555" s="397"/>
      <c r="E1555" s="397"/>
      <c r="F1555" s="397"/>
      <c r="G1555" s="397"/>
      <c r="H1555" s="397"/>
      <c r="I1555" s="450"/>
      <c r="J1555" s="397"/>
      <c r="K1555" s="397"/>
      <c r="L1555" s="451"/>
      <c r="M1555" s="449"/>
    </row>
    <row r="1556" spans="1:13" x14ac:dyDescent="0.25">
      <c r="A1556" s="397"/>
      <c r="B1556" s="397"/>
      <c r="C1556" s="397"/>
      <c r="D1556" s="397"/>
      <c r="E1556" s="397"/>
      <c r="F1556" s="397"/>
      <c r="G1556" s="397"/>
      <c r="H1556" s="397"/>
      <c r="I1556" s="450"/>
      <c r="J1556" s="397"/>
      <c r="K1556" s="397"/>
      <c r="L1556" s="451"/>
      <c r="M1556" s="449"/>
    </row>
    <row r="1557" spans="1:13" x14ac:dyDescent="0.25">
      <c r="A1557" s="397"/>
      <c r="B1557" s="397"/>
      <c r="C1557" s="397"/>
      <c r="D1557" s="397"/>
      <c r="E1557" s="397"/>
      <c r="F1557" s="397"/>
      <c r="G1557" s="397"/>
      <c r="H1557" s="397"/>
      <c r="I1557" s="450"/>
      <c r="J1557" s="397"/>
      <c r="K1557" s="397"/>
      <c r="L1557" s="451"/>
      <c r="M1557" s="449"/>
    </row>
    <row r="1558" spans="1:13" x14ac:dyDescent="0.25">
      <c r="A1558" s="397"/>
      <c r="B1558" s="397"/>
      <c r="C1558" s="397"/>
      <c r="D1558" s="397"/>
      <c r="E1558" s="397"/>
      <c r="F1558" s="397"/>
      <c r="G1558" s="397"/>
      <c r="H1558" s="397"/>
      <c r="I1558" s="450"/>
      <c r="J1558" s="397"/>
      <c r="K1558" s="397"/>
      <c r="L1558" s="451"/>
      <c r="M1558" s="449"/>
    </row>
    <row r="1559" spans="1:13" x14ac:dyDescent="0.25">
      <c r="A1559" s="397"/>
      <c r="B1559" s="397"/>
      <c r="C1559" s="397"/>
      <c r="D1559" s="397"/>
      <c r="E1559" s="397"/>
      <c r="F1559" s="397"/>
      <c r="G1559" s="397"/>
      <c r="H1559" s="397"/>
      <c r="I1559" s="450"/>
      <c r="J1559" s="397"/>
      <c r="K1559" s="397"/>
      <c r="L1559" s="451"/>
      <c r="M1559" s="449"/>
    </row>
    <row r="1560" spans="1:13" x14ac:dyDescent="0.25">
      <c r="A1560" s="397"/>
      <c r="B1560" s="397"/>
      <c r="C1560" s="397"/>
      <c r="D1560" s="397"/>
      <c r="E1560" s="397"/>
      <c r="F1560" s="397"/>
      <c r="G1560" s="397"/>
      <c r="H1560" s="397"/>
      <c r="I1560" s="450"/>
      <c r="J1560" s="397"/>
      <c r="K1560" s="397"/>
      <c r="L1560" s="451"/>
      <c r="M1560" s="449"/>
    </row>
    <row r="1561" spans="1:13" x14ac:dyDescent="0.25">
      <c r="A1561" s="397"/>
      <c r="B1561" s="397"/>
      <c r="C1561" s="397"/>
      <c r="D1561" s="397"/>
      <c r="E1561" s="397"/>
      <c r="F1561" s="397"/>
      <c r="G1561" s="397"/>
      <c r="H1561" s="397"/>
      <c r="I1561" s="450"/>
      <c r="J1561" s="397"/>
      <c r="K1561" s="397"/>
      <c r="L1561" s="451"/>
      <c r="M1561" s="449"/>
    </row>
    <row r="1562" spans="1:13" x14ac:dyDescent="0.25">
      <c r="A1562" s="397"/>
      <c r="B1562" s="397"/>
      <c r="C1562" s="397"/>
      <c r="D1562" s="397"/>
      <c r="E1562" s="397"/>
      <c r="F1562" s="397"/>
      <c r="G1562" s="397"/>
      <c r="H1562" s="397"/>
      <c r="I1562" s="450"/>
      <c r="J1562" s="397"/>
      <c r="K1562" s="397"/>
      <c r="L1562" s="451"/>
      <c r="M1562" s="449"/>
    </row>
    <row r="1563" spans="1:13" x14ac:dyDescent="0.25">
      <c r="A1563" s="397"/>
      <c r="B1563" s="397"/>
      <c r="C1563" s="397"/>
      <c r="D1563" s="397"/>
      <c r="E1563" s="397"/>
      <c r="F1563" s="397"/>
      <c r="G1563" s="397"/>
      <c r="H1563" s="397"/>
      <c r="I1563" s="450"/>
      <c r="J1563" s="397"/>
      <c r="K1563" s="397"/>
      <c r="L1563" s="451"/>
      <c r="M1563" s="449"/>
    </row>
    <row r="1564" spans="1:13" x14ac:dyDescent="0.25">
      <c r="A1564" s="397"/>
      <c r="B1564" s="397"/>
      <c r="C1564" s="397"/>
      <c r="D1564" s="397"/>
      <c r="E1564" s="397"/>
      <c r="F1564" s="397"/>
      <c r="G1564" s="397"/>
      <c r="H1564" s="397"/>
      <c r="I1564" s="450"/>
      <c r="J1564" s="397"/>
      <c r="K1564" s="397"/>
      <c r="L1564" s="451"/>
      <c r="M1564" s="449"/>
    </row>
    <row r="1565" spans="1:13" x14ac:dyDescent="0.25">
      <c r="A1565" s="397"/>
      <c r="B1565" s="397"/>
      <c r="C1565" s="397"/>
      <c r="D1565" s="397"/>
      <c r="E1565" s="397"/>
      <c r="F1565" s="397"/>
      <c r="G1565" s="397"/>
      <c r="H1565" s="397"/>
      <c r="I1565" s="450"/>
      <c r="J1565" s="397"/>
      <c r="K1565" s="397"/>
      <c r="L1565" s="451"/>
      <c r="M1565" s="449"/>
    </row>
    <row r="1566" spans="1:13" x14ac:dyDescent="0.25">
      <c r="A1566" s="397"/>
      <c r="B1566" s="397"/>
      <c r="C1566" s="397"/>
      <c r="D1566" s="397"/>
      <c r="E1566" s="397"/>
      <c r="F1566" s="397"/>
      <c r="G1566" s="397"/>
      <c r="H1566" s="397"/>
      <c r="I1566" s="450"/>
      <c r="J1566" s="397"/>
      <c r="K1566" s="397"/>
      <c r="L1566" s="451"/>
      <c r="M1566" s="449"/>
    </row>
    <row r="1567" spans="1:13" x14ac:dyDescent="0.25">
      <c r="A1567" s="397"/>
      <c r="B1567" s="397"/>
      <c r="C1567" s="397"/>
      <c r="D1567" s="397"/>
      <c r="E1567" s="397"/>
      <c r="F1567" s="397"/>
      <c r="G1567" s="397"/>
      <c r="H1567" s="397"/>
      <c r="I1567" s="450"/>
      <c r="J1567" s="397"/>
      <c r="K1567" s="397"/>
      <c r="L1567" s="451"/>
      <c r="M1567" s="449"/>
    </row>
    <row r="1568" spans="1:13" x14ac:dyDescent="0.25">
      <c r="A1568" s="397"/>
      <c r="B1568" s="397"/>
      <c r="C1568" s="397"/>
      <c r="D1568" s="397"/>
      <c r="E1568" s="397"/>
      <c r="F1568" s="397"/>
      <c r="G1568" s="397"/>
      <c r="H1568" s="397"/>
      <c r="I1568" s="450"/>
      <c r="J1568" s="397"/>
      <c r="K1568" s="397"/>
      <c r="L1568" s="451"/>
      <c r="M1568" s="449"/>
    </row>
    <row r="1569" spans="1:13" x14ac:dyDescent="0.25">
      <c r="A1569" s="397"/>
      <c r="B1569" s="397"/>
      <c r="C1569" s="397"/>
      <c r="D1569" s="397"/>
      <c r="E1569" s="397"/>
      <c r="F1569" s="397"/>
      <c r="G1569" s="397"/>
      <c r="H1569" s="397"/>
      <c r="I1569" s="450"/>
      <c r="J1569" s="397"/>
      <c r="K1569" s="397"/>
      <c r="L1569" s="451"/>
      <c r="M1569" s="449"/>
    </row>
    <row r="1570" spans="1:13" x14ac:dyDescent="0.25">
      <c r="A1570" s="397"/>
      <c r="B1570" s="397"/>
      <c r="C1570" s="397"/>
      <c r="D1570" s="397"/>
      <c r="E1570" s="397"/>
      <c r="F1570" s="397"/>
      <c r="G1570" s="397"/>
      <c r="H1570" s="397"/>
      <c r="I1570" s="450"/>
      <c r="J1570" s="397"/>
      <c r="K1570" s="397"/>
      <c r="L1570" s="451"/>
      <c r="M1570" s="449"/>
    </row>
    <row r="1571" spans="1:13" x14ac:dyDescent="0.25">
      <c r="A1571" s="397"/>
      <c r="B1571" s="397"/>
      <c r="C1571" s="397"/>
      <c r="D1571" s="397"/>
      <c r="E1571" s="397"/>
      <c r="F1571" s="397"/>
      <c r="G1571" s="397"/>
      <c r="H1571" s="397"/>
      <c r="I1571" s="450"/>
      <c r="J1571" s="397"/>
      <c r="K1571" s="397"/>
      <c r="L1571" s="451"/>
      <c r="M1571" s="449"/>
    </row>
    <row r="1572" spans="1:13" x14ac:dyDescent="0.25">
      <c r="A1572" s="397"/>
      <c r="B1572" s="397"/>
      <c r="C1572" s="397"/>
      <c r="D1572" s="397"/>
      <c r="E1572" s="397"/>
      <c r="F1572" s="397"/>
      <c r="G1572" s="397"/>
      <c r="H1572" s="397"/>
      <c r="I1572" s="450"/>
      <c r="J1572" s="397"/>
      <c r="K1572" s="397"/>
      <c r="L1572" s="451"/>
      <c r="M1572" s="449"/>
    </row>
    <row r="1573" spans="1:13" x14ac:dyDescent="0.25">
      <c r="A1573" s="397"/>
      <c r="B1573" s="397"/>
      <c r="C1573" s="397"/>
      <c r="D1573" s="397"/>
      <c r="E1573" s="397"/>
      <c r="F1573" s="397"/>
      <c r="G1573" s="397"/>
      <c r="H1573" s="397"/>
      <c r="I1573" s="450"/>
      <c r="J1573" s="397"/>
      <c r="K1573" s="397"/>
      <c r="L1573" s="451"/>
      <c r="M1573" s="449"/>
    </row>
    <row r="1574" spans="1:13" x14ac:dyDescent="0.25">
      <c r="A1574" s="397"/>
      <c r="B1574" s="397"/>
      <c r="C1574" s="397"/>
      <c r="D1574" s="397"/>
      <c r="E1574" s="397"/>
      <c r="F1574" s="397"/>
      <c r="G1574" s="397"/>
      <c r="H1574" s="397"/>
      <c r="I1574" s="450"/>
      <c r="J1574" s="397"/>
      <c r="K1574" s="397"/>
      <c r="L1574" s="451"/>
      <c r="M1574" s="449"/>
    </row>
    <row r="1575" spans="1:13" x14ac:dyDescent="0.25">
      <c r="A1575" s="397"/>
      <c r="B1575" s="397"/>
      <c r="C1575" s="397"/>
      <c r="D1575" s="397"/>
      <c r="E1575" s="397"/>
      <c r="F1575" s="397"/>
      <c r="G1575" s="397"/>
      <c r="H1575" s="397"/>
      <c r="I1575" s="450"/>
      <c r="J1575" s="397"/>
      <c r="K1575" s="397"/>
      <c r="L1575" s="451"/>
      <c r="M1575" s="449"/>
    </row>
    <row r="1576" spans="1:13" x14ac:dyDescent="0.25">
      <c r="A1576" s="397"/>
      <c r="B1576" s="397"/>
      <c r="C1576" s="397"/>
      <c r="D1576" s="397"/>
      <c r="E1576" s="397"/>
      <c r="F1576" s="397"/>
      <c r="G1576" s="397"/>
      <c r="H1576" s="397"/>
      <c r="I1576" s="450"/>
      <c r="J1576" s="397"/>
      <c r="K1576" s="397"/>
      <c r="L1576" s="451"/>
      <c r="M1576" s="449"/>
    </row>
    <row r="1577" spans="1:13" x14ac:dyDescent="0.25">
      <c r="A1577" s="397"/>
      <c r="B1577" s="397"/>
      <c r="C1577" s="397"/>
      <c r="D1577" s="397"/>
      <c r="E1577" s="397"/>
      <c r="F1577" s="397"/>
      <c r="G1577" s="397"/>
      <c r="H1577" s="397"/>
      <c r="I1577" s="450"/>
      <c r="J1577" s="397"/>
      <c r="K1577" s="397"/>
      <c r="L1577" s="451"/>
      <c r="M1577" s="449"/>
    </row>
    <row r="1578" spans="1:13" x14ac:dyDescent="0.25">
      <c r="A1578" s="397"/>
      <c r="B1578" s="397"/>
      <c r="C1578" s="397"/>
      <c r="D1578" s="397"/>
      <c r="E1578" s="397"/>
      <c r="F1578" s="397"/>
      <c r="G1578" s="397"/>
      <c r="H1578" s="397"/>
      <c r="I1578" s="450"/>
      <c r="J1578" s="397"/>
      <c r="K1578" s="397"/>
      <c r="L1578" s="451"/>
      <c r="M1578" s="449"/>
    </row>
    <row r="1579" spans="1:13" x14ac:dyDescent="0.25">
      <c r="A1579" s="397"/>
      <c r="B1579" s="397"/>
      <c r="C1579" s="397"/>
      <c r="D1579" s="397"/>
      <c r="E1579" s="397"/>
      <c r="F1579" s="397"/>
      <c r="G1579" s="397"/>
      <c r="H1579" s="397"/>
      <c r="I1579" s="450"/>
      <c r="J1579" s="397"/>
      <c r="K1579" s="397"/>
      <c r="L1579" s="451"/>
      <c r="M1579" s="449"/>
    </row>
    <row r="1580" spans="1:13" x14ac:dyDescent="0.25">
      <c r="A1580" s="397"/>
      <c r="B1580" s="397"/>
      <c r="C1580" s="397"/>
      <c r="D1580" s="397"/>
      <c r="E1580" s="397"/>
      <c r="F1580" s="397"/>
      <c r="G1580" s="397"/>
      <c r="H1580" s="397"/>
      <c r="I1580" s="450"/>
      <c r="J1580" s="397"/>
      <c r="K1580" s="397"/>
      <c r="L1580" s="451"/>
      <c r="M1580" s="449"/>
    </row>
    <row r="1581" spans="1:13" x14ac:dyDescent="0.25">
      <c r="A1581" s="397"/>
      <c r="B1581" s="397"/>
      <c r="C1581" s="397"/>
      <c r="D1581" s="397"/>
      <c r="E1581" s="397"/>
      <c r="F1581" s="397"/>
      <c r="G1581" s="397"/>
      <c r="H1581" s="397"/>
      <c r="I1581" s="450"/>
      <c r="J1581" s="397"/>
      <c r="K1581" s="397"/>
      <c r="L1581" s="451"/>
      <c r="M1581" s="449"/>
    </row>
    <row r="1582" spans="1:13" x14ac:dyDescent="0.25">
      <c r="A1582" s="397"/>
      <c r="B1582" s="397"/>
      <c r="C1582" s="397"/>
      <c r="D1582" s="397"/>
      <c r="E1582" s="397"/>
      <c r="F1582" s="397"/>
      <c r="G1582" s="397"/>
      <c r="H1582" s="397"/>
      <c r="I1582" s="450"/>
      <c r="J1582" s="397"/>
      <c r="K1582" s="397"/>
      <c r="L1582" s="451"/>
      <c r="M1582" s="449"/>
    </row>
    <row r="1583" spans="1:13" x14ac:dyDescent="0.25">
      <c r="A1583" s="397"/>
      <c r="B1583" s="397"/>
      <c r="C1583" s="397"/>
      <c r="D1583" s="397"/>
      <c r="E1583" s="397"/>
      <c r="F1583" s="397"/>
      <c r="G1583" s="397"/>
      <c r="H1583" s="397"/>
      <c r="I1583" s="450"/>
      <c r="J1583" s="397"/>
      <c r="K1583" s="397"/>
      <c r="L1583" s="451"/>
      <c r="M1583" s="449"/>
    </row>
    <row r="1584" spans="1:13" x14ac:dyDescent="0.25">
      <c r="A1584" s="397"/>
      <c r="B1584" s="397"/>
      <c r="C1584" s="397"/>
      <c r="D1584" s="397"/>
      <c r="E1584" s="397"/>
      <c r="F1584" s="397"/>
      <c r="G1584" s="397"/>
      <c r="H1584" s="397"/>
      <c r="I1584" s="450"/>
      <c r="J1584" s="397"/>
      <c r="K1584" s="397"/>
      <c r="L1584" s="451"/>
      <c r="M1584" s="449"/>
    </row>
    <row r="1585" spans="1:13" x14ac:dyDescent="0.25">
      <c r="A1585" s="397"/>
      <c r="B1585" s="397"/>
      <c r="C1585" s="397"/>
      <c r="D1585" s="397"/>
      <c r="E1585" s="397"/>
      <c r="F1585" s="397"/>
      <c r="G1585" s="397"/>
      <c r="H1585" s="397"/>
      <c r="I1585" s="450"/>
      <c r="J1585" s="397"/>
      <c r="K1585" s="397"/>
      <c r="L1585" s="451"/>
      <c r="M1585" s="449"/>
    </row>
    <row r="1586" spans="1:13" x14ac:dyDescent="0.25">
      <c r="A1586" s="397"/>
      <c r="B1586" s="397"/>
      <c r="C1586" s="397"/>
      <c r="D1586" s="397"/>
      <c r="E1586" s="397"/>
      <c r="F1586" s="397"/>
      <c r="G1586" s="397"/>
      <c r="H1586" s="397"/>
      <c r="I1586" s="450"/>
      <c r="J1586" s="397"/>
      <c r="K1586" s="397"/>
      <c r="L1586" s="451"/>
      <c r="M1586" s="449"/>
    </row>
    <row r="1587" spans="1:13" x14ac:dyDescent="0.25">
      <c r="A1587" s="397"/>
      <c r="B1587" s="397"/>
      <c r="C1587" s="397"/>
      <c r="D1587" s="397"/>
      <c r="E1587" s="397"/>
      <c r="F1587" s="397"/>
      <c r="G1587" s="397"/>
      <c r="H1587" s="397"/>
      <c r="I1587" s="450"/>
      <c r="J1587" s="397"/>
      <c r="K1587" s="397"/>
      <c r="L1587" s="451"/>
      <c r="M1587" s="449"/>
    </row>
    <row r="1588" spans="1:13" x14ac:dyDescent="0.25">
      <c r="A1588" s="397"/>
      <c r="B1588" s="397"/>
      <c r="C1588" s="397"/>
      <c r="D1588" s="397"/>
      <c r="E1588" s="397"/>
      <c r="F1588" s="397"/>
      <c r="G1588" s="397"/>
      <c r="H1588" s="397"/>
      <c r="I1588" s="450"/>
      <c r="J1588" s="397"/>
      <c r="K1588" s="397"/>
      <c r="L1588" s="451"/>
      <c r="M1588" s="449"/>
    </row>
    <row r="1589" spans="1:13" x14ac:dyDescent="0.25">
      <c r="A1589" s="397"/>
      <c r="B1589" s="397"/>
      <c r="C1589" s="397"/>
      <c r="D1589" s="397"/>
      <c r="E1589" s="397"/>
      <c r="F1589" s="397"/>
      <c r="G1589" s="397"/>
      <c r="H1589" s="397"/>
      <c r="I1589" s="450"/>
      <c r="J1589" s="397"/>
      <c r="K1589" s="397"/>
      <c r="L1589" s="451"/>
      <c r="M1589" s="449"/>
    </row>
    <row r="1590" spans="1:13" x14ac:dyDescent="0.25">
      <c r="A1590" s="397"/>
      <c r="B1590" s="397"/>
      <c r="C1590" s="397"/>
      <c r="D1590" s="397"/>
      <c r="E1590" s="397"/>
      <c r="F1590" s="397"/>
      <c r="G1590" s="397"/>
      <c r="H1590" s="397"/>
      <c r="I1590" s="450"/>
      <c r="J1590" s="397"/>
      <c r="K1590" s="397"/>
      <c r="L1590" s="451"/>
      <c r="M1590" s="449"/>
    </row>
    <row r="1591" spans="1:13" x14ac:dyDescent="0.25">
      <c r="A1591" s="397"/>
      <c r="B1591" s="397"/>
      <c r="C1591" s="397"/>
      <c r="D1591" s="397"/>
      <c r="E1591" s="397"/>
      <c r="F1591" s="397"/>
      <c r="G1591" s="397"/>
      <c r="H1591" s="397"/>
      <c r="I1591" s="450"/>
      <c r="J1591" s="397"/>
      <c r="K1591" s="397"/>
      <c r="L1591" s="451"/>
      <c r="M1591" s="449"/>
    </row>
    <row r="1592" spans="1:13" x14ac:dyDescent="0.25">
      <c r="A1592" s="397"/>
      <c r="B1592" s="397"/>
      <c r="C1592" s="397"/>
      <c r="D1592" s="397"/>
      <c r="E1592" s="397"/>
      <c r="F1592" s="397"/>
      <c r="G1592" s="397"/>
      <c r="H1592" s="397"/>
      <c r="I1592" s="450"/>
      <c r="J1592" s="397"/>
      <c r="K1592" s="397"/>
      <c r="L1592" s="451"/>
      <c r="M1592" s="449"/>
    </row>
    <row r="1593" spans="1:13" x14ac:dyDescent="0.25">
      <c r="A1593" s="397"/>
      <c r="B1593" s="397"/>
      <c r="C1593" s="397"/>
      <c r="D1593" s="397"/>
      <c r="E1593" s="397"/>
      <c r="F1593" s="397"/>
      <c r="G1593" s="397"/>
      <c r="H1593" s="397"/>
      <c r="I1593" s="450"/>
      <c r="J1593" s="397"/>
      <c r="K1593" s="397"/>
      <c r="L1593" s="451"/>
      <c r="M1593" s="449"/>
    </row>
    <row r="1594" spans="1:13" x14ac:dyDescent="0.25">
      <c r="A1594" s="397"/>
      <c r="B1594" s="397"/>
      <c r="C1594" s="397"/>
      <c r="D1594" s="397"/>
      <c r="E1594" s="397"/>
      <c r="F1594" s="397"/>
      <c r="G1594" s="397"/>
      <c r="H1594" s="397"/>
      <c r="I1594" s="450"/>
      <c r="J1594" s="397"/>
      <c r="K1594" s="397"/>
      <c r="L1594" s="451"/>
      <c r="M1594" s="449"/>
    </row>
    <row r="1595" spans="1:13" x14ac:dyDescent="0.25">
      <c r="A1595" s="397"/>
      <c r="B1595" s="397"/>
      <c r="C1595" s="397"/>
      <c r="D1595" s="397"/>
      <c r="E1595" s="397"/>
      <c r="F1595" s="397"/>
      <c r="G1595" s="397"/>
      <c r="H1595" s="397"/>
      <c r="I1595" s="450"/>
      <c r="J1595" s="397"/>
      <c r="K1595" s="397"/>
      <c r="L1595" s="451"/>
      <c r="M1595" s="449"/>
    </row>
    <row r="1596" spans="1:13" x14ac:dyDescent="0.25">
      <c r="A1596" s="397"/>
      <c r="B1596" s="397"/>
      <c r="C1596" s="397"/>
      <c r="D1596" s="397"/>
      <c r="E1596" s="397"/>
      <c r="F1596" s="397"/>
      <c r="G1596" s="397"/>
      <c r="H1596" s="397"/>
      <c r="I1596" s="450"/>
      <c r="J1596" s="397"/>
      <c r="K1596" s="397"/>
      <c r="L1596" s="451"/>
      <c r="M1596" s="449"/>
    </row>
    <row r="1597" spans="1:13" x14ac:dyDescent="0.25">
      <c r="A1597" s="397"/>
      <c r="B1597" s="397"/>
      <c r="C1597" s="397"/>
      <c r="D1597" s="397"/>
      <c r="E1597" s="397"/>
      <c r="F1597" s="397"/>
      <c r="G1597" s="397"/>
      <c r="H1597" s="397"/>
      <c r="I1597" s="450"/>
      <c r="J1597" s="397"/>
      <c r="K1597" s="397"/>
      <c r="L1597" s="451"/>
      <c r="M1597" s="449"/>
    </row>
    <row r="1598" spans="1:13" x14ac:dyDescent="0.25">
      <c r="A1598" s="397"/>
      <c r="B1598" s="397"/>
      <c r="C1598" s="397"/>
      <c r="D1598" s="397"/>
      <c r="E1598" s="397"/>
      <c r="F1598" s="397"/>
      <c r="G1598" s="397"/>
      <c r="H1598" s="397"/>
      <c r="I1598" s="450"/>
      <c r="J1598" s="397"/>
      <c r="K1598" s="397"/>
      <c r="L1598" s="451"/>
      <c r="M1598" s="449"/>
    </row>
    <row r="1599" spans="1:13" x14ac:dyDescent="0.25">
      <c r="A1599" s="397"/>
      <c r="B1599" s="397"/>
      <c r="C1599" s="397"/>
      <c r="D1599" s="397"/>
      <c r="E1599" s="397"/>
      <c r="F1599" s="397"/>
      <c r="G1599" s="397"/>
      <c r="H1599" s="397"/>
      <c r="I1599" s="450"/>
      <c r="J1599" s="397"/>
      <c r="K1599" s="397"/>
      <c r="L1599" s="451"/>
      <c r="M1599" s="449"/>
    </row>
    <row r="1600" spans="1:13" x14ac:dyDescent="0.25">
      <c r="A1600" s="397"/>
      <c r="B1600" s="397"/>
      <c r="C1600" s="397"/>
      <c r="D1600" s="397"/>
      <c r="E1600" s="397"/>
      <c r="F1600" s="397"/>
      <c r="G1600" s="397"/>
      <c r="H1600" s="397"/>
      <c r="I1600" s="450"/>
      <c r="J1600" s="397"/>
      <c r="K1600" s="397"/>
      <c r="L1600" s="451"/>
      <c r="M1600" s="449"/>
    </row>
    <row r="1601" spans="1:13" x14ac:dyDescent="0.25">
      <c r="A1601" s="397"/>
      <c r="B1601" s="397"/>
      <c r="C1601" s="397"/>
      <c r="D1601" s="397"/>
      <c r="E1601" s="397"/>
      <c r="F1601" s="397"/>
      <c r="G1601" s="397"/>
      <c r="H1601" s="397"/>
      <c r="I1601" s="450"/>
      <c r="J1601" s="397"/>
      <c r="K1601" s="397"/>
      <c r="L1601" s="451"/>
      <c r="M1601" s="449"/>
    </row>
    <row r="1602" spans="1:13" x14ac:dyDescent="0.25">
      <c r="A1602" s="397"/>
      <c r="B1602" s="397"/>
      <c r="C1602" s="397"/>
      <c r="D1602" s="397"/>
      <c r="E1602" s="397"/>
      <c r="F1602" s="397"/>
      <c r="G1602" s="397"/>
      <c r="H1602" s="397"/>
      <c r="I1602" s="450"/>
      <c r="J1602" s="397"/>
      <c r="K1602" s="397"/>
      <c r="L1602" s="451"/>
      <c r="M1602" s="449"/>
    </row>
    <row r="1603" spans="1:13" x14ac:dyDescent="0.25">
      <c r="A1603" s="397"/>
      <c r="B1603" s="397"/>
      <c r="C1603" s="397"/>
      <c r="D1603" s="397"/>
      <c r="E1603" s="397"/>
      <c r="F1603" s="397"/>
      <c r="G1603" s="397"/>
      <c r="H1603" s="397"/>
      <c r="I1603" s="450"/>
      <c r="J1603" s="397"/>
      <c r="K1603" s="397"/>
      <c r="L1603" s="451"/>
      <c r="M1603" s="449"/>
    </row>
    <row r="1604" spans="1:13" x14ac:dyDescent="0.25">
      <c r="A1604" s="397"/>
      <c r="B1604" s="397"/>
      <c r="C1604" s="397"/>
      <c r="D1604" s="397"/>
      <c r="E1604" s="397"/>
      <c r="F1604" s="397"/>
      <c r="G1604" s="397"/>
      <c r="H1604" s="397"/>
      <c r="I1604" s="450"/>
      <c r="J1604" s="397"/>
      <c r="K1604" s="397"/>
      <c r="L1604" s="451"/>
      <c r="M1604" s="449"/>
    </row>
    <row r="1605" spans="1:13" x14ac:dyDescent="0.25">
      <c r="A1605" s="397"/>
      <c r="B1605" s="397"/>
      <c r="C1605" s="397"/>
      <c r="D1605" s="397"/>
      <c r="E1605" s="397"/>
      <c r="F1605" s="397"/>
      <c r="G1605" s="397"/>
      <c r="H1605" s="397"/>
      <c r="I1605" s="450"/>
      <c r="J1605" s="397"/>
      <c r="K1605" s="397"/>
      <c r="L1605" s="451"/>
      <c r="M1605" s="449"/>
    </row>
    <row r="1606" spans="1:13" x14ac:dyDescent="0.25">
      <c r="A1606" s="397"/>
      <c r="B1606" s="397"/>
      <c r="C1606" s="397"/>
      <c r="D1606" s="397"/>
      <c r="E1606" s="397"/>
      <c r="F1606" s="397"/>
      <c r="G1606" s="397"/>
      <c r="H1606" s="397"/>
      <c r="I1606" s="450"/>
      <c r="J1606" s="397"/>
      <c r="K1606" s="397"/>
      <c r="L1606" s="451"/>
      <c r="M1606" s="449"/>
    </row>
    <row r="1607" spans="1:13" x14ac:dyDescent="0.25">
      <c r="A1607" s="397"/>
      <c r="B1607" s="397"/>
      <c r="C1607" s="397"/>
      <c r="D1607" s="397"/>
      <c r="E1607" s="397"/>
      <c r="F1607" s="397"/>
      <c r="G1607" s="397"/>
      <c r="H1607" s="397"/>
      <c r="I1607" s="450"/>
      <c r="J1607" s="397"/>
      <c r="K1607" s="397"/>
      <c r="L1607" s="451"/>
      <c r="M1607" s="449"/>
    </row>
    <row r="1608" spans="1:13" x14ac:dyDescent="0.25">
      <c r="A1608" s="397"/>
      <c r="B1608" s="397"/>
      <c r="C1608" s="397"/>
      <c r="D1608" s="397"/>
      <c r="E1608" s="397"/>
      <c r="F1608" s="397"/>
      <c r="G1608" s="397"/>
      <c r="H1608" s="397"/>
      <c r="I1608" s="450"/>
      <c r="J1608" s="397"/>
      <c r="K1608" s="397"/>
      <c r="L1608" s="451"/>
      <c r="M1608" s="449"/>
    </row>
    <row r="1609" spans="1:13" x14ac:dyDescent="0.25">
      <c r="A1609" s="397"/>
      <c r="B1609" s="397"/>
      <c r="C1609" s="397"/>
      <c r="D1609" s="397"/>
      <c r="E1609" s="397"/>
      <c r="F1609" s="397"/>
      <c r="G1609" s="397"/>
      <c r="H1609" s="397"/>
      <c r="I1609" s="450"/>
      <c r="J1609" s="397"/>
      <c r="K1609" s="397"/>
      <c r="L1609" s="451"/>
      <c r="M1609" s="449"/>
    </row>
    <row r="1610" spans="1:13" x14ac:dyDescent="0.25">
      <c r="A1610" s="397"/>
      <c r="B1610" s="397"/>
      <c r="C1610" s="397"/>
      <c r="D1610" s="397"/>
      <c r="E1610" s="397"/>
      <c r="F1610" s="397"/>
      <c r="G1610" s="397"/>
      <c r="H1610" s="397"/>
      <c r="I1610" s="450"/>
      <c r="J1610" s="397"/>
      <c r="K1610" s="397"/>
      <c r="L1610" s="451"/>
      <c r="M1610" s="449"/>
    </row>
    <row r="1611" spans="1:13" x14ac:dyDescent="0.25">
      <c r="A1611" s="397"/>
      <c r="B1611" s="397"/>
      <c r="C1611" s="397"/>
      <c r="D1611" s="397"/>
      <c r="E1611" s="397"/>
      <c r="F1611" s="397"/>
      <c r="G1611" s="397"/>
      <c r="H1611" s="397"/>
      <c r="I1611" s="450"/>
      <c r="J1611" s="397"/>
      <c r="K1611" s="397"/>
      <c r="L1611" s="451"/>
      <c r="M1611" s="449"/>
    </row>
    <row r="1612" spans="1:13" x14ac:dyDescent="0.25">
      <c r="A1612" s="397"/>
      <c r="B1612" s="397"/>
      <c r="C1612" s="397"/>
      <c r="D1612" s="397"/>
      <c r="E1612" s="397"/>
      <c r="F1612" s="397"/>
      <c r="G1612" s="397"/>
      <c r="H1612" s="397"/>
      <c r="I1612" s="450"/>
      <c r="J1612" s="397"/>
      <c r="K1612" s="397"/>
      <c r="L1612" s="451"/>
      <c r="M1612" s="449"/>
    </row>
    <row r="1613" spans="1:13" x14ac:dyDescent="0.25">
      <c r="A1613" s="397"/>
      <c r="B1613" s="397"/>
      <c r="C1613" s="397"/>
      <c r="D1613" s="397"/>
      <c r="E1613" s="397"/>
      <c r="F1613" s="397"/>
      <c r="G1613" s="397"/>
      <c r="H1613" s="397"/>
      <c r="I1613" s="450"/>
      <c r="J1613" s="397"/>
      <c r="K1613" s="397"/>
      <c r="L1613" s="451"/>
      <c r="M1613" s="449"/>
    </row>
    <row r="1614" spans="1:13" x14ac:dyDescent="0.25">
      <c r="A1614" s="397"/>
      <c r="B1614" s="397"/>
      <c r="C1614" s="397"/>
      <c r="D1614" s="397"/>
      <c r="E1614" s="397"/>
      <c r="F1614" s="397"/>
      <c r="G1614" s="397"/>
      <c r="H1614" s="397"/>
      <c r="I1614" s="450"/>
      <c r="J1614" s="397"/>
      <c r="K1614" s="397"/>
      <c r="L1614" s="451"/>
      <c r="M1614" s="449"/>
    </row>
    <row r="1615" spans="1:13" x14ac:dyDescent="0.25">
      <c r="A1615" s="397"/>
      <c r="B1615" s="397"/>
      <c r="C1615" s="397"/>
      <c r="D1615" s="397"/>
      <c r="E1615" s="397"/>
      <c r="F1615" s="397"/>
      <c r="G1615" s="397"/>
      <c r="H1615" s="397"/>
      <c r="I1615" s="450"/>
      <c r="J1615" s="397"/>
      <c r="K1615" s="397"/>
      <c r="L1615" s="451"/>
      <c r="M1615" s="449"/>
    </row>
    <row r="1616" spans="1:13" x14ac:dyDescent="0.25">
      <c r="A1616" s="397"/>
      <c r="B1616" s="397"/>
      <c r="C1616" s="397"/>
      <c r="D1616" s="397"/>
      <c r="E1616" s="397"/>
      <c r="F1616" s="397"/>
      <c r="G1616" s="397"/>
      <c r="H1616" s="397"/>
      <c r="I1616" s="450"/>
      <c r="J1616" s="397"/>
      <c r="K1616" s="397"/>
      <c r="L1616" s="451"/>
      <c r="M1616" s="449"/>
    </row>
    <row r="1617" spans="1:13" x14ac:dyDescent="0.25">
      <c r="A1617" s="397"/>
      <c r="B1617" s="397"/>
      <c r="C1617" s="397"/>
      <c r="D1617" s="397"/>
      <c r="E1617" s="397"/>
      <c r="F1617" s="397"/>
      <c r="G1617" s="397"/>
      <c r="H1617" s="397"/>
      <c r="I1617" s="450"/>
      <c r="J1617" s="397"/>
      <c r="K1617" s="397"/>
      <c r="L1617" s="451"/>
      <c r="M1617" s="449"/>
    </row>
    <row r="1618" spans="1:13" x14ac:dyDescent="0.25">
      <c r="A1618" s="397"/>
      <c r="B1618" s="397"/>
      <c r="C1618" s="397"/>
      <c r="D1618" s="397"/>
      <c r="E1618" s="397"/>
      <c r="F1618" s="397"/>
      <c r="G1618" s="397"/>
      <c r="H1618" s="397"/>
      <c r="I1618" s="450"/>
      <c r="J1618" s="397"/>
      <c r="K1618" s="397"/>
      <c r="L1618" s="451"/>
      <c r="M1618" s="449"/>
    </row>
    <row r="1619" spans="1:13" x14ac:dyDescent="0.25">
      <c r="A1619" s="397"/>
      <c r="B1619" s="397"/>
      <c r="C1619" s="397"/>
      <c r="D1619" s="397"/>
      <c r="E1619" s="397"/>
      <c r="F1619" s="397"/>
      <c r="G1619" s="397"/>
      <c r="H1619" s="397"/>
      <c r="I1619" s="450"/>
      <c r="J1619" s="397"/>
      <c r="K1619" s="397"/>
      <c r="L1619" s="451"/>
      <c r="M1619" s="449"/>
    </row>
    <row r="1620" spans="1:13" x14ac:dyDescent="0.25">
      <c r="A1620" s="397"/>
      <c r="B1620" s="397"/>
      <c r="C1620" s="397"/>
      <c r="D1620" s="397"/>
      <c r="E1620" s="397"/>
      <c r="F1620" s="397"/>
      <c r="G1620" s="397"/>
      <c r="H1620" s="397"/>
      <c r="I1620" s="450"/>
      <c r="J1620" s="397"/>
      <c r="K1620" s="397"/>
      <c r="L1620" s="451"/>
      <c r="M1620" s="449"/>
    </row>
    <row r="1621" spans="1:13" x14ac:dyDescent="0.25">
      <c r="A1621" s="397"/>
      <c r="B1621" s="397"/>
      <c r="C1621" s="397"/>
      <c r="D1621" s="397"/>
      <c r="E1621" s="397"/>
      <c r="F1621" s="397"/>
      <c r="G1621" s="397"/>
      <c r="H1621" s="397"/>
      <c r="I1621" s="450"/>
      <c r="J1621" s="397"/>
      <c r="K1621" s="397"/>
      <c r="L1621" s="451"/>
      <c r="M1621" s="449"/>
    </row>
    <row r="1622" spans="1:13" x14ac:dyDescent="0.25">
      <c r="A1622" s="397"/>
      <c r="B1622" s="397"/>
      <c r="C1622" s="397"/>
      <c r="D1622" s="397"/>
      <c r="E1622" s="397"/>
      <c r="F1622" s="397"/>
      <c r="G1622" s="397"/>
      <c r="H1622" s="397"/>
      <c r="I1622" s="450"/>
      <c r="J1622" s="397"/>
      <c r="K1622" s="397"/>
      <c r="L1622" s="451"/>
      <c r="M1622" s="449"/>
    </row>
    <row r="1623" spans="1:13" x14ac:dyDescent="0.25">
      <c r="A1623" s="397"/>
      <c r="B1623" s="397"/>
      <c r="C1623" s="397"/>
      <c r="D1623" s="397"/>
      <c r="E1623" s="397"/>
      <c r="F1623" s="397"/>
      <c r="G1623" s="397"/>
      <c r="H1623" s="397"/>
      <c r="I1623" s="450"/>
      <c r="J1623" s="397"/>
      <c r="K1623" s="397"/>
      <c r="L1623" s="451"/>
      <c r="M1623" s="449"/>
    </row>
    <row r="1624" spans="1:13" x14ac:dyDescent="0.25">
      <c r="A1624" s="397"/>
      <c r="B1624" s="397"/>
      <c r="C1624" s="397"/>
      <c r="D1624" s="397"/>
      <c r="E1624" s="397"/>
      <c r="F1624" s="397"/>
      <c r="G1624" s="397"/>
      <c r="H1624" s="397"/>
      <c r="I1624" s="450"/>
      <c r="J1624" s="397"/>
      <c r="K1624" s="397"/>
      <c r="L1624" s="451"/>
      <c r="M1624" s="449"/>
    </row>
    <row r="1625" spans="1:13" x14ac:dyDescent="0.25">
      <c r="A1625" s="397"/>
      <c r="B1625" s="397"/>
      <c r="C1625" s="397"/>
      <c r="D1625" s="397"/>
      <c r="E1625" s="397"/>
      <c r="F1625" s="397"/>
      <c r="G1625" s="397"/>
      <c r="H1625" s="397"/>
      <c r="I1625" s="450"/>
      <c r="J1625" s="397"/>
      <c r="K1625" s="397"/>
      <c r="L1625" s="451"/>
      <c r="M1625" s="449"/>
    </row>
    <row r="1626" spans="1:13" x14ac:dyDescent="0.25">
      <c r="A1626" s="397"/>
      <c r="B1626" s="397"/>
      <c r="C1626" s="397"/>
      <c r="D1626" s="397"/>
      <c r="E1626" s="397"/>
      <c r="F1626" s="397"/>
      <c r="G1626" s="397"/>
      <c r="H1626" s="397"/>
      <c r="I1626" s="450"/>
      <c r="J1626" s="397"/>
      <c r="K1626" s="397"/>
      <c r="L1626" s="451"/>
      <c r="M1626" s="449"/>
    </row>
    <row r="1627" spans="1:13" x14ac:dyDescent="0.25">
      <c r="A1627" s="397"/>
      <c r="B1627" s="397"/>
      <c r="C1627" s="397"/>
      <c r="D1627" s="397"/>
      <c r="E1627" s="397"/>
      <c r="F1627" s="397"/>
      <c r="G1627" s="397"/>
      <c r="H1627" s="397"/>
      <c r="I1627" s="450"/>
      <c r="J1627" s="397"/>
      <c r="K1627" s="397"/>
      <c r="L1627" s="451"/>
      <c r="M1627" s="449"/>
    </row>
    <row r="1628" spans="1:13" x14ac:dyDescent="0.25">
      <c r="A1628" s="397"/>
      <c r="B1628" s="397"/>
      <c r="C1628" s="397"/>
      <c r="D1628" s="397"/>
      <c r="E1628" s="397"/>
      <c r="F1628" s="397"/>
      <c r="G1628" s="397"/>
      <c r="H1628" s="397"/>
      <c r="I1628" s="450"/>
      <c r="J1628" s="397"/>
      <c r="K1628" s="397"/>
      <c r="L1628" s="451"/>
      <c r="M1628" s="449"/>
    </row>
    <row r="1629" spans="1:13" x14ac:dyDescent="0.25">
      <c r="A1629" s="397"/>
      <c r="B1629" s="397"/>
      <c r="C1629" s="397"/>
      <c r="D1629" s="397"/>
      <c r="E1629" s="397"/>
      <c r="F1629" s="397"/>
      <c r="G1629" s="397"/>
      <c r="H1629" s="397"/>
      <c r="I1629" s="450"/>
      <c r="J1629" s="397"/>
      <c r="K1629" s="397"/>
      <c r="L1629" s="451"/>
      <c r="M1629" s="449"/>
    </row>
    <row r="1630" spans="1:13" x14ac:dyDescent="0.25">
      <c r="A1630" s="397"/>
      <c r="B1630" s="397"/>
      <c r="C1630" s="397"/>
      <c r="D1630" s="397"/>
      <c r="E1630" s="397"/>
      <c r="F1630" s="397"/>
      <c r="G1630" s="397"/>
      <c r="H1630" s="397"/>
      <c r="I1630" s="450"/>
      <c r="J1630" s="397"/>
      <c r="K1630" s="397"/>
      <c r="L1630" s="451"/>
      <c r="M1630" s="449"/>
    </row>
    <row r="1631" spans="1:13" x14ac:dyDescent="0.25">
      <c r="A1631" s="397"/>
      <c r="B1631" s="397"/>
      <c r="C1631" s="397"/>
      <c r="D1631" s="397"/>
      <c r="E1631" s="397"/>
      <c r="F1631" s="397"/>
      <c r="G1631" s="397"/>
      <c r="H1631" s="397"/>
      <c r="I1631" s="450"/>
      <c r="J1631" s="397"/>
      <c r="K1631" s="397"/>
      <c r="L1631" s="451"/>
      <c r="M1631" s="449"/>
    </row>
    <row r="1632" spans="1:13" x14ac:dyDescent="0.25">
      <c r="A1632" s="397"/>
      <c r="B1632" s="397"/>
      <c r="C1632" s="397"/>
      <c r="D1632" s="397"/>
      <c r="E1632" s="397"/>
      <c r="F1632" s="397"/>
      <c r="G1632" s="397"/>
      <c r="H1632" s="397"/>
      <c r="I1632" s="450"/>
      <c r="J1632" s="397"/>
      <c r="K1632" s="397"/>
      <c r="L1632" s="451"/>
      <c r="M1632" s="449"/>
    </row>
    <row r="1633" spans="1:13" x14ac:dyDescent="0.25">
      <c r="A1633" s="397"/>
      <c r="B1633" s="397"/>
      <c r="C1633" s="397"/>
      <c r="D1633" s="397"/>
      <c r="E1633" s="397"/>
      <c r="F1633" s="397"/>
      <c r="G1633" s="397"/>
      <c r="H1633" s="397"/>
      <c r="I1633" s="450"/>
      <c r="J1633" s="397"/>
      <c r="K1633" s="397"/>
      <c r="L1633" s="451"/>
      <c r="M1633" s="449"/>
    </row>
    <row r="1634" spans="1:13" x14ac:dyDescent="0.25">
      <c r="A1634" s="397"/>
      <c r="B1634" s="397"/>
      <c r="C1634" s="397"/>
      <c r="D1634" s="397"/>
      <c r="E1634" s="397"/>
      <c r="F1634" s="397"/>
      <c r="G1634" s="397"/>
      <c r="H1634" s="397"/>
      <c r="I1634" s="450"/>
      <c r="J1634" s="397"/>
      <c r="K1634" s="397"/>
      <c r="L1634" s="451"/>
      <c r="M1634" s="449"/>
    </row>
    <row r="1635" spans="1:13" x14ac:dyDescent="0.25">
      <c r="A1635" s="397"/>
      <c r="B1635" s="397"/>
      <c r="C1635" s="397"/>
      <c r="D1635" s="397"/>
      <c r="E1635" s="397"/>
      <c r="F1635" s="397"/>
      <c r="G1635" s="397"/>
      <c r="H1635" s="397"/>
      <c r="I1635" s="450"/>
      <c r="J1635" s="397"/>
      <c r="K1635" s="397"/>
      <c r="L1635" s="451"/>
      <c r="M1635" s="449"/>
    </row>
    <row r="1636" spans="1:13" x14ac:dyDescent="0.25">
      <c r="A1636" s="397"/>
      <c r="B1636" s="397"/>
      <c r="C1636" s="397"/>
      <c r="D1636" s="397"/>
      <c r="E1636" s="397"/>
      <c r="F1636" s="397"/>
      <c r="G1636" s="397"/>
      <c r="H1636" s="397"/>
      <c r="I1636" s="450"/>
      <c r="J1636" s="397"/>
      <c r="K1636" s="397"/>
      <c r="L1636" s="451"/>
      <c r="M1636" s="449"/>
    </row>
    <row r="1637" spans="1:13" x14ac:dyDescent="0.25">
      <c r="A1637" s="397"/>
      <c r="B1637" s="397"/>
      <c r="C1637" s="397"/>
      <c r="D1637" s="397"/>
      <c r="E1637" s="397"/>
      <c r="F1637" s="397"/>
      <c r="G1637" s="397"/>
      <c r="H1637" s="397"/>
      <c r="I1637" s="450"/>
      <c r="J1637" s="397"/>
      <c r="K1637" s="397"/>
      <c r="L1637" s="451"/>
      <c r="M1637" s="449"/>
    </row>
    <row r="1638" spans="1:13" x14ac:dyDescent="0.25">
      <c r="A1638" s="397"/>
      <c r="B1638" s="397"/>
      <c r="C1638" s="397"/>
      <c r="D1638" s="397"/>
      <c r="E1638" s="397"/>
      <c r="F1638" s="397"/>
      <c r="G1638" s="397"/>
      <c r="H1638" s="397"/>
      <c r="I1638" s="450"/>
      <c r="J1638" s="397"/>
      <c r="K1638" s="397"/>
      <c r="L1638" s="451"/>
      <c r="M1638" s="449"/>
    </row>
    <row r="1639" spans="1:13" x14ac:dyDescent="0.25">
      <c r="A1639" s="397"/>
      <c r="B1639" s="397"/>
      <c r="C1639" s="397"/>
      <c r="D1639" s="397"/>
      <c r="E1639" s="397"/>
      <c r="F1639" s="397"/>
      <c r="G1639" s="397"/>
      <c r="H1639" s="397"/>
      <c r="I1639" s="450"/>
      <c r="J1639" s="397"/>
      <c r="K1639" s="397"/>
      <c r="L1639" s="451"/>
      <c r="M1639" s="449"/>
    </row>
    <row r="1640" spans="1:13" x14ac:dyDescent="0.25">
      <c r="A1640" s="397"/>
      <c r="B1640" s="397"/>
      <c r="C1640" s="397"/>
      <c r="D1640" s="397"/>
      <c r="E1640" s="397"/>
      <c r="F1640" s="397"/>
      <c r="G1640" s="397"/>
      <c r="H1640" s="397"/>
      <c r="I1640" s="450"/>
      <c r="J1640" s="397"/>
      <c r="K1640" s="397"/>
      <c r="L1640" s="451"/>
      <c r="M1640" s="449"/>
    </row>
    <row r="1641" spans="1:13" x14ac:dyDescent="0.25">
      <c r="A1641" s="397"/>
      <c r="B1641" s="397"/>
      <c r="C1641" s="397"/>
      <c r="D1641" s="397"/>
      <c r="E1641" s="397"/>
      <c r="F1641" s="397"/>
      <c r="G1641" s="397"/>
      <c r="H1641" s="397"/>
      <c r="I1641" s="450"/>
      <c r="J1641" s="397"/>
      <c r="K1641" s="397"/>
      <c r="L1641" s="451"/>
      <c r="M1641" s="449"/>
    </row>
    <row r="1642" spans="1:13" x14ac:dyDescent="0.25">
      <c r="A1642" s="397"/>
      <c r="B1642" s="397"/>
      <c r="C1642" s="397"/>
      <c r="D1642" s="397"/>
      <c r="E1642" s="397"/>
      <c r="F1642" s="397"/>
      <c r="G1642" s="397"/>
      <c r="H1642" s="397"/>
      <c r="I1642" s="450"/>
      <c r="J1642" s="397"/>
      <c r="K1642" s="397"/>
      <c r="L1642" s="451"/>
      <c r="M1642" s="449"/>
    </row>
    <row r="1643" spans="1:13" x14ac:dyDescent="0.25">
      <c r="A1643" s="397"/>
      <c r="B1643" s="397"/>
      <c r="C1643" s="397"/>
      <c r="D1643" s="397"/>
      <c r="E1643" s="397"/>
      <c r="F1643" s="397"/>
      <c r="G1643" s="397"/>
      <c r="H1643" s="397"/>
      <c r="I1643" s="450"/>
      <c r="J1643" s="397"/>
      <c r="K1643" s="397"/>
      <c r="L1643" s="451"/>
      <c r="M1643" s="449"/>
    </row>
    <row r="1644" spans="1:13" x14ac:dyDescent="0.25">
      <c r="A1644" s="397"/>
      <c r="B1644" s="397"/>
      <c r="C1644" s="397"/>
      <c r="D1644" s="397"/>
      <c r="E1644" s="397"/>
      <c r="F1644" s="397"/>
      <c r="G1644" s="397"/>
      <c r="H1644" s="397"/>
      <c r="I1644" s="450"/>
      <c r="J1644" s="397"/>
      <c r="K1644" s="397"/>
      <c r="L1644" s="451"/>
      <c r="M1644" s="449"/>
    </row>
    <row r="1645" spans="1:13" x14ac:dyDescent="0.25">
      <c r="A1645" s="397"/>
      <c r="B1645" s="397"/>
      <c r="C1645" s="397"/>
      <c r="D1645" s="397"/>
      <c r="E1645" s="397"/>
      <c r="F1645" s="397"/>
      <c r="G1645" s="397"/>
      <c r="H1645" s="397"/>
      <c r="I1645" s="450"/>
      <c r="J1645" s="397"/>
      <c r="K1645" s="397"/>
      <c r="L1645" s="451"/>
      <c r="M1645" s="449"/>
    </row>
    <row r="1646" spans="1:13" x14ac:dyDescent="0.25">
      <c r="A1646" s="397"/>
      <c r="B1646" s="397"/>
      <c r="C1646" s="397"/>
      <c r="D1646" s="397"/>
      <c r="E1646" s="397"/>
      <c r="F1646" s="397"/>
      <c r="G1646" s="397"/>
      <c r="H1646" s="397"/>
      <c r="I1646" s="450"/>
      <c r="J1646" s="397"/>
      <c r="K1646" s="397"/>
      <c r="L1646" s="451"/>
      <c r="M1646" s="449"/>
    </row>
    <row r="1647" spans="1:13" x14ac:dyDescent="0.25">
      <c r="A1647" s="397"/>
      <c r="B1647" s="397"/>
      <c r="C1647" s="397"/>
      <c r="D1647" s="397"/>
      <c r="E1647" s="397"/>
      <c r="F1647" s="397"/>
      <c r="G1647" s="397"/>
      <c r="H1647" s="397"/>
      <c r="I1647" s="450"/>
      <c r="J1647" s="397"/>
      <c r="K1647" s="397"/>
      <c r="L1647" s="451"/>
      <c r="M1647" s="449"/>
    </row>
    <row r="1648" spans="1:13" x14ac:dyDescent="0.25">
      <c r="A1648" s="397"/>
      <c r="B1648" s="397"/>
      <c r="C1648" s="397"/>
      <c r="D1648" s="397"/>
      <c r="E1648" s="397"/>
      <c r="F1648" s="397"/>
      <c r="G1648" s="397"/>
      <c r="H1648" s="397"/>
      <c r="I1648" s="450"/>
      <c r="J1648" s="397"/>
      <c r="K1648" s="397"/>
      <c r="L1648" s="451"/>
      <c r="M1648" s="449"/>
    </row>
    <row r="1649" spans="1:13" x14ac:dyDescent="0.25">
      <c r="A1649" s="397"/>
      <c r="B1649" s="397"/>
      <c r="C1649" s="397"/>
      <c r="D1649" s="397"/>
      <c r="E1649" s="397"/>
      <c r="F1649" s="397"/>
      <c r="G1649" s="397"/>
      <c r="H1649" s="397"/>
      <c r="I1649" s="450"/>
      <c r="J1649" s="397"/>
      <c r="K1649" s="397"/>
      <c r="L1649" s="451"/>
      <c r="M1649" s="449"/>
    </row>
    <row r="1650" spans="1:13" x14ac:dyDescent="0.25">
      <c r="A1650" s="397"/>
      <c r="B1650" s="397"/>
      <c r="C1650" s="397"/>
      <c r="D1650" s="397"/>
      <c r="E1650" s="397"/>
      <c r="F1650" s="397"/>
      <c r="G1650" s="397"/>
      <c r="H1650" s="397"/>
      <c r="I1650" s="450"/>
      <c r="J1650" s="397"/>
      <c r="K1650" s="397"/>
      <c r="L1650" s="451"/>
      <c r="M1650" s="449"/>
    </row>
    <row r="1651" spans="1:13" x14ac:dyDescent="0.25">
      <c r="A1651" s="397"/>
      <c r="B1651" s="397"/>
      <c r="C1651" s="397"/>
      <c r="D1651" s="397"/>
      <c r="E1651" s="397"/>
      <c r="F1651" s="397"/>
      <c r="G1651" s="397"/>
      <c r="H1651" s="397"/>
      <c r="I1651" s="450"/>
      <c r="J1651" s="397"/>
      <c r="K1651" s="397"/>
      <c r="L1651" s="451"/>
      <c r="M1651" s="449"/>
    </row>
    <row r="1652" spans="1:13" x14ac:dyDescent="0.25">
      <c r="A1652" s="397"/>
      <c r="B1652" s="397"/>
      <c r="C1652" s="397"/>
      <c r="D1652" s="397"/>
      <c r="E1652" s="397"/>
      <c r="F1652" s="397"/>
      <c r="G1652" s="397"/>
      <c r="H1652" s="397"/>
      <c r="I1652" s="450"/>
      <c r="J1652" s="397"/>
      <c r="K1652" s="397"/>
      <c r="L1652" s="451"/>
      <c r="M1652" s="449"/>
    </row>
    <row r="1653" spans="1:13" x14ac:dyDescent="0.25">
      <c r="A1653" s="397"/>
      <c r="B1653" s="397"/>
      <c r="C1653" s="397"/>
      <c r="D1653" s="397"/>
      <c r="E1653" s="397"/>
      <c r="F1653" s="397"/>
      <c r="G1653" s="397"/>
      <c r="H1653" s="397"/>
      <c r="I1653" s="450"/>
      <c r="J1653" s="397"/>
      <c r="K1653" s="397"/>
      <c r="L1653" s="451"/>
      <c r="M1653" s="449"/>
    </row>
    <row r="1654" spans="1:13" x14ac:dyDescent="0.25">
      <c r="A1654" s="397"/>
      <c r="B1654" s="397"/>
      <c r="C1654" s="397"/>
      <c r="D1654" s="397"/>
      <c r="E1654" s="397"/>
      <c r="F1654" s="397"/>
      <c r="G1654" s="397"/>
      <c r="H1654" s="397"/>
      <c r="I1654" s="450"/>
      <c r="J1654" s="397"/>
      <c r="K1654" s="397"/>
      <c r="L1654" s="451"/>
      <c r="M1654" s="449"/>
    </row>
    <row r="1655" spans="1:13" x14ac:dyDescent="0.25">
      <c r="A1655" s="397"/>
      <c r="B1655" s="397"/>
      <c r="C1655" s="397"/>
      <c r="D1655" s="397"/>
      <c r="E1655" s="397"/>
      <c r="F1655" s="397"/>
      <c r="G1655" s="397"/>
      <c r="H1655" s="397"/>
      <c r="I1655" s="450"/>
      <c r="J1655" s="397"/>
      <c r="K1655" s="397"/>
      <c r="L1655" s="451"/>
      <c r="M1655" s="449"/>
    </row>
    <row r="1656" spans="1:13" x14ac:dyDescent="0.25">
      <c r="A1656" s="397"/>
      <c r="B1656" s="397"/>
      <c r="C1656" s="397"/>
      <c r="D1656" s="397"/>
      <c r="E1656" s="397"/>
      <c r="F1656" s="397"/>
      <c r="G1656" s="397"/>
      <c r="H1656" s="397"/>
      <c r="I1656" s="450"/>
      <c r="J1656" s="397"/>
      <c r="K1656" s="397"/>
      <c r="L1656" s="451"/>
      <c r="M1656" s="449"/>
    </row>
    <row r="1657" spans="1:13" x14ac:dyDescent="0.25">
      <c r="A1657" s="397"/>
      <c r="B1657" s="397"/>
      <c r="C1657" s="397"/>
      <c r="D1657" s="397"/>
      <c r="E1657" s="397"/>
      <c r="F1657" s="397"/>
      <c r="G1657" s="397"/>
      <c r="H1657" s="397"/>
      <c r="I1657" s="450"/>
      <c r="J1657" s="397"/>
      <c r="K1657" s="397"/>
      <c r="L1657" s="451"/>
      <c r="M1657" s="449"/>
    </row>
    <row r="1658" spans="1:13" x14ac:dyDescent="0.25">
      <c r="A1658" s="397"/>
      <c r="B1658" s="397"/>
      <c r="C1658" s="397"/>
      <c r="D1658" s="397"/>
      <c r="E1658" s="397"/>
      <c r="F1658" s="397"/>
      <c r="G1658" s="397"/>
      <c r="H1658" s="397"/>
      <c r="I1658" s="450"/>
      <c r="J1658" s="397"/>
      <c r="K1658" s="397"/>
      <c r="L1658" s="451"/>
      <c r="M1658" s="449"/>
    </row>
    <row r="1659" spans="1:13" x14ac:dyDescent="0.25">
      <c r="A1659" s="397"/>
      <c r="B1659" s="397"/>
      <c r="C1659" s="397"/>
      <c r="D1659" s="397"/>
      <c r="E1659" s="397"/>
      <c r="F1659" s="397"/>
      <c r="G1659" s="397"/>
      <c r="H1659" s="397"/>
      <c r="I1659" s="450"/>
      <c r="J1659" s="397"/>
      <c r="K1659" s="397"/>
      <c r="L1659" s="451"/>
      <c r="M1659" s="449"/>
    </row>
    <row r="1660" spans="1:13" x14ac:dyDescent="0.25">
      <c r="A1660" s="397"/>
      <c r="B1660" s="397"/>
      <c r="C1660" s="397"/>
      <c r="D1660" s="397"/>
      <c r="E1660" s="397"/>
      <c r="F1660" s="397"/>
      <c r="G1660" s="397"/>
      <c r="H1660" s="397"/>
      <c r="I1660" s="450"/>
      <c r="J1660" s="397"/>
      <c r="K1660" s="397"/>
      <c r="L1660" s="451"/>
      <c r="M1660" s="449"/>
    </row>
    <row r="1661" spans="1:13" x14ac:dyDescent="0.25">
      <c r="A1661" s="397"/>
      <c r="B1661" s="397"/>
      <c r="C1661" s="397"/>
      <c r="D1661" s="397"/>
      <c r="E1661" s="397"/>
      <c r="F1661" s="397"/>
      <c r="G1661" s="397"/>
      <c r="H1661" s="397"/>
      <c r="I1661" s="450"/>
      <c r="J1661" s="397"/>
      <c r="K1661" s="397"/>
      <c r="L1661" s="451"/>
      <c r="M1661" s="449"/>
    </row>
    <row r="1662" spans="1:13" x14ac:dyDescent="0.25">
      <c r="A1662" s="397"/>
      <c r="B1662" s="397"/>
      <c r="C1662" s="397"/>
      <c r="D1662" s="397"/>
      <c r="E1662" s="397"/>
      <c r="F1662" s="397"/>
      <c r="G1662" s="397"/>
      <c r="H1662" s="397"/>
      <c r="I1662" s="450"/>
      <c r="J1662" s="397"/>
      <c r="K1662" s="397"/>
      <c r="L1662" s="451"/>
      <c r="M1662" s="449"/>
    </row>
    <row r="1663" spans="1:13" x14ac:dyDescent="0.25">
      <c r="A1663" s="397"/>
      <c r="B1663" s="397"/>
      <c r="C1663" s="397"/>
      <c r="D1663" s="397"/>
      <c r="E1663" s="397"/>
      <c r="F1663" s="397"/>
      <c r="G1663" s="397"/>
      <c r="H1663" s="397"/>
      <c r="I1663" s="450"/>
      <c r="J1663" s="397"/>
      <c r="K1663" s="397"/>
      <c r="L1663" s="451"/>
      <c r="M1663" s="449"/>
    </row>
    <row r="1664" spans="1:13" x14ac:dyDescent="0.25">
      <c r="A1664" s="397"/>
      <c r="B1664" s="397"/>
      <c r="C1664" s="397"/>
      <c r="D1664" s="397"/>
      <c r="E1664" s="397"/>
      <c r="F1664" s="397"/>
      <c r="G1664" s="397"/>
      <c r="H1664" s="397"/>
      <c r="I1664" s="450"/>
      <c r="J1664" s="397"/>
      <c r="K1664" s="397"/>
      <c r="L1664" s="451"/>
      <c r="M1664" s="449"/>
    </row>
    <row r="1665" spans="1:13" x14ac:dyDescent="0.25">
      <c r="A1665" s="397"/>
      <c r="B1665" s="397"/>
      <c r="C1665" s="397"/>
      <c r="D1665" s="397"/>
      <c r="E1665" s="397"/>
      <c r="F1665" s="397"/>
      <c r="G1665" s="397"/>
      <c r="H1665" s="397"/>
      <c r="I1665" s="450"/>
      <c r="J1665" s="397"/>
      <c r="K1665" s="397"/>
      <c r="L1665" s="451"/>
      <c r="M1665" s="449"/>
    </row>
    <row r="1666" spans="1:13" x14ac:dyDescent="0.25">
      <c r="A1666" s="397"/>
      <c r="B1666" s="397"/>
      <c r="C1666" s="397"/>
      <c r="D1666" s="397"/>
      <c r="E1666" s="397"/>
      <c r="F1666" s="397"/>
      <c r="G1666" s="397"/>
      <c r="H1666" s="397"/>
      <c r="I1666" s="450"/>
      <c r="J1666" s="397"/>
      <c r="K1666" s="397"/>
      <c r="L1666" s="451"/>
      <c r="M1666" s="449"/>
    </row>
    <row r="1667" spans="1:13" x14ac:dyDescent="0.25">
      <c r="A1667" s="397"/>
      <c r="B1667" s="397"/>
      <c r="C1667" s="397"/>
      <c r="D1667" s="397"/>
      <c r="E1667" s="397"/>
      <c r="F1667" s="397"/>
      <c r="G1667" s="397"/>
      <c r="H1667" s="397"/>
      <c r="I1667" s="450"/>
      <c r="J1667" s="397"/>
      <c r="K1667" s="397"/>
      <c r="L1667" s="451"/>
      <c r="M1667" s="449"/>
    </row>
    <row r="1668" spans="1:13" x14ac:dyDescent="0.25">
      <c r="A1668" s="397"/>
      <c r="B1668" s="397"/>
      <c r="C1668" s="397"/>
      <c r="D1668" s="397"/>
      <c r="E1668" s="397"/>
      <c r="F1668" s="397"/>
      <c r="G1668" s="397"/>
      <c r="H1668" s="397"/>
      <c r="I1668" s="450"/>
      <c r="J1668" s="397"/>
      <c r="K1668" s="397"/>
      <c r="L1668" s="451"/>
      <c r="M1668" s="449"/>
    </row>
    <row r="1669" spans="1:13" x14ac:dyDescent="0.25">
      <c r="A1669" s="397"/>
      <c r="B1669" s="397"/>
      <c r="C1669" s="397"/>
      <c r="D1669" s="397"/>
      <c r="E1669" s="397"/>
      <c r="F1669" s="397"/>
      <c r="G1669" s="397"/>
      <c r="H1669" s="397"/>
      <c r="I1669" s="450"/>
      <c r="J1669" s="397"/>
      <c r="K1669" s="397"/>
      <c r="L1669" s="451"/>
      <c r="M1669" s="449"/>
    </row>
    <row r="1670" spans="1:13" x14ac:dyDescent="0.25">
      <c r="A1670" s="397"/>
      <c r="B1670" s="397"/>
      <c r="C1670" s="397"/>
      <c r="D1670" s="397"/>
      <c r="E1670" s="397"/>
      <c r="F1670" s="397"/>
      <c r="G1670" s="397"/>
      <c r="H1670" s="397"/>
      <c r="I1670" s="450"/>
      <c r="J1670" s="397"/>
      <c r="K1670" s="397"/>
      <c r="L1670" s="451"/>
      <c r="M1670" s="449"/>
    </row>
    <row r="1671" spans="1:13" x14ac:dyDescent="0.25">
      <c r="A1671" s="397"/>
      <c r="B1671" s="397"/>
      <c r="C1671" s="397"/>
      <c r="D1671" s="397"/>
      <c r="E1671" s="397"/>
      <c r="F1671" s="397"/>
      <c r="G1671" s="397"/>
      <c r="H1671" s="397"/>
      <c r="I1671" s="450"/>
      <c r="J1671" s="397"/>
      <c r="K1671" s="397"/>
      <c r="L1671" s="451"/>
      <c r="M1671" s="449"/>
    </row>
    <row r="1672" spans="1:13" x14ac:dyDescent="0.25">
      <c r="A1672" s="397"/>
      <c r="B1672" s="397"/>
      <c r="C1672" s="397"/>
      <c r="D1672" s="397"/>
      <c r="E1672" s="397"/>
      <c r="F1672" s="397"/>
      <c r="G1672" s="397"/>
      <c r="H1672" s="397"/>
      <c r="I1672" s="450"/>
      <c r="J1672" s="397"/>
      <c r="K1672" s="397"/>
      <c r="L1672" s="451"/>
      <c r="M1672" s="449"/>
    </row>
    <row r="1673" spans="1:13" x14ac:dyDescent="0.25">
      <c r="A1673" s="397"/>
      <c r="B1673" s="397"/>
      <c r="C1673" s="397"/>
      <c r="D1673" s="397"/>
      <c r="E1673" s="397"/>
      <c r="F1673" s="397"/>
      <c r="G1673" s="397"/>
      <c r="H1673" s="397"/>
      <c r="I1673" s="450"/>
      <c r="J1673" s="397"/>
      <c r="K1673" s="397"/>
      <c r="L1673" s="451"/>
      <c r="M1673" s="449"/>
    </row>
    <row r="1674" spans="1:13" x14ac:dyDescent="0.25">
      <c r="A1674" s="397"/>
      <c r="B1674" s="397"/>
      <c r="C1674" s="397"/>
      <c r="D1674" s="397"/>
      <c r="E1674" s="397"/>
      <c r="F1674" s="397"/>
      <c r="G1674" s="397"/>
      <c r="H1674" s="397"/>
      <c r="I1674" s="450"/>
      <c r="J1674" s="397"/>
      <c r="K1674" s="397"/>
      <c r="L1674" s="451"/>
      <c r="M1674" s="449"/>
    </row>
    <row r="1675" spans="1:13" x14ac:dyDescent="0.25">
      <c r="A1675" s="397"/>
      <c r="B1675" s="397"/>
      <c r="C1675" s="397"/>
      <c r="D1675" s="397"/>
      <c r="E1675" s="397"/>
      <c r="F1675" s="397"/>
      <c r="G1675" s="397"/>
      <c r="H1675" s="397"/>
      <c r="I1675" s="450"/>
      <c r="J1675" s="397"/>
      <c r="K1675" s="397"/>
      <c r="L1675" s="451"/>
      <c r="M1675" s="449"/>
    </row>
    <row r="1676" spans="1:13" x14ac:dyDescent="0.25">
      <c r="A1676" s="397"/>
      <c r="B1676" s="397"/>
      <c r="C1676" s="397"/>
      <c r="D1676" s="397"/>
      <c r="E1676" s="397"/>
      <c r="F1676" s="397"/>
      <c r="G1676" s="397"/>
      <c r="H1676" s="397"/>
      <c r="I1676" s="450"/>
      <c r="J1676" s="397"/>
      <c r="K1676" s="397"/>
      <c r="L1676" s="451"/>
      <c r="M1676" s="449"/>
    </row>
    <row r="1677" spans="1:13" x14ac:dyDescent="0.25">
      <c r="A1677" s="397"/>
      <c r="B1677" s="397"/>
      <c r="C1677" s="397"/>
      <c r="D1677" s="397"/>
      <c r="E1677" s="397"/>
      <c r="F1677" s="397"/>
      <c r="G1677" s="397"/>
      <c r="H1677" s="397"/>
      <c r="I1677" s="450"/>
      <c r="J1677" s="397"/>
      <c r="K1677" s="397"/>
      <c r="L1677" s="451"/>
      <c r="M1677" s="449"/>
    </row>
    <row r="1678" spans="1:13" x14ac:dyDescent="0.25">
      <c r="A1678" s="397"/>
      <c r="B1678" s="397"/>
      <c r="C1678" s="397"/>
      <c r="D1678" s="397"/>
      <c r="E1678" s="397"/>
      <c r="F1678" s="397"/>
      <c r="G1678" s="397"/>
      <c r="H1678" s="397"/>
      <c r="I1678" s="450"/>
      <c r="J1678" s="397"/>
      <c r="K1678" s="397"/>
      <c r="L1678" s="451"/>
      <c r="M1678" s="449"/>
    </row>
    <row r="1679" spans="1:13" x14ac:dyDescent="0.25">
      <c r="A1679" s="397"/>
      <c r="B1679" s="397"/>
      <c r="C1679" s="397"/>
      <c r="D1679" s="397"/>
      <c r="E1679" s="397"/>
      <c r="F1679" s="397"/>
      <c r="G1679" s="397"/>
      <c r="H1679" s="397"/>
      <c r="I1679" s="450"/>
      <c r="J1679" s="397"/>
      <c r="K1679" s="397"/>
      <c r="L1679" s="451"/>
      <c r="M1679" s="449"/>
    </row>
    <row r="1680" spans="1:13" x14ac:dyDescent="0.25">
      <c r="A1680" s="397"/>
      <c r="B1680" s="397"/>
      <c r="C1680" s="397"/>
      <c r="D1680" s="397"/>
      <c r="E1680" s="397"/>
      <c r="F1680" s="397"/>
      <c r="G1680" s="397"/>
      <c r="H1680" s="397"/>
      <c r="I1680" s="450"/>
      <c r="J1680" s="397"/>
      <c r="K1680" s="397"/>
      <c r="L1680" s="451"/>
      <c r="M1680" s="449"/>
    </row>
    <row r="1681" spans="1:13" x14ac:dyDescent="0.25">
      <c r="A1681" s="397"/>
      <c r="B1681" s="397"/>
      <c r="C1681" s="397"/>
      <c r="D1681" s="397"/>
      <c r="E1681" s="397"/>
      <c r="F1681" s="397"/>
      <c r="G1681" s="397"/>
      <c r="H1681" s="397"/>
      <c r="I1681" s="450"/>
      <c r="J1681" s="397"/>
      <c r="K1681" s="397"/>
      <c r="L1681" s="451"/>
      <c r="M1681" s="449"/>
    </row>
    <row r="1682" spans="1:13" x14ac:dyDescent="0.25">
      <c r="A1682" s="397"/>
      <c r="B1682" s="397"/>
      <c r="C1682" s="397"/>
      <c r="D1682" s="397"/>
      <c r="E1682" s="397"/>
      <c r="F1682" s="397"/>
      <c r="G1682" s="397"/>
      <c r="H1682" s="397"/>
      <c r="I1682" s="450"/>
      <c r="J1682" s="397"/>
      <c r="K1682" s="397"/>
      <c r="L1682" s="451"/>
      <c r="M1682" s="449"/>
    </row>
    <row r="1683" spans="1:13" x14ac:dyDescent="0.25">
      <c r="A1683" s="397"/>
      <c r="B1683" s="397"/>
      <c r="C1683" s="397"/>
      <c r="D1683" s="397"/>
      <c r="E1683" s="397"/>
      <c r="F1683" s="397"/>
      <c r="G1683" s="397"/>
      <c r="H1683" s="397"/>
      <c r="I1683" s="450"/>
      <c r="J1683" s="397"/>
      <c r="K1683" s="397"/>
      <c r="L1683" s="451"/>
      <c r="M1683" s="449"/>
    </row>
    <row r="1684" spans="1:13" x14ac:dyDescent="0.25">
      <c r="A1684" s="397"/>
      <c r="B1684" s="397"/>
      <c r="C1684" s="397"/>
      <c r="D1684" s="397"/>
      <c r="E1684" s="397"/>
      <c r="F1684" s="397"/>
      <c r="G1684" s="397"/>
      <c r="H1684" s="397"/>
      <c r="I1684" s="450"/>
      <c r="J1684" s="397"/>
      <c r="K1684" s="397"/>
      <c r="L1684" s="451"/>
      <c r="M1684" s="449"/>
    </row>
    <row r="1685" spans="1:13" x14ac:dyDescent="0.25">
      <c r="A1685" s="397"/>
      <c r="B1685" s="397"/>
      <c r="C1685" s="397"/>
      <c r="D1685" s="397"/>
      <c r="E1685" s="397"/>
      <c r="F1685" s="397"/>
      <c r="G1685" s="397"/>
      <c r="H1685" s="397"/>
      <c r="I1685" s="450"/>
      <c r="J1685" s="397"/>
      <c r="K1685" s="397"/>
      <c r="L1685" s="451"/>
      <c r="M1685" s="449"/>
    </row>
    <row r="1686" spans="1:13" x14ac:dyDescent="0.25">
      <c r="A1686" s="397"/>
      <c r="B1686" s="397"/>
      <c r="C1686" s="397"/>
      <c r="D1686" s="397"/>
      <c r="E1686" s="397"/>
      <c r="F1686" s="397"/>
      <c r="G1686" s="397"/>
      <c r="H1686" s="397"/>
      <c r="I1686" s="450"/>
      <c r="J1686" s="397"/>
      <c r="K1686" s="397"/>
      <c r="L1686" s="451"/>
      <c r="M1686" s="449"/>
    </row>
    <row r="1687" spans="1:13" x14ac:dyDescent="0.25">
      <c r="A1687" s="397"/>
      <c r="B1687" s="397"/>
      <c r="C1687" s="397"/>
      <c r="D1687" s="397"/>
      <c r="E1687" s="397"/>
      <c r="F1687" s="397"/>
      <c r="G1687" s="397"/>
      <c r="H1687" s="397"/>
      <c r="I1687" s="450"/>
      <c r="J1687" s="397"/>
      <c r="K1687" s="397"/>
      <c r="L1687" s="451"/>
      <c r="M1687" s="449"/>
    </row>
    <row r="1688" spans="1:13" x14ac:dyDescent="0.25">
      <c r="A1688" s="397"/>
      <c r="B1688" s="397"/>
      <c r="C1688" s="397"/>
      <c r="D1688" s="397"/>
      <c r="E1688" s="397"/>
      <c r="F1688" s="397"/>
      <c r="G1688" s="397"/>
      <c r="H1688" s="397"/>
      <c r="I1688" s="450"/>
      <c r="J1688" s="397"/>
      <c r="K1688" s="397"/>
      <c r="L1688" s="451"/>
      <c r="M1688" s="449"/>
    </row>
    <row r="1689" spans="1:13" x14ac:dyDescent="0.25">
      <c r="A1689" s="397"/>
      <c r="B1689" s="397"/>
      <c r="C1689" s="397"/>
      <c r="D1689" s="397"/>
      <c r="E1689" s="397"/>
      <c r="F1689" s="397"/>
      <c r="G1689" s="397"/>
      <c r="H1689" s="397"/>
      <c r="I1689" s="450"/>
      <c r="J1689" s="397"/>
      <c r="K1689" s="397"/>
      <c r="L1689" s="451"/>
      <c r="M1689" s="449"/>
    </row>
    <row r="1690" spans="1:13" x14ac:dyDescent="0.25">
      <c r="A1690" s="397"/>
      <c r="B1690" s="397"/>
      <c r="C1690" s="397"/>
      <c r="D1690" s="397"/>
      <c r="E1690" s="397"/>
      <c r="F1690" s="397"/>
      <c r="G1690" s="397"/>
      <c r="H1690" s="397"/>
      <c r="I1690" s="450"/>
      <c r="J1690" s="397"/>
      <c r="K1690" s="397"/>
      <c r="L1690" s="451"/>
      <c r="M1690" s="449"/>
    </row>
    <row r="1691" spans="1:13" x14ac:dyDescent="0.25">
      <c r="A1691" s="397"/>
      <c r="B1691" s="397"/>
      <c r="C1691" s="397"/>
      <c r="D1691" s="397"/>
      <c r="E1691" s="397"/>
      <c r="F1691" s="397"/>
      <c r="G1691" s="397"/>
      <c r="H1691" s="397"/>
      <c r="I1691" s="450"/>
      <c r="J1691" s="397"/>
      <c r="K1691" s="397"/>
      <c r="L1691" s="451"/>
      <c r="M1691" s="449"/>
    </row>
    <row r="1692" spans="1:13" x14ac:dyDescent="0.25">
      <c r="A1692" s="397"/>
      <c r="B1692" s="397"/>
      <c r="C1692" s="397"/>
      <c r="D1692" s="397"/>
      <c r="E1692" s="397"/>
      <c r="F1692" s="397"/>
      <c r="G1692" s="397"/>
      <c r="H1692" s="397"/>
      <c r="I1692" s="450"/>
      <c r="J1692" s="397"/>
      <c r="K1692" s="397"/>
      <c r="L1692" s="451"/>
      <c r="M1692" s="449"/>
    </row>
    <row r="1693" spans="1:13" x14ac:dyDescent="0.25">
      <c r="A1693" s="397"/>
      <c r="B1693" s="397"/>
      <c r="C1693" s="397"/>
      <c r="D1693" s="397"/>
      <c r="E1693" s="397"/>
      <c r="F1693" s="397"/>
      <c r="G1693" s="397"/>
      <c r="H1693" s="397"/>
      <c r="I1693" s="450"/>
      <c r="J1693" s="397"/>
      <c r="K1693" s="397"/>
      <c r="L1693" s="451"/>
      <c r="M1693" s="449"/>
    </row>
    <row r="1694" spans="1:13" x14ac:dyDescent="0.25">
      <c r="A1694" s="397"/>
      <c r="B1694" s="397"/>
      <c r="C1694" s="397"/>
      <c r="D1694" s="397"/>
      <c r="E1694" s="397"/>
      <c r="F1694" s="397"/>
      <c r="G1694" s="397"/>
      <c r="H1694" s="397"/>
      <c r="I1694" s="450"/>
      <c r="J1694" s="397"/>
      <c r="K1694" s="397"/>
      <c r="L1694" s="451"/>
      <c r="M1694" s="449"/>
    </row>
    <row r="1695" spans="1:13" x14ac:dyDescent="0.25">
      <c r="A1695" s="397"/>
      <c r="B1695" s="397"/>
      <c r="C1695" s="397"/>
      <c r="D1695" s="397"/>
      <c r="E1695" s="397"/>
      <c r="F1695" s="397"/>
      <c r="G1695" s="397"/>
      <c r="H1695" s="397"/>
      <c r="I1695" s="450"/>
      <c r="J1695" s="397"/>
      <c r="K1695" s="397"/>
      <c r="L1695" s="451"/>
      <c r="M1695" s="449"/>
    </row>
    <row r="1696" spans="1:13" x14ac:dyDescent="0.25">
      <c r="A1696" s="397"/>
      <c r="B1696" s="397"/>
      <c r="C1696" s="397"/>
      <c r="D1696" s="397"/>
      <c r="E1696" s="397"/>
      <c r="F1696" s="397"/>
      <c r="G1696" s="397"/>
      <c r="H1696" s="397"/>
      <c r="I1696" s="450"/>
      <c r="J1696" s="397"/>
      <c r="K1696" s="397"/>
      <c r="L1696" s="451"/>
      <c r="M1696" s="449"/>
    </row>
    <row r="1697" spans="1:13" x14ac:dyDescent="0.25">
      <c r="A1697" s="397"/>
      <c r="B1697" s="397"/>
      <c r="C1697" s="397"/>
      <c r="D1697" s="397"/>
      <c r="E1697" s="397"/>
      <c r="F1697" s="397"/>
      <c r="G1697" s="397"/>
      <c r="H1697" s="397"/>
      <c r="I1697" s="450"/>
      <c r="J1697" s="397"/>
      <c r="K1697" s="397"/>
      <c r="L1697" s="451"/>
      <c r="M1697" s="449"/>
    </row>
    <row r="1698" spans="1:13" x14ac:dyDescent="0.25">
      <c r="A1698" s="397"/>
      <c r="B1698" s="397"/>
      <c r="C1698" s="397"/>
      <c r="D1698" s="397"/>
      <c r="E1698" s="397"/>
      <c r="F1698" s="397"/>
      <c r="G1698" s="397"/>
      <c r="H1698" s="397"/>
      <c r="I1698" s="450"/>
      <c r="J1698" s="397"/>
      <c r="K1698" s="397"/>
      <c r="L1698" s="451"/>
      <c r="M1698" s="449"/>
    </row>
    <row r="1699" spans="1:13" x14ac:dyDescent="0.25">
      <c r="A1699" s="397"/>
      <c r="B1699" s="397"/>
      <c r="C1699" s="397"/>
      <c r="D1699" s="397"/>
      <c r="E1699" s="397"/>
      <c r="F1699" s="397"/>
      <c r="G1699" s="397"/>
      <c r="H1699" s="397"/>
      <c r="I1699" s="450"/>
      <c r="J1699" s="397"/>
      <c r="K1699" s="397"/>
      <c r="L1699" s="451"/>
      <c r="M1699" s="449"/>
    </row>
    <row r="1700" spans="1:13" x14ac:dyDescent="0.25">
      <c r="A1700" s="397"/>
      <c r="B1700" s="397"/>
      <c r="C1700" s="397"/>
      <c r="D1700" s="397"/>
      <c r="E1700" s="397"/>
      <c r="F1700" s="397"/>
      <c r="G1700" s="397"/>
      <c r="H1700" s="397"/>
      <c r="I1700" s="450"/>
      <c r="J1700" s="397"/>
      <c r="K1700" s="397"/>
      <c r="L1700" s="451"/>
      <c r="M1700" s="449"/>
    </row>
    <row r="1701" spans="1:13" x14ac:dyDescent="0.25">
      <c r="A1701" s="397"/>
      <c r="B1701" s="397"/>
      <c r="C1701" s="397"/>
      <c r="D1701" s="397"/>
      <c r="E1701" s="397"/>
      <c r="F1701" s="397"/>
      <c r="G1701" s="397"/>
      <c r="H1701" s="397"/>
      <c r="I1701" s="450"/>
      <c r="J1701" s="397"/>
      <c r="K1701" s="397"/>
      <c r="L1701" s="451"/>
      <c r="M1701" s="449"/>
    </row>
    <row r="1702" spans="1:13" x14ac:dyDescent="0.25">
      <c r="A1702" s="397"/>
      <c r="B1702" s="397"/>
      <c r="C1702" s="397"/>
      <c r="D1702" s="397"/>
      <c r="E1702" s="397"/>
      <c r="F1702" s="397"/>
      <c r="G1702" s="397"/>
      <c r="H1702" s="397"/>
      <c r="I1702" s="450"/>
      <c r="J1702" s="397"/>
      <c r="K1702" s="397"/>
      <c r="L1702" s="451"/>
      <c r="M1702" s="449"/>
    </row>
    <row r="1703" spans="1:13" x14ac:dyDescent="0.25">
      <c r="A1703" s="397"/>
      <c r="B1703" s="397"/>
      <c r="C1703" s="397"/>
      <c r="D1703" s="397"/>
      <c r="E1703" s="397"/>
      <c r="F1703" s="397"/>
      <c r="G1703" s="397"/>
      <c r="H1703" s="397"/>
      <c r="I1703" s="450"/>
      <c r="J1703" s="397"/>
      <c r="K1703" s="397"/>
      <c r="L1703" s="451"/>
      <c r="M1703" s="449"/>
    </row>
    <row r="1704" spans="1:13" x14ac:dyDescent="0.25">
      <c r="A1704" s="397"/>
      <c r="B1704" s="397"/>
      <c r="C1704" s="397"/>
      <c r="D1704" s="397"/>
      <c r="E1704" s="397"/>
      <c r="F1704" s="397"/>
      <c r="G1704" s="397"/>
      <c r="H1704" s="397"/>
      <c r="I1704" s="450"/>
      <c r="J1704" s="397"/>
      <c r="K1704" s="397"/>
      <c r="L1704" s="451"/>
      <c r="M1704" s="449"/>
    </row>
    <row r="1705" spans="1:13" x14ac:dyDescent="0.25">
      <c r="A1705" s="397"/>
      <c r="B1705" s="397"/>
      <c r="C1705" s="397"/>
      <c r="D1705" s="397"/>
      <c r="E1705" s="397"/>
      <c r="F1705" s="397"/>
      <c r="G1705" s="397"/>
      <c r="H1705" s="397"/>
      <c r="I1705" s="450"/>
      <c r="J1705" s="397"/>
      <c r="K1705" s="397"/>
      <c r="L1705" s="451"/>
      <c r="M1705" s="449"/>
    </row>
    <row r="1706" spans="1:13" x14ac:dyDescent="0.25">
      <c r="A1706" s="397"/>
      <c r="B1706" s="397"/>
      <c r="C1706" s="397"/>
      <c r="D1706" s="397"/>
      <c r="E1706" s="397"/>
      <c r="F1706" s="397"/>
      <c r="G1706" s="397"/>
      <c r="H1706" s="397"/>
      <c r="I1706" s="450"/>
      <c r="J1706" s="397"/>
      <c r="K1706" s="397"/>
      <c r="L1706" s="451"/>
      <c r="M1706" s="449"/>
    </row>
    <row r="1707" spans="1:13" x14ac:dyDescent="0.25">
      <c r="A1707" s="397"/>
      <c r="B1707" s="397"/>
      <c r="C1707" s="397"/>
      <c r="D1707" s="397"/>
      <c r="E1707" s="397"/>
      <c r="F1707" s="397"/>
      <c r="G1707" s="397"/>
      <c r="H1707" s="397"/>
      <c r="I1707" s="450"/>
      <c r="J1707" s="397"/>
      <c r="K1707" s="397"/>
      <c r="L1707" s="451"/>
      <c r="M1707" s="449"/>
    </row>
    <row r="1708" spans="1:13" x14ac:dyDescent="0.25">
      <c r="A1708" s="397"/>
      <c r="B1708" s="397"/>
      <c r="C1708" s="397"/>
      <c r="D1708" s="397"/>
      <c r="E1708" s="397"/>
      <c r="F1708" s="397"/>
      <c r="G1708" s="397"/>
      <c r="H1708" s="397"/>
      <c r="I1708" s="450"/>
      <c r="J1708" s="397"/>
      <c r="K1708" s="397"/>
      <c r="L1708" s="451"/>
      <c r="M1708" s="449"/>
    </row>
    <row r="1709" spans="1:13" x14ac:dyDescent="0.25">
      <c r="A1709" s="397"/>
      <c r="B1709" s="397"/>
      <c r="C1709" s="397"/>
      <c r="D1709" s="397"/>
      <c r="E1709" s="397"/>
      <c r="F1709" s="397"/>
      <c r="G1709" s="397"/>
      <c r="H1709" s="397"/>
      <c r="I1709" s="450"/>
      <c r="J1709" s="397"/>
      <c r="K1709" s="397"/>
      <c r="L1709" s="451"/>
      <c r="M1709" s="449"/>
    </row>
    <row r="1710" spans="1:13" x14ac:dyDescent="0.25">
      <c r="A1710" s="397"/>
      <c r="B1710" s="397"/>
      <c r="C1710" s="397"/>
      <c r="D1710" s="397"/>
      <c r="E1710" s="397"/>
      <c r="F1710" s="397"/>
      <c r="G1710" s="397"/>
      <c r="H1710" s="397"/>
      <c r="I1710" s="450"/>
      <c r="J1710" s="397"/>
      <c r="K1710" s="397"/>
      <c r="L1710" s="451"/>
      <c r="M1710" s="449"/>
    </row>
    <row r="1711" spans="1:13" x14ac:dyDescent="0.25">
      <c r="A1711" s="397"/>
      <c r="B1711" s="397"/>
      <c r="C1711" s="397"/>
      <c r="D1711" s="397"/>
      <c r="E1711" s="397"/>
      <c r="F1711" s="397"/>
      <c r="G1711" s="397"/>
      <c r="H1711" s="397"/>
      <c r="I1711" s="450"/>
      <c r="J1711" s="397"/>
      <c r="K1711" s="397"/>
      <c r="L1711" s="451"/>
      <c r="M1711" s="449"/>
    </row>
    <row r="1712" spans="1:13" x14ac:dyDescent="0.25">
      <c r="A1712" s="397"/>
      <c r="B1712" s="397"/>
      <c r="C1712" s="397"/>
      <c r="D1712" s="397"/>
      <c r="E1712" s="397"/>
      <c r="F1712" s="397"/>
      <c r="G1712" s="397"/>
      <c r="H1712" s="397"/>
      <c r="I1712" s="450"/>
      <c r="J1712" s="397"/>
      <c r="K1712" s="397"/>
      <c r="L1712" s="451"/>
      <c r="M1712" s="449"/>
    </row>
    <row r="1713" spans="1:13" x14ac:dyDescent="0.25">
      <c r="A1713" s="397"/>
      <c r="B1713" s="397"/>
      <c r="C1713" s="397"/>
      <c r="D1713" s="397"/>
      <c r="E1713" s="397"/>
      <c r="F1713" s="397"/>
      <c r="G1713" s="397"/>
      <c r="H1713" s="397"/>
      <c r="I1713" s="450"/>
      <c r="J1713" s="397"/>
      <c r="K1713" s="397"/>
      <c r="L1713" s="451"/>
      <c r="M1713" s="449"/>
    </row>
    <row r="1714" spans="1:13" x14ac:dyDescent="0.25">
      <c r="A1714" s="397"/>
      <c r="B1714" s="397"/>
      <c r="C1714" s="397"/>
      <c r="D1714" s="397"/>
      <c r="E1714" s="397"/>
      <c r="F1714" s="397"/>
      <c r="G1714" s="397"/>
      <c r="H1714" s="397"/>
      <c r="I1714" s="450"/>
      <c r="J1714" s="397"/>
      <c r="K1714" s="397"/>
      <c r="L1714" s="451"/>
      <c r="M1714" s="449"/>
    </row>
    <row r="1715" spans="1:13" x14ac:dyDescent="0.25">
      <c r="A1715" s="397"/>
      <c r="B1715" s="397"/>
      <c r="C1715" s="397"/>
      <c r="D1715" s="397"/>
      <c r="E1715" s="397"/>
      <c r="F1715" s="397"/>
      <c r="G1715" s="397"/>
      <c r="H1715" s="397"/>
      <c r="I1715" s="450"/>
      <c r="J1715" s="397"/>
      <c r="K1715" s="397"/>
      <c r="L1715" s="451"/>
      <c r="M1715" s="449"/>
    </row>
    <row r="1716" spans="1:13" x14ac:dyDescent="0.25">
      <c r="A1716" s="397"/>
      <c r="B1716" s="397"/>
      <c r="C1716" s="397"/>
      <c r="D1716" s="397"/>
      <c r="E1716" s="397"/>
      <c r="F1716" s="397"/>
      <c r="G1716" s="397"/>
      <c r="H1716" s="397"/>
      <c r="I1716" s="450"/>
      <c r="J1716" s="397"/>
      <c r="K1716" s="397"/>
      <c r="L1716" s="451"/>
      <c r="M1716" s="449"/>
    </row>
    <row r="1717" spans="1:13" x14ac:dyDescent="0.25">
      <c r="A1717" s="397"/>
      <c r="B1717" s="397"/>
      <c r="C1717" s="397"/>
      <c r="D1717" s="397"/>
      <c r="E1717" s="397"/>
      <c r="F1717" s="397"/>
      <c r="G1717" s="397"/>
      <c r="H1717" s="397"/>
      <c r="I1717" s="450"/>
      <c r="J1717" s="397"/>
      <c r="K1717" s="397"/>
      <c r="L1717" s="451"/>
      <c r="M1717" s="449"/>
    </row>
    <row r="1718" spans="1:13" x14ac:dyDescent="0.25">
      <c r="A1718" s="397"/>
      <c r="B1718" s="397"/>
      <c r="C1718" s="397"/>
      <c r="D1718" s="397"/>
      <c r="E1718" s="397"/>
      <c r="F1718" s="397"/>
      <c r="G1718" s="397"/>
      <c r="H1718" s="397"/>
      <c r="I1718" s="450"/>
      <c r="J1718" s="397"/>
      <c r="K1718" s="397"/>
      <c r="L1718" s="451"/>
      <c r="M1718" s="449"/>
    </row>
    <row r="1719" spans="1:13" x14ac:dyDescent="0.25">
      <c r="A1719" s="397"/>
      <c r="B1719" s="397"/>
      <c r="C1719" s="397"/>
      <c r="D1719" s="397"/>
      <c r="E1719" s="397"/>
      <c r="F1719" s="397"/>
      <c r="G1719" s="397"/>
      <c r="H1719" s="397"/>
      <c r="I1719" s="450"/>
      <c r="J1719" s="397"/>
      <c r="K1719" s="397"/>
      <c r="L1719" s="451"/>
      <c r="M1719" s="449"/>
    </row>
    <row r="1720" spans="1:13" x14ac:dyDescent="0.25">
      <c r="A1720" s="397"/>
      <c r="B1720" s="397"/>
      <c r="C1720" s="397"/>
      <c r="D1720" s="397"/>
      <c r="E1720" s="397"/>
      <c r="F1720" s="397"/>
      <c r="G1720" s="397"/>
      <c r="H1720" s="397"/>
      <c r="I1720" s="450"/>
      <c r="J1720" s="397"/>
      <c r="K1720" s="397"/>
      <c r="L1720" s="451"/>
      <c r="M1720" s="449"/>
    </row>
    <row r="1721" spans="1:13" x14ac:dyDescent="0.25">
      <c r="A1721" s="397"/>
      <c r="B1721" s="397"/>
      <c r="C1721" s="397"/>
      <c r="D1721" s="397"/>
      <c r="E1721" s="397"/>
      <c r="F1721" s="397"/>
      <c r="G1721" s="397"/>
      <c r="H1721" s="397"/>
      <c r="I1721" s="450"/>
      <c r="J1721" s="397"/>
      <c r="K1721" s="397"/>
      <c r="L1721" s="451"/>
      <c r="M1721" s="449"/>
    </row>
    <row r="1722" spans="1:13" x14ac:dyDescent="0.25">
      <c r="A1722" s="397"/>
      <c r="B1722" s="397"/>
      <c r="C1722" s="397"/>
      <c r="D1722" s="397"/>
      <c r="E1722" s="397"/>
      <c r="F1722" s="397"/>
      <c r="G1722" s="397"/>
      <c r="H1722" s="397"/>
      <c r="I1722" s="450"/>
      <c r="J1722" s="397"/>
      <c r="K1722" s="397"/>
      <c r="L1722" s="451"/>
      <c r="M1722" s="449"/>
    </row>
    <row r="1723" spans="1:13" x14ac:dyDescent="0.25">
      <c r="A1723" s="397"/>
      <c r="B1723" s="397"/>
      <c r="C1723" s="397"/>
      <c r="D1723" s="397"/>
      <c r="E1723" s="397"/>
      <c r="F1723" s="397"/>
      <c r="G1723" s="397"/>
      <c r="H1723" s="397"/>
      <c r="I1723" s="450"/>
      <c r="J1723" s="397"/>
      <c r="K1723" s="397"/>
      <c r="L1723" s="451"/>
      <c r="M1723" s="449"/>
    </row>
    <row r="1724" spans="1:13" x14ac:dyDescent="0.25">
      <c r="A1724" s="397"/>
      <c r="B1724" s="397"/>
      <c r="C1724" s="397"/>
      <c r="D1724" s="397"/>
      <c r="E1724" s="397"/>
      <c r="F1724" s="397"/>
      <c r="G1724" s="397"/>
      <c r="H1724" s="397"/>
      <c r="I1724" s="450"/>
      <c r="J1724" s="397"/>
      <c r="K1724" s="397"/>
      <c r="L1724" s="451"/>
      <c r="M1724" s="449"/>
    </row>
    <row r="1725" spans="1:13" x14ac:dyDescent="0.25">
      <c r="A1725" s="397"/>
      <c r="B1725" s="397"/>
      <c r="C1725" s="397"/>
      <c r="D1725" s="397"/>
      <c r="E1725" s="397"/>
      <c r="F1725" s="397"/>
      <c r="G1725" s="397"/>
      <c r="H1725" s="397"/>
      <c r="I1725" s="450"/>
      <c r="J1725" s="397"/>
      <c r="K1725" s="397"/>
      <c r="L1725" s="451"/>
      <c r="M1725" s="449"/>
    </row>
    <row r="1726" spans="1:13" x14ac:dyDescent="0.25">
      <c r="A1726" s="397"/>
      <c r="B1726" s="397"/>
      <c r="C1726" s="397"/>
      <c r="D1726" s="397"/>
      <c r="E1726" s="397"/>
      <c r="F1726" s="397"/>
      <c r="G1726" s="397"/>
      <c r="H1726" s="397"/>
      <c r="I1726" s="450"/>
      <c r="J1726" s="397"/>
      <c r="K1726" s="397"/>
      <c r="L1726" s="451"/>
      <c r="M1726" s="449"/>
    </row>
    <row r="1727" spans="1:13" x14ac:dyDescent="0.25">
      <c r="A1727" s="397"/>
      <c r="B1727" s="397"/>
      <c r="C1727" s="397"/>
      <c r="D1727" s="397"/>
      <c r="E1727" s="397"/>
      <c r="F1727" s="397"/>
      <c r="G1727" s="397"/>
      <c r="H1727" s="397"/>
      <c r="I1727" s="450"/>
      <c r="J1727" s="397"/>
      <c r="K1727" s="397"/>
      <c r="L1727" s="451"/>
      <c r="M1727" s="449"/>
    </row>
    <row r="1728" spans="1:13" x14ac:dyDescent="0.25">
      <c r="A1728" s="397"/>
      <c r="B1728" s="397"/>
      <c r="C1728" s="397"/>
      <c r="D1728" s="397"/>
      <c r="E1728" s="397"/>
      <c r="F1728" s="397"/>
      <c r="G1728" s="397"/>
      <c r="H1728" s="397"/>
      <c r="I1728" s="450"/>
      <c r="J1728" s="397"/>
      <c r="K1728" s="397"/>
      <c r="L1728" s="451"/>
      <c r="M1728" s="449"/>
    </row>
    <row r="1729" spans="1:13" x14ac:dyDescent="0.25">
      <c r="A1729" s="397"/>
      <c r="B1729" s="397"/>
      <c r="C1729" s="397"/>
      <c r="D1729" s="397"/>
      <c r="E1729" s="397"/>
      <c r="F1729" s="397"/>
      <c r="G1729" s="397"/>
      <c r="H1729" s="397"/>
      <c r="I1729" s="450"/>
      <c r="J1729" s="397"/>
      <c r="K1729" s="397"/>
      <c r="L1729" s="451"/>
      <c r="M1729" s="449"/>
    </row>
    <row r="1730" spans="1:13" x14ac:dyDescent="0.25">
      <c r="A1730" s="397"/>
      <c r="B1730" s="397"/>
      <c r="C1730" s="397"/>
      <c r="D1730" s="397"/>
      <c r="E1730" s="397"/>
      <c r="F1730" s="397"/>
      <c r="G1730" s="397"/>
      <c r="H1730" s="397"/>
      <c r="I1730" s="450"/>
      <c r="J1730" s="397"/>
      <c r="K1730" s="397"/>
      <c r="L1730" s="451"/>
      <c r="M1730" s="449"/>
    </row>
    <row r="1731" spans="1:13" x14ac:dyDescent="0.25">
      <c r="A1731" s="397"/>
      <c r="B1731" s="397"/>
      <c r="C1731" s="397"/>
      <c r="D1731" s="397"/>
      <c r="E1731" s="397"/>
      <c r="F1731" s="397"/>
      <c r="G1731" s="397"/>
      <c r="H1731" s="397"/>
      <c r="I1731" s="450"/>
      <c r="J1731" s="397"/>
      <c r="K1731" s="397"/>
      <c r="L1731" s="451"/>
      <c r="M1731" s="449"/>
    </row>
    <row r="1732" spans="1:13" x14ac:dyDescent="0.25">
      <c r="A1732" s="397"/>
      <c r="B1732" s="397"/>
      <c r="C1732" s="397"/>
      <c r="D1732" s="397"/>
      <c r="E1732" s="397"/>
      <c r="F1732" s="397"/>
      <c r="G1732" s="397"/>
      <c r="H1732" s="397"/>
      <c r="I1732" s="450"/>
      <c r="J1732" s="397"/>
      <c r="K1732" s="397"/>
      <c r="L1732" s="451"/>
      <c r="M1732" s="449"/>
    </row>
    <row r="1733" spans="1:13" x14ac:dyDescent="0.25">
      <c r="A1733" s="397"/>
      <c r="B1733" s="397"/>
      <c r="C1733" s="397"/>
      <c r="D1733" s="397"/>
      <c r="E1733" s="397"/>
      <c r="F1733" s="397"/>
      <c r="G1733" s="397"/>
      <c r="H1733" s="397"/>
      <c r="I1733" s="450"/>
      <c r="J1733" s="397"/>
      <c r="K1733" s="397"/>
      <c r="L1733" s="451"/>
      <c r="M1733" s="449"/>
    </row>
    <row r="1734" spans="1:13" x14ac:dyDescent="0.25">
      <c r="A1734" s="397"/>
      <c r="B1734" s="397"/>
      <c r="C1734" s="397"/>
      <c r="D1734" s="397"/>
      <c r="E1734" s="397"/>
      <c r="F1734" s="397"/>
      <c r="G1734" s="397"/>
      <c r="H1734" s="397"/>
      <c r="I1734" s="450"/>
      <c r="J1734" s="397"/>
      <c r="K1734" s="397"/>
      <c r="L1734" s="451"/>
      <c r="M1734" s="449"/>
    </row>
    <row r="1735" spans="1:13" x14ac:dyDescent="0.25">
      <c r="A1735" s="397"/>
      <c r="B1735" s="397"/>
      <c r="C1735" s="397"/>
      <c r="D1735" s="397"/>
      <c r="E1735" s="397"/>
      <c r="F1735" s="397"/>
      <c r="G1735" s="397"/>
      <c r="H1735" s="397"/>
      <c r="I1735" s="450"/>
      <c r="J1735" s="397"/>
      <c r="K1735" s="397"/>
      <c r="L1735" s="451"/>
      <c r="M1735" s="449"/>
    </row>
    <row r="1736" spans="1:13" x14ac:dyDescent="0.25">
      <c r="A1736" s="397"/>
      <c r="B1736" s="397"/>
      <c r="C1736" s="397"/>
      <c r="D1736" s="397"/>
      <c r="E1736" s="397"/>
      <c r="F1736" s="397"/>
      <c r="G1736" s="397"/>
      <c r="H1736" s="397"/>
      <c r="I1736" s="450"/>
      <c r="J1736" s="397"/>
      <c r="K1736" s="397"/>
      <c r="L1736" s="451"/>
      <c r="M1736" s="449"/>
    </row>
    <row r="1737" spans="1:13" x14ac:dyDescent="0.25">
      <c r="A1737" s="397"/>
      <c r="B1737" s="397"/>
      <c r="C1737" s="397"/>
      <c r="D1737" s="397"/>
      <c r="E1737" s="397"/>
      <c r="F1737" s="397"/>
      <c r="G1737" s="397"/>
      <c r="H1737" s="397"/>
      <c r="I1737" s="450"/>
      <c r="J1737" s="397"/>
      <c r="K1737" s="397"/>
      <c r="L1737" s="451"/>
      <c r="M1737" s="449"/>
    </row>
    <row r="1738" spans="1:13" x14ac:dyDescent="0.25">
      <c r="A1738" s="397"/>
      <c r="B1738" s="397"/>
      <c r="C1738" s="397"/>
      <c r="D1738" s="397"/>
      <c r="E1738" s="397"/>
      <c r="F1738" s="397"/>
      <c r="G1738" s="397"/>
      <c r="H1738" s="397"/>
      <c r="I1738" s="450"/>
      <c r="J1738" s="397"/>
      <c r="K1738" s="397"/>
      <c r="L1738" s="451"/>
      <c r="M1738" s="449"/>
    </row>
    <row r="1739" spans="1:13" x14ac:dyDescent="0.25">
      <c r="A1739" s="397"/>
      <c r="B1739" s="397"/>
      <c r="C1739" s="397"/>
      <c r="D1739" s="397"/>
      <c r="E1739" s="397"/>
      <c r="F1739" s="397"/>
      <c r="G1739" s="397"/>
      <c r="H1739" s="397"/>
      <c r="I1739" s="450"/>
      <c r="J1739" s="397"/>
      <c r="K1739" s="397"/>
      <c r="L1739" s="451"/>
      <c r="M1739" s="449"/>
    </row>
    <row r="1740" spans="1:13" x14ac:dyDescent="0.25">
      <c r="A1740" s="397"/>
      <c r="B1740" s="397"/>
      <c r="C1740" s="397"/>
      <c r="D1740" s="397"/>
      <c r="E1740" s="397"/>
      <c r="F1740" s="397"/>
      <c r="G1740" s="397"/>
      <c r="H1740" s="397"/>
      <c r="I1740" s="450"/>
      <c r="J1740" s="397"/>
      <c r="K1740" s="397"/>
      <c r="L1740" s="451"/>
      <c r="M1740" s="449"/>
    </row>
    <row r="1741" spans="1:13" x14ac:dyDescent="0.25">
      <c r="A1741" s="397"/>
      <c r="B1741" s="397"/>
      <c r="C1741" s="397"/>
      <c r="D1741" s="397"/>
      <c r="E1741" s="397"/>
      <c r="F1741" s="397"/>
      <c r="G1741" s="397"/>
      <c r="H1741" s="397"/>
      <c r="I1741" s="450"/>
      <c r="J1741" s="397"/>
      <c r="K1741" s="397"/>
      <c r="L1741" s="451"/>
      <c r="M1741" s="449"/>
    </row>
    <row r="1742" spans="1:13" x14ac:dyDescent="0.25">
      <c r="A1742" s="397"/>
      <c r="B1742" s="397"/>
      <c r="C1742" s="397"/>
      <c r="D1742" s="397"/>
      <c r="E1742" s="397"/>
      <c r="F1742" s="397"/>
      <c r="G1742" s="397"/>
      <c r="H1742" s="397"/>
      <c r="I1742" s="450"/>
      <c r="J1742" s="397"/>
      <c r="K1742" s="397"/>
      <c r="L1742" s="451"/>
      <c r="M1742" s="449"/>
    </row>
    <row r="1743" spans="1:13" x14ac:dyDescent="0.25">
      <c r="A1743" s="397"/>
      <c r="B1743" s="397"/>
      <c r="C1743" s="397"/>
      <c r="D1743" s="397"/>
      <c r="E1743" s="397"/>
      <c r="F1743" s="397"/>
      <c r="G1743" s="397"/>
      <c r="H1743" s="397"/>
      <c r="I1743" s="450"/>
      <c r="J1743" s="397"/>
      <c r="K1743" s="397"/>
      <c r="L1743" s="451"/>
      <c r="M1743" s="449"/>
    </row>
    <row r="1744" spans="1:13" x14ac:dyDescent="0.25">
      <c r="A1744" s="397"/>
      <c r="B1744" s="397"/>
      <c r="C1744" s="397"/>
      <c r="D1744" s="397"/>
      <c r="E1744" s="397"/>
      <c r="F1744" s="397"/>
      <c r="G1744" s="397"/>
      <c r="H1744" s="397"/>
      <c r="I1744" s="450"/>
      <c r="J1744" s="397"/>
      <c r="K1744" s="397"/>
      <c r="L1744" s="451"/>
      <c r="M1744" s="449"/>
    </row>
    <row r="1745" spans="1:13" x14ac:dyDescent="0.25">
      <c r="A1745" s="397"/>
      <c r="B1745" s="397"/>
      <c r="C1745" s="397"/>
      <c r="D1745" s="397"/>
      <c r="E1745" s="397"/>
      <c r="F1745" s="397"/>
      <c r="G1745" s="397"/>
      <c r="H1745" s="397"/>
      <c r="I1745" s="450"/>
      <c r="J1745" s="397"/>
      <c r="K1745" s="397"/>
      <c r="L1745" s="451"/>
      <c r="M1745" s="449"/>
    </row>
    <row r="1746" spans="1:13" x14ac:dyDescent="0.25">
      <c r="A1746" s="397"/>
      <c r="B1746" s="397"/>
      <c r="C1746" s="397"/>
      <c r="D1746" s="397"/>
      <c r="E1746" s="397"/>
      <c r="F1746" s="397"/>
      <c r="G1746" s="397"/>
      <c r="H1746" s="397"/>
      <c r="I1746" s="450"/>
      <c r="J1746" s="397"/>
      <c r="K1746" s="397"/>
      <c r="L1746" s="451"/>
      <c r="M1746" s="449"/>
    </row>
    <row r="1747" spans="1:13" x14ac:dyDescent="0.25">
      <c r="A1747" s="397"/>
      <c r="B1747" s="397"/>
      <c r="C1747" s="397"/>
      <c r="D1747" s="397"/>
      <c r="E1747" s="397"/>
      <c r="F1747" s="397"/>
      <c r="G1747" s="397"/>
      <c r="H1747" s="397"/>
      <c r="I1747" s="450"/>
      <c r="J1747" s="397"/>
      <c r="K1747" s="397"/>
      <c r="L1747" s="451"/>
      <c r="M1747" s="449"/>
    </row>
    <row r="1748" spans="1:13" x14ac:dyDescent="0.25">
      <c r="A1748" s="397"/>
      <c r="B1748" s="397"/>
      <c r="C1748" s="397"/>
      <c r="D1748" s="397"/>
      <c r="E1748" s="397"/>
      <c r="F1748" s="397"/>
      <c r="G1748" s="397"/>
      <c r="H1748" s="397"/>
      <c r="I1748" s="450"/>
      <c r="J1748" s="397"/>
      <c r="K1748" s="397"/>
      <c r="L1748" s="451"/>
      <c r="M1748" s="449"/>
    </row>
    <row r="1749" spans="1:13" x14ac:dyDescent="0.25">
      <c r="A1749" s="397"/>
      <c r="B1749" s="397"/>
      <c r="C1749" s="397"/>
      <c r="D1749" s="397"/>
      <c r="E1749" s="397"/>
      <c r="F1749" s="397"/>
      <c r="G1749" s="397"/>
      <c r="H1749" s="397"/>
      <c r="I1749" s="450"/>
      <c r="J1749" s="397"/>
      <c r="K1749" s="397"/>
      <c r="L1749" s="451"/>
      <c r="M1749" s="449"/>
    </row>
    <row r="1750" spans="1:13" x14ac:dyDescent="0.25">
      <c r="A1750" s="397"/>
      <c r="B1750" s="397"/>
      <c r="C1750" s="397"/>
      <c r="D1750" s="397"/>
      <c r="E1750" s="397"/>
      <c r="F1750" s="397"/>
      <c r="G1750" s="397"/>
      <c r="H1750" s="397"/>
      <c r="I1750" s="450"/>
      <c r="J1750" s="397"/>
      <c r="K1750" s="397"/>
      <c r="L1750" s="451"/>
      <c r="M1750" s="449"/>
    </row>
    <row r="1751" spans="1:13" x14ac:dyDescent="0.25">
      <c r="A1751" s="397"/>
      <c r="B1751" s="397"/>
      <c r="C1751" s="397"/>
      <c r="D1751" s="397"/>
      <c r="E1751" s="397"/>
      <c r="F1751" s="397"/>
      <c r="G1751" s="397"/>
      <c r="H1751" s="397"/>
      <c r="I1751" s="450"/>
      <c r="J1751" s="397"/>
      <c r="K1751" s="397"/>
      <c r="L1751" s="451"/>
      <c r="M1751" s="449"/>
    </row>
    <row r="1752" spans="1:13" x14ac:dyDescent="0.25">
      <c r="A1752" s="397"/>
      <c r="B1752" s="397"/>
      <c r="C1752" s="397"/>
      <c r="D1752" s="397"/>
      <c r="E1752" s="397"/>
      <c r="F1752" s="397"/>
      <c r="G1752" s="397"/>
      <c r="H1752" s="397"/>
      <c r="I1752" s="450"/>
      <c r="J1752" s="397"/>
      <c r="K1752" s="397"/>
      <c r="L1752" s="451"/>
      <c r="M1752" s="449"/>
    </row>
    <row r="1753" spans="1:13" x14ac:dyDescent="0.25">
      <c r="A1753" s="397"/>
      <c r="B1753" s="397"/>
      <c r="C1753" s="397"/>
      <c r="D1753" s="397"/>
      <c r="E1753" s="397"/>
      <c r="F1753" s="397"/>
      <c r="G1753" s="397"/>
      <c r="H1753" s="397"/>
      <c r="I1753" s="450"/>
      <c r="J1753" s="397"/>
      <c r="K1753" s="397"/>
      <c r="L1753" s="451"/>
      <c r="M1753" s="449"/>
    </row>
    <row r="1754" spans="1:13" x14ac:dyDescent="0.25">
      <c r="A1754" s="397"/>
      <c r="B1754" s="397"/>
      <c r="C1754" s="397"/>
      <c r="D1754" s="397"/>
      <c r="E1754" s="397"/>
      <c r="F1754" s="397"/>
      <c r="G1754" s="397"/>
      <c r="H1754" s="397"/>
      <c r="I1754" s="450"/>
      <c r="J1754" s="397"/>
      <c r="K1754" s="397"/>
      <c r="L1754" s="451"/>
      <c r="M1754" s="449"/>
    </row>
    <row r="1755" spans="1:13" x14ac:dyDescent="0.25">
      <c r="A1755" s="397"/>
      <c r="B1755" s="397"/>
      <c r="C1755" s="397"/>
      <c r="D1755" s="397"/>
      <c r="E1755" s="397"/>
      <c r="F1755" s="397"/>
      <c r="G1755" s="397"/>
      <c r="H1755" s="397"/>
      <c r="I1755" s="450"/>
      <c r="J1755" s="397"/>
      <c r="K1755" s="397"/>
      <c r="L1755" s="451"/>
      <c r="M1755" s="449"/>
    </row>
    <row r="1756" spans="1:13" x14ac:dyDescent="0.25">
      <c r="A1756" s="397"/>
      <c r="B1756" s="397"/>
      <c r="C1756" s="397"/>
      <c r="D1756" s="397"/>
      <c r="E1756" s="397"/>
      <c r="F1756" s="397"/>
      <c r="G1756" s="397"/>
      <c r="H1756" s="397"/>
      <c r="I1756" s="450"/>
      <c r="J1756" s="397"/>
      <c r="K1756" s="397"/>
      <c r="L1756" s="451"/>
      <c r="M1756" s="449"/>
    </row>
    <row r="1757" spans="1:13" x14ac:dyDescent="0.25">
      <c r="A1757" s="397"/>
      <c r="B1757" s="397"/>
      <c r="C1757" s="397"/>
      <c r="D1757" s="397"/>
      <c r="E1757" s="397"/>
      <c r="F1757" s="397"/>
      <c r="G1757" s="397"/>
      <c r="H1757" s="397"/>
      <c r="I1757" s="450"/>
      <c r="J1757" s="397"/>
      <c r="K1757" s="397"/>
      <c r="L1757" s="451"/>
      <c r="M1757" s="449"/>
    </row>
    <row r="1758" spans="1:13" x14ac:dyDescent="0.25">
      <c r="A1758" s="397"/>
      <c r="B1758" s="397"/>
      <c r="C1758" s="397"/>
      <c r="D1758" s="397"/>
      <c r="E1758" s="397"/>
      <c r="F1758" s="397"/>
      <c r="G1758" s="397"/>
      <c r="H1758" s="397"/>
      <c r="I1758" s="450"/>
      <c r="J1758" s="397"/>
      <c r="K1758" s="397"/>
      <c r="L1758" s="451"/>
      <c r="M1758" s="449"/>
    </row>
    <row r="1759" spans="1:13" x14ac:dyDescent="0.25">
      <c r="A1759" s="397"/>
      <c r="B1759" s="397"/>
      <c r="C1759" s="397"/>
      <c r="D1759" s="397"/>
      <c r="E1759" s="397"/>
      <c r="F1759" s="397"/>
      <c r="G1759" s="397"/>
      <c r="H1759" s="397"/>
      <c r="I1759" s="450"/>
      <c r="J1759" s="397"/>
      <c r="K1759" s="397"/>
      <c r="L1759" s="451"/>
      <c r="M1759" s="449"/>
    </row>
    <row r="1760" spans="1:13" x14ac:dyDescent="0.25">
      <c r="A1760" s="397"/>
      <c r="B1760" s="397"/>
      <c r="C1760" s="397"/>
      <c r="D1760" s="397"/>
      <c r="E1760" s="397"/>
      <c r="F1760" s="397"/>
      <c r="G1760" s="397"/>
      <c r="H1760" s="397"/>
      <c r="I1760" s="450"/>
      <c r="J1760" s="397"/>
      <c r="K1760" s="397"/>
      <c r="L1760" s="451"/>
      <c r="M1760" s="449"/>
    </row>
    <row r="1761" spans="1:13" x14ac:dyDescent="0.25">
      <c r="A1761" s="397"/>
      <c r="B1761" s="397"/>
      <c r="C1761" s="397"/>
      <c r="D1761" s="397"/>
      <c r="E1761" s="397"/>
      <c r="F1761" s="397"/>
      <c r="G1761" s="397"/>
      <c r="H1761" s="397"/>
      <c r="I1761" s="450"/>
      <c r="J1761" s="397"/>
      <c r="K1761" s="397"/>
      <c r="L1761" s="451"/>
      <c r="M1761" s="449"/>
    </row>
    <row r="1762" spans="1:13" x14ac:dyDescent="0.25">
      <c r="A1762" s="397"/>
      <c r="B1762" s="397"/>
      <c r="C1762" s="397"/>
      <c r="D1762" s="397"/>
      <c r="E1762" s="397"/>
      <c r="F1762" s="397"/>
      <c r="G1762" s="397"/>
      <c r="H1762" s="397"/>
      <c r="I1762" s="450"/>
      <c r="J1762" s="397"/>
      <c r="K1762" s="397"/>
      <c r="L1762" s="451"/>
      <c r="M1762" s="449"/>
    </row>
    <row r="1763" spans="1:13" x14ac:dyDescent="0.25">
      <c r="A1763" s="397"/>
      <c r="B1763" s="397"/>
      <c r="C1763" s="397"/>
      <c r="D1763" s="397"/>
      <c r="E1763" s="397"/>
      <c r="F1763" s="397"/>
      <c r="G1763" s="397"/>
      <c r="H1763" s="397"/>
      <c r="I1763" s="450"/>
      <c r="J1763" s="397"/>
      <c r="K1763" s="397"/>
      <c r="L1763" s="451"/>
      <c r="M1763" s="449"/>
    </row>
    <row r="1764" spans="1:13" x14ac:dyDescent="0.25">
      <c r="A1764" s="397"/>
      <c r="B1764" s="397"/>
      <c r="C1764" s="397"/>
      <c r="D1764" s="397"/>
      <c r="E1764" s="397"/>
      <c r="F1764" s="397"/>
      <c r="G1764" s="397"/>
      <c r="H1764" s="397"/>
      <c r="I1764" s="450"/>
      <c r="J1764" s="397"/>
      <c r="K1764" s="397"/>
      <c r="L1764" s="451"/>
      <c r="M1764" s="449"/>
    </row>
    <row r="1765" spans="1:13" x14ac:dyDescent="0.25">
      <c r="A1765" s="397"/>
      <c r="B1765" s="397"/>
      <c r="C1765" s="397"/>
      <c r="D1765" s="397"/>
      <c r="E1765" s="397"/>
      <c r="F1765" s="397"/>
      <c r="G1765" s="397"/>
      <c r="H1765" s="397"/>
      <c r="I1765" s="450"/>
      <c r="J1765" s="397"/>
      <c r="K1765" s="397"/>
      <c r="L1765" s="451"/>
      <c r="M1765" s="449"/>
    </row>
    <row r="1766" spans="1:13" x14ac:dyDescent="0.25">
      <c r="A1766" s="397"/>
      <c r="B1766" s="397"/>
      <c r="C1766" s="397"/>
      <c r="D1766" s="397"/>
      <c r="E1766" s="397"/>
      <c r="F1766" s="397"/>
      <c r="G1766" s="397"/>
      <c r="H1766" s="397"/>
      <c r="I1766" s="450"/>
      <c r="J1766" s="397"/>
      <c r="K1766" s="397"/>
      <c r="L1766" s="451"/>
      <c r="M1766" s="449"/>
    </row>
    <row r="1767" spans="1:13" x14ac:dyDescent="0.25">
      <c r="A1767" s="397"/>
      <c r="B1767" s="397"/>
      <c r="C1767" s="397"/>
      <c r="D1767" s="397"/>
      <c r="E1767" s="397"/>
      <c r="F1767" s="397"/>
      <c r="G1767" s="397"/>
      <c r="H1767" s="397"/>
      <c r="I1767" s="450"/>
      <c r="J1767" s="397"/>
      <c r="K1767" s="397"/>
      <c r="L1767" s="451"/>
      <c r="M1767" s="449"/>
    </row>
    <row r="1768" spans="1:13" x14ac:dyDescent="0.25">
      <c r="A1768" s="397"/>
      <c r="B1768" s="397"/>
      <c r="C1768" s="397"/>
      <c r="D1768" s="397"/>
      <c r="E1768" s="397"/>
      <c r="F1768" s="397"/>
      <c r="G1768" s="397"/>
      <c r="H1768" s="397"/>
      <c r="I1768" s="450"/>
      <c r="J1768" s="397"/>
      <c r="K1768" s="397"/>
      <c r="L1768" s="451"/>
      <c r="M1768" s="449"/>
    </row>
    <row r="1769" spans="1:13" x14ac:dyDescent="0.25">
      <c r="A1769" s="397"/>
      <c r="B1769" s="397"/>
      <c r="C1769" s="397"/>
      <c r="D1769" s="397"/>
      <c r="E1769" s="397"/>
      <c r="F1769" s="397"/>
      <c r="G1769" s="397"/>
      <c r="H1769" s="397"/>
      <c r="I1769" s="450"/>
      <c r="J1769" s="397"/>
      <c r="K1769" s="397"/>
      <c r="L1769" s="451"/>
      <c r="M1769" s="449"/>
    </row>
    <row r="1770" spans="1:13" x14ac:dyDescent="0.25">
      <c r="A1770" s="397"/>
      <c r="B1770" s="397"/>
      <c r="C1770" s="397"/>
      <c r="D1770" s="397"/>
      <c r="E1770" s="397"/>
      <c r="F1770" s="397"/>
      <c r="G1770" s="397"/>
      <c r="H1770" s="397"/>
      <c r="I1770" s="450"/>
      <c r="J1770" s="397"/>
      <c r="K1770" s="397"/>
      <c r="L1770" s="451"/>
      <c r="M1770" s="449"/>
    </row>
    <row r="1771" spans="1:13" x14ac:dyDescent="0.25">
      <c r="A1771" s="397"/>
      <c r="B1771" s="397"/>
      <c r="C1771" s="397"/>
      <c r="D1771" s="397"/>
      <c r="E1771" s="397"/>
      <c r="F1771" s="397"/>
      <c r="G1771" s="397"/>
      <c r="H1771" s="397"/>
      <c r="I1771" s="450"/>
      <c r="J1771" s="397"/>
      <c r="K1771" s="397"/>
      <c r="L1771" s="451"/>
      <c r="M1771" s="449"/>
    </row>
    <row r="1772" spans="1:13" x14ac:dyDescent="0.25">
      <c r="A1772" s="397"/>
      <c r="B1772" s="397"/>
      <c r="C1772" s="397"/>
      <c r="D1772" s="397"/>
      <c r="E1772" s="397"/>
      <c r="F1772" s="397"/>
      <c r="G1772" s="397"/>
      <c r="H1772" s="397"/>
      <c r="I1772" s="450"/>
      <c r="J1772" s="397"/>
      <c r="K1772" s="397"/>
      <c r="L1772" s="451"/>
      <c r="M1772" s="449"/>
    </row>
    <row r="1773" spans="1:13" x14ac:dyDescent="0.25">
      <c r="A1773" s="397"/>
      <c r="B1773" s="397"/>
      <c r="C1773" s="397"/>
      <c r="D1773" s="397"/>
      <c r="E1773" s="397"/>
      <c r="F1773" s="397"/>
      <c r="G1773" s="397"/>
      <c r="H1773" s="397"/>
      <c r="I1773" s="450"/>
      <c r="J1773" s="397"/>
      <c r="K1773" s="397"/>
      <c r="L1773" s="451"/>
      <c r="M1773" s="449"/>
    </row>
    <row r="1774" spans="1:13" x14ac:dyDescent="0.25">
      <c r="A1774" s="397"/>
      <c r="B1774" s="397"/>
      <c r="C1774" s="397"/>
      <c r="D1774" s="397"/>
      <c r="E1774" s="397"/>
      <c r="F1774" s="397"/>
      <c r="G1774" s="397"/>
      <c r="H1774" s="397"/>
      <c r="I1774" s="450"/>
      <c r="J1774" s="397"/>
      <c r="K1774" s="397"/>
      <c r="L1774" s="451"/>
      <c r="M1774" s="449"/>
    </row>
    <row r="1775" spans="1:13" x14ac:dyDescent="0.25">
      <c r="A1775" s="397"/>
      <c r="B1775" s="397"/>
      <c r="C1775" s="397"/>
      <c r="D1775" s="397"/>
      <c r="E1775" s="397"/>
      <c r="F1775" s="397"/>
      <c r="G1775" s="397"/>
      <c r="H1775" s="397"/>
      <c r="I1775" s="450"/>
      <c r="J1775" s="397"/>
      <c r="K1775" s="397"/>
      <c r="L1775" s="451"/>
      <c r="M1775" s="449"/>
    </row>
    <row r="1776" spans="1:13" x14ac:dyDescent="0.25">
      <c r="A1776" s="397"/>
      <c r="B1776" s="397"/>
      <c r="C1776" s="397"/>
      <c r="D1776" s="397"/>
      <c r="E1776" s="397"/>
      <c r="F1776" s="397"/>
      <c r="G1776" s="397"/>
      <c r="H1776" s="397"/>
      <c r="I1776" s="450"/>
      <c r="J1776" s="397"/>
      <c r="K1776" s="397"/>
      <c r="L1776" s="451"/>
      <c r="M1776" s="449"/>
    </row>
    <row r="1777" spans="1:13" x14ac:dyDescent="0.25">
      <c r="A1777" s="397"/>
      <c r="B1777" s="397"/>
      <c r="C1777" s="397"/>
      <c r="D1777" s="397"/>
      <c r="E1777" s="397"/>
      <c r="F1777" s="397"/>
      <c r="G1777" s="397"/>
      <c r="H1777" s="397"/>
      <c r="I1777" s="450"/>
      <c r="J1777" s="397"/>
      <c r="K1777" s="397"/>
      <c r="L1777" s="451"/>
      <c r="M1777" s="449"/>
    </row>
    <row r="1778" spans="1:13" x14ac:dyDescent="0.25">
      <c r="A1778" s="397"/>
      <c r="B1778" s="397"/>
      <c r="C1778" s="397"/>
      <c r="D1778" s="397"/>
      <c r="E1778" s="397"/>
      <c r="F1778" s="397"/>
      <c r="G1778" s="397"/>
      <c r="H1778" s="397"/>
      <c r="I1778" s="450"/>
      <c r="J1778" s="397"/>
      <c r="K1778" s="397"/>
      <c r="L1778" s="451"/>
      <c r="M1778" s="449"/>
    </row>
    <row r="1779" spans="1:13" x14ac:dyDescent="0.25">
      <c r="A1779" s="397"/>
      <c r="B1779" s="397"/>
      <c r="C1779" s="397"/>
      <c r="D1779" s="397"/>
      <c r="E1779" s="397"/>
      <c r="F1779" s="397"/>
      <c r="G1779" s="397"/>
      <c r="H1779" s="397"/>
      <c r="I1779" s="450"/>
      <c r="J1779" s="397"/>
      <c r="K1779" s="397"/>
      <c r="L1779" s="451"/>
      <c r="M1779" s="449"/>
    </row>
    <row r="1780" spans="1:13" x14ac:dyDescent="0.25">
      <c r="A1780" s="397"/>
      <c r="B1780" s="397"/>
      <c r="C1780" s="397"/>
      <c r="D1780" s="397"/>
      <c r="E1780" s="397"/>
      <c r="F1780" s="397"/>
      <c r="G1780" s="397"/>
      <c r="H1780" s="397"/>
      <c r="I1780" s="450"/>
      <c r="J1780" s="397"/>
      <c r="K1780" s="397"/>
      <c r="L1780" s="451"/>
      <c r="M1780" s="449"/>
    </row>
    <row r="1781" spans="1:13" x14ac:dyDescent="0.25">
      <c r="A1781" s="397"/>
      <c r="B1781" s="397"/>
      <c r="C1781" s="397"/>
      <c r="D1781" s="397"/>
      <c r="E1781" s="397"/>
      <c r="F1781" s="397"/>
      <c r="G1781" s="397"/>
      <c r="H1781" s="397"/>
      <c r="I1781" s="450"/>
      <c r="J1781" s="397"/>
      <c r="K1781" s="397"/>
      <c r="L1781" s="451"/>
      <c r="M1781" s="449"/>
    </row>
    <row r="1782" spans="1:13" x14ac:dyDescent="0.25">
      <c r="A1782" s="397"/>
      <c r="B1782" s="397"/>
      <c r="C1782" s="397"/>
      <c r="D1782" s="397"/>
      <c r="E1782" s="397"/>
      <c r="F1782" s="397"/>
      <c r="G1782" s="397"/>
      <c r="H1782" s="397"/>
      <c r="I1782" s="450"/>
      <c r="J1782" s="397"/>
      <c r="K1782" s="397"/>
      <c r="L1782" s="451"/>
      <c r="M1782" s="449"/>
    </row>
    <row r="1783" spans="1:13" x14ac:dyDescent="0.25">
      <c r="A1783" s="397"/>
      <c r="B1783" s="397"/>
      <c r="C1783" s="397"/>
      <c r="D1783" s="397"/>
      <c r="E1783" s="397"/>
      <c r="F1783" s="397"/>
      <c r="G1783" s="397"/>
      <c r="H1783" s="397"/>
      <c r="I1783" s="450"/>
      <c r="J1783" s="397"/>
      <c r="K1783" s="397"/>
      <c r="L1783" s="451"/>
      <c r="M1783" s="449"/>
    </row>
    <row r="1784" spans="1:13" x14ac:dyDescent="0.25">
      <c r="A1784" s="397"/>
      <c r="B1784" s="397"/>
      <c r="C1784" s="397"/>
      <c r="D1784" s="397"/>
      <c r="E1784" s="397"/>
      <c r="F1784" s="397"/>
      <c r="G1784" s="397"/>
      <c r="H1784" s="397"/>
      <c r="I1784" s="450"/>
      <c r="J1784" s="397"/>
      <c r="K1784" s="397"/>
      <c r="L1784" s="451"/>
      <c r="M1784" s="449"/>
    </row>
    <row r="1785" spans="1:13" x14ac:dyDescent="0.25">
      <c r="A1785" s="397"/>
      <c r="B1785" s="397"/>
      <c r="C1785" s="397"/>
      <c r="D1785" s="397"/>
      <c r="E1785" s="397"/>
      <c r="F1785" s="397"/>
      <c r="G1785" s="397"/>
      <c r="H1785" s="397"/>
      <c r="I1785" s="450"/>
      <c r="J1785" s="397"/>
      <c r="K1785" s="397"/>
      <c r="L1785" s="451"/>
      <c r="M1785" s="449"/>
    </row>
    <row r="1786" spans="1:13" x14ac:dyDescent="0.25">
      <c r="A1786" s="397"/>
      <c r="B1786" s="397"/>
      <c r="C1786" s="397"/>
      <c r="D1786" s="397"/>
      <c r="E1786" s="397"/>
      <c r="F1786" s="397"/>
      <c r="G1786" s="397"/>
      <c r="H1786" s="397"/>
      <c r="I1786" s="450"/>
      <c r="J1786" s="397"/>
      <c r="K1786" s="397"/>
      <c r="L1786" s="451"/>
      <c r="M1786" s="449"/>
    </row>
    <row r="1787" spans="1:13" x14ac:dyDescent="0.25">
      <c r="A1787" s="397"/>
      <c r="B1787" s="397"/>
      <c r="C1787" s="397"/>
      <c r="D1787" s="397"/>
      <c r="E1787" s="397"/>
      <c r="F1787" s="397"/>
      <c r="G1787" s="397"/>
      <c r="H1787" s="397"/>
      <c r="I1787" s="450"/>
      <c r="J1787" s="397"/>
      <c r="K1787" s="397"/>
      <c r="L1787" s="451"/>
      <c r="M1787" s="449"/>
    </row>
    <row r="1788" spans="1:13" x14ac:dyDescent="0.25">
      <c r="A1788" s="397"/>
      <c r="B1788" s="397"/>
      <c r="C1788" s="397"/>
      <c r="D1788" s="397"/>
      <c r="E1788" s="397"/>
      <c r="F1788" s="397"/>
      <c r="G1788" s="397"/>
      <c r="H1788" s="397"/>
      <c r="I1788" s="450"/>
      <c r="J1788" s="397"/>
      <c r="K1788" s="397"/>
      <c r="L1788" s="451"/>
      <c r="M1788" s="449"/>
    </row>
    <row r="1789" spans="1:13" x14ac:dyDescent="0.25">
      <c r="A1789" s="397"/>
      <c r="B1789" s="397"/>
      <c r="C1789" s="397"/>
      <c r="D1789" s="397"/>
      <c r="E1789" s="397"/>
      <c r="F1789" s="397"/>
      <c r="G1789" s="397"/>
      <c r="H1789" s="397"/>
      <c r="I1789" s="450"/>
      <c r="J1789" s="397"/>
      <c r="K1789" s="397"/>
      <c r="L1789" s="451"/>
      <c r="M1789" s="449"/>
    </row>
    <row r="1790" spans="1:13" x14ac:dyDescent="0.25">
      <c r="A1790" s="397"/>
      <c r="B1790" s="397"/>
      <c r="C1790" s="397"/>
      <c r="D1790" s="397"/>
      <c r="E1790" s="397"/>
      <c r="F1790" s="397"/>
      <c r="G1790" s="397"/>
      <c r="H1790" s="397"/>
      <c r="I1790" s="450"/>
      <c r="J1790" s="397"/>
      <c r="K1790" s="397"/>
      <c r="L1790" s="451"/>
      <c r="M1790" s="449"/>
    </row>
    <row r="1791" spans="1:13" x14ac:dyDescent="0.25">
      <c r="A1791" s="397"/>
      <c r="B1791" s="397"/>
      <c r="C1791" s="397"/>
      <c r="D1791" s="397"/>
      <c r="E1791" s="397"/>
      <c r="F1791" s="397"/>
      <c r="G1791" s="397"/>
      <c r="H1791" s="397"/>
      <c r="I1791" s="450"/>
      <c r="J1791" s="397"/>
      <c r="K1791" s="397"/>
      <c r="L1791" s="451"/>
      <c r="M1791" s="449"/>
    </row>
    <row r="1792" spans="1:13" x14ac:dyDescent="0.25">
      <c r="A1792" s="397"/>
      <c r="B1792" s="397"/>
      <c r="C1792" s="397"/>
      <c r="D1792" s="397"/>
      <c r="E1792" s="397"/>
      <c r="F1792" s="397"/>
      <c r="G1792" s="397"/>
      <c r="H1792" s="397"/>
      <c r="I1792" s="450"/>
      <c r="J1792" s="397"/>
      <c r="K1792" s="397"/>
      <c r="L1792" s="451"/>
      <c r="M1792" s="449"/>
    </row>
    <row r="1793" spans="1:13" x14ac:dyDescent="0.25">
      <c r="A1793" s="397"/>
      <c r="B1793" s="397"/>
      <c r="C1793" s="397"/>
      <c r="D1793" s="397"/>
      <c r="E1793" s="397"/>
      <c r="F1793" s="397"/>
      <c r="G1793" s="397"/>
      <c r="H1793" s="397"/>
      <c r="I1793" s="450"/>
      <c r="J1793" s="397"/>
      <c r="K1793" s="397"/>
      <c r="L1793" s="451"/>
      <c r="M1793" s="449"/>
    </row>
    <row r="1794" spans="1:13" x14ac:dyDescent="0.25">
      <c r="A1794" s="397"/>
      <c r="B1794" s="397"/>
      <c r="C1794" s="397"/>
      <c r="D1794" s="397"/>
      <c r="E1794" s="397"/>
      <c r="F1794" s="397"/>
      <c r="G1794" s="397"/>
      <c r="H1794" s="397"/>
      <c r="I1794" s="450"/>
      <c r="J1794" s="397"/>
      <c r="K1794" s="397"/>
      <c r="L1794" s="451"/>
      <c r="M1794" s="449"/>
    </row>
    <row r="1795" spans="1:13" x14ac:dyDescent="0.25">
      <c r="A1795" s="397"/>
      <c r="B1795" s="397"/>
      <c r="C1795" s="397"/>
      <c r="D1795" s="397"/>
      <c r="E1795" s="397"/>
      <c r="F1795" s="397"/>
      <c r="G1795" s="397"/>
      <c r="H1795" s="397"/>
      <c r="I1795" s="450"/>
      <c r="J1795" s="397"/>
      <c r="K1795" s="397"/>
      <c r="L1795" s="451"/>
      <c r="M1795" s="449"/>
    </row>
    <row r="1796" spans="1:13" x14ac:dyDescent="0.25">
      <c r="A1796" s="397"/>
      <c r="B1796" s="397"/>
      <c r="C1796" s="397"/>
      <c r="D1796" s="397"/>
      <c r="E1796" s="397"/>
      <c r="F1796" s="397"/>
      <c r="G1796" s="397"/>
      <c r="H1796" s="397"/>
      <c r="I1796" s="450"/>
      <c r="J1796" s="397"/>
      <c r="K1796" s="397"/>
      <c r="L1796" s="451"/>
      <c r="M1796" s="449"/>
    </row>
    <row r="1797" spans="1:13" x14ac:dyDescent="0.25">
      <c r="A1797" s="397"/>
      <c r="B1797" s="397"/>
      <c r="C1797" s="397"/>
      <c r="D1797" s="397"/>
      <c r="E1797" s="397"/>
      <c r="F1797" s="397"/>
      <c r="G1797" s="397"/>
      <c r="H1797" s="397"/>
      <c r="I1797" s="450"/>
      <c r="J1797" s="397"/>
      <c r="K1797" s="397"/>
      <c r="L1797" s="451"/>
      <c r="M1797" s="449"/>
    </row>
    <row r="1798" spans="1:13" x14ac:dyDescent="0.25">
      <c r="A1798" s="397"/>
      <c r="B1798" s="397"/>
      <c r="C1798" s="397"/>
      <c r="D1798" s="397"/>
      <c r="E1798" s="397"/>
      <c r="F1798" s="397"/>
      <c r="G1798" s="397"/>
      <c r="H1798" s="397"/>
      <c r="I1798" s="450"/>
      <c r="J1798" s="397"/>
      <c r="K1798" s="397"/>
      <c r="L1798" s="451"/>
      <c r="M1798" s="449"/>
    </row>
    <row r="1799" spans="1:13" x14ac:dyDescent="0.25">
      <c r="A1799" s="397"/>
      <c r="B1799" s="397"/>
      <c r="C1799" s="397"/>
      <c r="D1799" s="397"/>
      <c r="E1799" s="397"/>
      <c r="F1799" s="397"/>
      <c r="G1799" s="397"/>
      <c r="H1799" s="397"/>
      <c r="I1799" s="450"/>
      <c r="J1799" s="397"/>
      <c r="K1799" s="397"/>
      <c r="L1799" s="451"/>
      <c r="M1799" s="449"/>
    </row>
    <row r="1800" spans="1:13" x14ac:dyDescent="0.25">
      <c r="A1800" s="397"/>
      <c r="B1800" s="397"/>
      <c r="C1800" s="397"/>
      <c r="D1800" s="397"/>
      <c r="E1800" s="397"/>
      <c r="F1800" s="397"/>
      <c r="G1800" s="397"/>
      <c r="H1800" s="397"/>
      <c r="I1800" s="450"/>
      <c r="J1800" s="397"/>
      <c r="K1800" s="397"/>
      <c r="L1800" s="451"/>
      <c r="M1800" s="449"/>
    </row>
    <row r="1801" spans="1:13" x14ac:dyDescent="0.25">
      <c r="A1801" s="397"/>
      <c r="B1801" s="397"/>
      <c r="C1801" s="397"/>
      <c r="D1801" s="397"/>
      <c r="E1801" s="397"/>
      <c r="F1801" s="397"/>
      <c r="G1801" s="397"/>
      <c r="H1801" s="397"/>
      <c r="I1801" s="450"/>
      <c r="J1801" s="397"/>
      <c r="K1801" s="397"/>
      <c r="L1801" s="451"/>
      <c r="M1801" s="449"/>
    </row>
    <row r="1802" spans="1:13" x14ac:dyDescent="0.25">
      <c r="A1802" s="397"/>
      <c r="B1802" s="397"/>
      <c r="C1802" s="397"/>
      <c r="D1802" s="397"/>
      <c r="E1802" s="397"/>
      <c r="F1802" s="397"/>
      <c r="G1802" s="397"/>
      <c r="H1802" s="397"/>
      <c r="I1802" s="450"/>
      <c r="J1802" s="397"/>
      <c r="K1802" s="397"/>
      <c r="L1802" s="451"/>
      <c r="M1802" s="449"/>
    </row>
    <row r="1803" spans="1:13" x14ac:dyDescent="0.25">
      <c r="A1803" s="397"/>
      <c r="B1803" s="397"/>
      <c r="C1803" s="397"/>
      <c r="D1803" s="397"/>
      <c r="E1803" s="397"/>
      <c r="F1803" s="397"/>
      <c r="G1803" s="397"/>
      <c r="H1803" s="397"/>
      <c r="I1803" s="450"/>
      <c r="J1803" s="397"/>
      <c r="K1803" s="397"/>
      <c r="L1803" s="451"/>
      <c r="M1803" s="449"/>
    </row>
    <row r="1804" spans="1:13" x14ac:dyDescent="0.25">
      <c r="A1804" s="397"/>
      <c r="B1804" s="397"/>
      <c r="C1804" s="397"/>
      <c r="D1804" s="397"/>
      <c r="E1804" s="397"/>
      <c r="F1804" s="397"/>
      <c r="G1804" s="397"/>
      <c r="H1804" s="397"/>
      <c r="I1804" s="450"/>
      <c r="J1804" s="397"/>
      <c r="K1804" s="397"/>
      <c r="L1804" s="451"/>
      <c r="M1804" s="449"/>
    </row>
    <row r="1805" spans="1:13" x14ac:dyDescent="0.25">
      <c r="A1805" s="397"/>
      <c r="B1805" s="397"/>
      <c r="C1805" s="397"/>
      <c r="D1805" s="397"/>
      <c r="E1805" s="397"/>
      <c r="F1805" s="397"/>
      <c r="G1805" s="397"/>
      <c r="H1805" s="397"/>
      <c r="I1805" s="450"/>
      <c r="J1805" s="397"/>
      <c r="K1805" s="397"/>
      <c r="L1805" s="451"/>
      <c r="M1805" s="449"/>
    </row>
    <row r="1806" spans="1:13" x14ac:dyDescent="0.25">
      <c r="A1806" s="397"/>
      <c r="B1806" s="397"/>
      <c r="C1806" s="397"/>
      <c r="D1806" s="397"/>
      <c r="E1806" s="397"/>
      <c r="F1806" s="397"/>
      <c r="G1806" s="397"/>
      <c r="H1806" s="397"/>
      <c r="I1806" s="450"/>
      <c r="J1806" s="397"/>
      <c r="K1806" s="397"/>
      <c r="L1806" s="451"/>
      <c r="M1806" s="449"/>
    </row>
    <row r="1807" spans="1:13" x14ac:dyDescent="0.25">
      <c r="A1807" s="397"/>
      <c r="B1807" s="397"/>
      <c r="C1807" s="397"/>
      <c r="D1807" s="397"/>
      <c r="E1807" s="397"/>
      <c r="F1807" s="397"/>
      <c r="G1807" s="397"/>
      <c r="H1807" s="397"/>
      <c r="I1807" s="450"/>
      <c r="J1807" s="397"/>
      <c r="K1807" s="397"/>
      <c r="L1807" s="451"/>
      <c r="M1807" s="449"/>
    </row>
    <row r="1808" spans="1:13" x14ac:dyDescent="0.25">
      <c r="A1808" s="397"/>
      <c r="B1808" s="397"/>
      <c r="C1808" s="397"/>
      <c r="D1808" s="397"/>
      <c r="E1808" s="397"/>
      <c r="F1808" s="397"/>
      <c r="G1808" s="397"/>
      <c r="H1808" s="397"/>
      <c r="I1808" s="450"/>
      <c r="J1808" s="397"/>
      <c r="K1808" s="397"/>
      <c r="L1808" s="451"/>
      <c r="M1808" s="449"/>
    </row>
    <row r="1809" spans="1:13" x14ac:dyDescent="0.25">
      <c r="A1809" s="397"/>
      <c r="B1809" s="397"/>
      <c r="C1809" s="397"/>
      <c r="D1809" s="397"/>
      <c r="E1809" s="397"/>
      <c r="F1809" s="397"/>
      <c r="G1809" s="397"/>
      <c r="H1809" s="397"/>
      <c r="I1809" s="450"/>
      <c r="J1809" s="397"/>
      <c r="K1809" s="397"/>
      <c r="L1809" s="451"/>
      <c r="M1809" s="449"/>
    </row>
    <row r="1810" spans="1:13" x14ac:dyDescent="0.25">
      <c r="A1810" s="397"/>
      <c r="B1810" s="397"/>
      <c r="C1810" s="397"/>
      <c r="D1810" s="397"/>
      <c r="E1810" s="397"/>
      <c r="F1810" s="397"/>
      <c r="G1810" s="397"/>
      <c r="H1810" s="397"/>
      <c r="I1810" s="450"/>
      <c r="J1810" s="397"/>
      <c r="K1810" s="397"/>
      <c r="L1810" s="451"/>
      <c r="M1810" s="449"/>
    </row>
    <row r="1811" spans="1:13" x14ac:dyDescent="0.25">
      <c r="A1811" s="397"/>
      <c r="B1811" s="397"/>
      <c r="C1811" s="397"/>
      <c r="D1811" s="397"/>
      <c r="E1811" s="397"/>
      <c r="F1811" s="397"/>
      <c r="G1811" s="397"/>
      <c r="H1811" s="397"/>
      <c r="I1811" s="450"/>
      <c r="J1811" s="397"/>
      <c r="K1811" s="397"/>
      <c r="L1811" s="451"/>
      <c r="M1811" s="449"/>
    </row>
    <row r="1812" spans="1:13" x14ac:dyDescent="0.25">
      <c r="A1812" s="397"/>
      <c r="B1812" s="397"/>
      <c r="C1812" s="397"/>
      <c r="D1812" s="397"/>
      <c r="E1812" s="397"/>
      <c r="F1812" s="397"/>
      <c r="G1812" s="397"/>
      <c r="H1812" s="397"/>
      <c r="I1812" s="450"/>
      <c r="J1812" s="397"/>
      <c r="K1812" s="397"/>
      <c r="L1812" s="451"/>
      <c r="M1812" s="449"/>
    </row>
    <row r="1813" spans="1:13" x14ac:dyDescent="0.25">
      <c r="A1813" s="397"/>
      <c r="B1813" s="397"/>
      <c r="C1813" s="397"/>
      <c r="D1813" s="397"/>
      <c r="E1813" s="397"/>
      <c r="F1813" s="397"/>
      <c r="G1813" s="397"/>
      <c r="H1813" s="397"/>
      <c r="I1813" s="450"/>
      <c r="J1813" s="397"/>
      <c r="K1813" s="397"/>
      <c r="L1813" s="451"/>
      <c r="M1813" s="449"/>
    </row>
    <row r="1814" spans="1:13" x14ac:dyDescent="0.25">
      <c r="A1814" s="397"/>
      <c r="B1814" s="397"/>
      <c r="C1814" s="397"/>
      <c r="D1814" s="397"/>
      <c r="E1814" s="397"/>
      <c r="F1814" s="397"/>
      <c r="G1814" s="397"/>
      <c r="H1814" s="397"/>
      <c r="I1814" s="450"/>
      <c r="J1814" s="397"/>
      <c r="K1814" s="397"/>
      <c r="L1814" s="451"/>
      <c r="M1814" s="449"/>
    </row>
    <row r="1815" spans="1:13" x14ac:dyDescent="0.25">
      <c r="A1815" s="397"/>
      <c r="B1815" s="397"/>
      <c r="C1815" s="397"/>
      <c r="D1815" s="397"/>
      <c r="E1815" s="397"/>
      <c r="F1815" s="397"/>
      <c r="G1815" s="397"/>
      <c r="H1815" s="397"/>
      <c r="I1815" s="450"/>
      <c r="J1815" s="397"/>
      <c r="K1815" s="397"/>
      <c r="L1815" s="451"/>
      <c r="M1815" s="449"/>
    </row>
    <row r="1816" spans="1:13" x14ac:dyDescent="0.25">
      <c r="A1816" s="397"/>
      <c r="B1816" s="397"/>
      <c r="C1816" s="397"/>
      <c r="D1816" s="397"/>
      <c r="E1816" s="397"/>
      <c r="F1816" s="397"/>
      <c r="G1816" s="397"/>
      <c r="H1816" s="397"/>
      <c r="I1816" s="450"/>
      <c r="J1816" s="397"/>
      <c r="K1816" s="397"/>
      <c r="L1816" s="451"/>
      <c r="M1816" s="449"/>
    </row>
    <row r="1817" spans="1:13" x14ac:dyDescent="0.25">
      <c r="A1817" s="397"/>
      <c r="B1817" s="397"/>
      <c r="C1817" s="397"/>
      <c r="D1817" s="397"/>
      <c r="E1817" s="397"/>
      <c r="F1817" s="397"/>
      <c r="G1817" s="397"/>
      <c r="H1817" s="397"/>
      <c r="I1817" s="450"/>
      <c r="J1817" s="397"/>
      <c r="K1817" s="397"/>
      <c r="L1817" s="451"/>
      <c r="M1817" s="449"/>
    </row>
    <row r="1818" spans="1:13" x14ac:dyDescent="0.25">
      <c r="A1818" s="397"/>
      <c r="B1818" s="397"/>
      <c r="C1818" s="397"/>
      <c r="D1818" s="397"/>
      <c r="E1818" s="397"/>
      <c r="F1818" s="397"/>
      <c r="G1818" s="397"/>
      <c r="H1818" s="397"/>
      <c r="I1818" s="450"/>
      <c r="J1818" s="397"/>
      <c r="K1818" s="397"/>
      <c r="L1818" s="451"/>
      <c r="M1818" s="449"/>
    </row>
    <row r="1819" spans="1:13" x14ac:dyDescent="0.25">
      <c r="A1819" s="397"/>
      <c r="B1819" s="397"/>
      <c r="C1819" s="397"/>
      <c r="D1819" s="397"/>
      <c r="E1819" s="397"/>
      <c r="F1819" s="397"/>
      <c r="G1819" s="397"/>
      <c r="H1819" s="397"/>
      <c r="I1819" s="450"/>
      <c r="J1819" s="397"/>
      <c r="K1819" s="397"/>
      <c r="L1819" s="451"/>
      <c r="M1819" s="449"/>
    </row>
    <row r="1820" spans="1:13" x14ac:dyDescent="0.25">
      <c r="A1820" s="397"/>
      <c r="B1820" s="397"/>
      <c r="C1820" s="397"/>
      <c r="D1820" s="397"/>
      <c r="E1820" s="397"/>
      <c r="F1820" s="397"/>
      <c r="G1820" s="397"/>
      <c r="H1820" s="397"/>
      <c r="I1820" s="450"/>
      <c r="J1820" s="397"/>
      <c r="K1820" s="397"/>
      <c r="L1820" s="451"/>
      <c r="M1820" s="449"/>
    </row>
    <row r="1821" spans="1:13" x14ac:dyDescent="0.25">
      <c r="A1821" s="397"/>
      <c r="B1821" s="397"/>
      <c r="C1821" s="397"/>
      <c r="D1821" s="397"/>
      <c r="E1821" s="397"/>
      <c r="F1821" s="397"/>
      <c r="G1821" s="397"/>
      <c r="H1821" s="397"/>
      <c r="I1821" s="450"/>
      <c r="J1821" s="397"/>
      <c r="K1821" s="397"/>
      <c r="L1821" s="451"/>
      <c r="M1821" s="449"/>
    </row>
    <row r="1822" spans="1:13" x14ac:dyDescent="0.25">
      <c r="A1822" s="397"/>
      <c r="B1822" s="397"/>
      <c r="C1822" s="397"/>
      <c r="D1822" s="397"/>
      <c r="E1822" s="397"/>
      <c r="F1822" s="397"/>
      <c r="G1822" s="397"/>
      <c r="H1822" s="397"/>
      <c r="I1822" s="450"/>
      <c r="J1822" s="397"/>
      <c r="K1822" s="397"/>
      <c r="L1822" s="451"/>
      <c r="M1822" s="449"/>
    </row>
    <row r="1823" spans="1:13" x14ac:dyDescent="0.25">
      <c r="A1823" s="397"/>
      <c r="B1823" s="397"/>
      <c r="C1823" s="397"/>
      <c r="D1823" s="397"/>
      <c r="E1823" s="397"/>
      <c r="F1823" s="397"/>
      <c r="G1823" s="397"/>
      <c r="H1823" s="397"/>
      <c r="I1823" s="450"/>
      <c r="J1823" s="397"/>
      <c r="K1823" s="397"/>
      <c r="L1823" s="451"/>
      <c r="M1823" s="449"/>
    </row>
    <row r="1824" spans="1:13" x14ac:dyDescent="0.25">
      <c r="A1824" s="397"/>
      <c r="B1824" s="397"/>
      <c r="C1824" s="397"/>
      <c r="D1824" s="397"/>
      <c r="E1824" s="397"/>
      <c r="F1824" s="397"/>
      <c r="G1824" s="397"/>
      <c r="H1824" s="397"/>
      <c r="I1824" s="450"/>
      <c r="J1824" s="397"/>
      <c r="K1824" s="397"/>
      <c r="L1824" s="451"/>
      <c r="M1824" s="449"/>
    </row>
    <row r="1825" spans="1:13" x14ac:dyDescent="0.25">
      <c r="A1825" s="397"/>
      <c r="B1825" s="397"/>
      <c r="C1825" s="397"/>
      <c r="D1825" s="397"/>
      <c r="E1825" s="397"/>
      <c r="F1825" s="397"/>
      <c r="G1825" s="397"/>
      <c r="H1825" s="397"/>
      <c r="I1825" s="450"/>
      <c r="J1825" s="397"/>
      <c r="K1825" s="397"/>
      <c r="L1825" s="451"/>
      <c r="M1825" s="449"/>
    </row>
    <row r="1826" spans="1:13" x14ac:dyDescent="0.25">
      <c r="A1826" s="397"/>
      <c r="B1826" s="397"/>
      <c r="C1826" s="397"/>
      <c r="D1826" s="397"/>
      <c r="E1826" s="397"/>
      <c r="F1826" s="397"/>
      <c r="G1826" s="397"/>
      <c r="H1826" s="397"/>
      <c r="I1826" s="450"/>
      <c r="J1826" s="397"/>
      <c r="K1826" s="397"/>
      <c r="L1826" s="451"/>
      <c r="M1826" s="449"/>
    </row>
    <row r="1827" spans="1:13" x14ac:dyDescent="0.25">
      <c r="A1827" s="397"/>
      <c r="B1827" s="397"/>
      <c r="C1827" s="397"/>
      <c r="D1827" s="397"/>
      <c r="E1827" s="397"/>
      <c r="F1827" s="397"/>
      <c r="G1827" s="397"/>
      <c r="H1827" s="397"/>
      <c r="I1827" s="450"/>
      <c r="J1827" s="397"/>
      <c r="K1827" s="397"/>
      <c r="L1827" s="451"/>
      <c r="M1827" s="449"/>
    </row>
    <row r="1828" spans="1:13" x14ac:dyDescent="0.25">
      <c r="A1828" s="397"/>
      <c r="B1828" s="397"/>
      <c r="C1828" s="397"/>
      <c r="D1828" s="397"/>
      <c r="E1828" s="397"/>
      <c r="F1828" s="397"/>
      <c r="G1828" s="397"/>
      <c r="H1828" s="397"/>
      <c r="I1828" s="450"/>
      <c r="J1828" s="397"/>
      <c r="K1828" s="397"/>
      <c r="L1828" s="451"/>
      <c r="M1828" s="449"/>
    </row>
    <row r="1829" spans="1:13" x14ac:dyDescent="0.25">
      <c r="A1829" s="397"/>
      <c r="B1829" s="397"/>
      <c r="C1829" s="397"/>
      <c r="D1829" s="397"/>
      <c r="E1829" s="397"/>
      <c r="F1829" s="397"/>
      <c r="G1829" s="397"/>
      <c r="H1829" s="397"/>
      <c r="I1829" s="450"/>
      <c r="J1829" s="397"/>
      <c r="K1829" s="397"/>
      <c r="L1829" s="451"/>
      <c r="M1829" s="449"/>
    </row>
    <row r="1830" spans="1:13" x14ac:dyDescent="0.25">
      <c r="A1830" s="397"/>
      <c r="B1830" s="397"/>
      <c r="C1830" s="397"/>
      <c r="D1830" s="397"/>
      <c r="E1830" s="397"/>
      <c r="F1830" s="397"/>
      <c r="G1830" s="397"/>
      <c r="H1830" s="397"/>
      <c r="I1830" s="450"/>
      <c r="J1830" s="397"/>
      <c r="K1830" s="397"/>
      <c r="L1830" s="451"/>
      <c r="M1830" s="449"/>
    </row>
    <row r="1831" spans="1:13" x14ac:dyDescent="0.25">
      <c r="A1831" s="397"/>
      <c r="B1831" s="397"/>
      <c r="C1831" s="397"/>
      <c r="D1831" s="397"/>
      <c r="E1831" s="397"/>
      <c r="F1831" s="397"/>
      <c r="G1831" s="397"/>
      <c r="H1831" s="397"/>
      <c r="I1831" s="450"/>
      <c r="J1831" s="397"/>
      <c r="K1831" s="397"/>
      <c r="L1831" s="451"/>
      <c r="M1831" s="449"/>
    </row>
    <row r="1832" spans="1:13" x14ac:dyDescent="0.25">
      <c r="A1832" s="397"/>
      <c r="B1832" s="397"/>
      <c r="C1832" s="397"/>
      <c r="D1832" s="397"/>
      <c r="E1832" s="397"/>
      <c r="F1832" s="397"/>
      <c r="G1832" s="397"/>
      <c r="H1832" s="397"/>
      <c r="I1832" s="450"/>
      <c r="J1832" s="397"/>
      <c r="K1832" s="397"/>
      <c r="L1832" s="451"/>
      <c r="M1832" s="449"/>
    </row>
    <row r="1833" spans="1:13" x14ac:dyDescent="0.25">
      <c r="A1833" s="397"/>
      <c r="B1833" s="397"/>
      <c r="C1833" s="397"/>
      <c r="D1833" s="397"/>
      <c r="E1833" s="397"/>
      <c r="F1833" s="397"/>
      <c r="G1833" s="397"/>
      <c r="H1833" s="397"/>
      <c r="I1833" s="450"/>
      <c r="J1833" s="397"/>
      <c r="K1833" s="397"/>
      <c r="L1833" s="451"/>
      <c r="M1833" s="449"/>
    </row>
    <row r="1834" spans="1:13" x14ac:dyDescent="0.25">
      <c r="A1834" s="397"/>
      <c r="B1834" s="397"/>
      <c r="C1834" s="397"/>
      <c r="D1834" s="397"/>
      <c r="E1834" s="397"/>
      <c r="F1834" s="397"/>
      <c r="G1834" s="397"/>
      <c r="H1834" s="397"/>
      <c r="I1834" s="450"/>
      <c r="J1834" s="397"/>
      <c r="K1834" s="397"/>
      <c r="L1834" s="451"/>
      <c r="M1834" s="449"/>
    </row>
    <row r="1835" spans="1:13" x14ac:dyDescent="0.25">
      <c r="A1835" s="397"/>
      <c r="B1835" s="397"/>
      <c r="C1835" s="397"/>
      <c r="D1835" s="397"/>
      <c r="E1835" s="397"/>
      <c r="F1835" s="397"/>
      <c r="G1835" s="397"/>
      <c r="H1835" s="397"/>
      <c r="I1835" s="450"/>
      <c r="J1835" s="397"/>
      <c r="K1835" s="397"/>
      <c r="L1835" s="451"/>
      <c r="M1835" s="449"/>
    </row>
    <row r="1836" spans="1:13" x14ac:dyDescent="0.25">
      <c r="A1836" s="397"/>
      <c r="B1836" s="397"/>
      <c r="C1836" s="397"/>
      <c r="D1836" s="397"/>
      <c r="E1836" s="397"/>
      <c r="F1836" s="397"/>
      <c r="G1836" s="397"/>
      <c r="H1836" s="397"/>
      <c r="I1836" s="450"/>
      <c r="J1836" s="397"/>
      <c r="K1836" s="397"/>
      <c r="L1836" s="451"/>
      <c r="M1836" s="449"/>
    </row>
    <row r="1837" spans="1:13" x14ac:dyDescent="0.25">
      <c r="A1837" s="397"/>
      <c r="B1837" s="397"/>
      <c r="C1837" s="397"/>
      <c r="D1837" s="397"/>
      <c r="E1837" s="397"/>
      <c r="F1837" s="397"/>
      <c r="G1837" s="397"/>
      <c r="H1837" s="397"/>
      <c r="I1837" s="450"/>
      <c r="J1837" s="397"/>
      <c r="K1837" s="397"/>
      <c r="L1837" s="451"/>
      <c r="M1837" s="449"/>
    </row>
    <row r="1838" spans="1:13" x14ac:dyDescent="0.25">
      <c r="A1838" s="397"/>
      <c r="B1838" s="397"/>
      <c r="C1838" s="397"/>
      <c r="D1838" s="397"/>
      <c r="E1838" s="397"/>
      <c r="F1838" s="397"/>
      <c r="G1838" s="397"/>
      <c r="H1838" s="397"/>
      <c r="I1838" s="450"/>
      <c r="J1838" s="397"/>
      <c r="K1838" s="397"/>
      <c r="L1838" s="451"/>
      <c r="M1838" s="449"/>
    </row>
    <row r="1839" spans="1:13" x14ac:dyDescent="0.25">
      <c r="A1839" s="397"/>
      <c r="B1839" s="397"/>
      <c r="C1839" s="397"/>
      <c r="D1839" s="397"/>
      <c r="E1839" s="397"/>
      <c r="F1839" s="397"/>
      <c r="G1839" s="397"/>
      <c r="H1839" s="397"/>
      <c r="I1839" s="450"/>
      <c r="J1839" s="397"/>
      <c r="K1839" s="397"/>
      <c r="L1839" s="451"/>
      <c r="M1839" s="449"/>
    </row>
    <row r="1840" spans="1:13" x14ac:dyDescent="0.25">
      <c r="A1840" s="397"/>
      <c r="B1840" s="397"/>
      <c r="C1840" s="397"/>
      <c r="D1840" s="397"/>
      <c r="E1840" s="397"/>
      <c r="F1840" s="397"/>
      <c r="G1840" s="397"/>
      <c r="H1840" s="397"/>
      <c r="I1840" s="450"/>
      <c r="J1840" s="397"/>
      <c r="K1840" s="397"/>
      <c r="L1840" s="451"/>
      <c r="M1840" s="449"/>
    </row>
    <row r="1841" spans="1:13" x14ac:dyDescent="0.25">
      <c r="A1841" s="397"/>
      <c r="B1841" s="397"/>
      <c r="C1841" s="397"/>
      <c r="D1841" s="397"/>
      <c r="E1841" s="397"/>
      <c r="F1841" s="397"/>
      <c r="G1841" s="397"/>
      <c r="H1841" s="397"/>
      <c r="I1841" s="450"/>
      <c r="J1841" s="397"/>
      <c r="K1841" s="397"/>
      <c r="L1841" s="451"/>
      <c r="M1841" s="449"/>
    </row>
    <row r="1842" spans="1:13" x14ac:dyDescent="0.25">
      <c r="A1842" s="397"/>
      <c r="B1842" s="397"/>
      <c r="C1842" s="397"/>
      <c r="D1842" s="397"/>
      <c r="E1842" s="397"/>
      <c r="F1842" s="397"/>
      <c r="G1842" s="397"/>
      <c r="H1842" s="397"/>
      <c r="I1842" s="450"/>
      <c r="J1842" s="397"/>
      <c r="K1842" s="397"/>
      <c r="L1842" s="451"/>
      <c r="M1842" s="449"/>
    </row>
    <row r="1843" spans="1:13" x14ac:dyDescent="0.25">
      <c r="A1843" s="397"/>
      <c r="B1843" s="397"/>
      <c r="C1843" s="397"/>
      <c r="D1843" s="397"/>
      <c r="E1843" s="397"/>
      <c r="F1843" s="397"/>
      <c r="G1843" s="397"/>
      <c r="H1843" s="397"/>
      <c r="I1843" s="450"/>
      <c r="J1843" s="397"/>
      <c r="K1843" s="397"/>
      <c r="L1843" s="451"/>
      <c r="M1843" s="449"/>
    </row>
    <row r="1844" spans="1:13" x14ac:dyDescent="0.25">
      <c r="A1844" s="397"/>
      <c r="B1844" s="397"/>
      <c r="C1844" s="397"/>
      <c r="D1844" s="397"/>
      <c r="E1844" s="397"/>
      <c r="F1844" s="397"/>
      <c r="G1844" s="397"/>
      <c r="H1844" s="397"/>
      <c r="I1844" s="450"/>
      <c r="J1844" s="397"/>
      <c r="K1844" s="397"/>
      <c r="L1844" s="451"/>
      <c r="M1844" s="449"/>
    </row>
    <row r="1845" spans="1:13" x14ac:dyDescent="0.25">
      <c r="A1845" s="397"/>
      <c r="B1845" s="397"/>
      <c r="C1845" s="397"/>
      <c r="D1845" s="397"/>
      <c r="E1845" s="397"/>
      <c r="F1845" s="397"/>
      <c r="G1845" s="397"/>
      <c r="H1845" s="397"/>
      <c r="I1845" s="450"/>
      <c r="J1845" s="397"/>
      <c r="K1845" s="397"/>
      <c r="L1845" s="451"/>
      <c r="M1845" s="449"/>
    </row>
    <row r="1846" spans="1:13" x14ac:dyDescent="0.25">
      <c r="A1846" s="397"/>
      <c r="B1846" s="397"/>
      <c r="C1846" s="397"/>
      <c r="D1846" s="397"/>
      <c r="E1846" s="397"/>
      <c r="F1846" s="397"/>
      <c r="G1846" s="397"/>
      <c r="H1846" s="397"/>
      <c r="I1846" s="450"/>
      <c r="J1846" s="397"/>
      <c r="K1846" s="397"/>
      <c r="L1846" s="451"/>
      <c r="M1846" s="449"/>
    </row>
    <row r="1847" spans="1:13" x14ac:dyDescent="0.25">
      <c r="A1847" s="397"/>
      <c r="B1847" s="397"/>
      <c r="C1847" s="397"/>
      <c r="D1847" s="397"/>
      <c r="E1847" s="397"/>
      <c r="F1847" s="397"/>
      <c r="G1847" s="397"/>
      <c r="H1847" s="397"/>
      <c r="I1847" s="450"/>
      <c r="J1847" s="397"/>
      <c r="K1847" s="397"/>
      <c r="L1847" s="451"/>
      <c r="M1847" s="449"/>
    </row>
    <row r="1848" spans="1:13" x14ac:dyDescent="0.25">
      <c r="A1848" s="397"/>
      <c r="B1848" s="397"/>
      <c r="C1848" s="397"/>
      <c r="D1848" s="397"/>
      <c r="E1848" s="397"/>
      <c r="F1848" s="397"/>
      <c r="G1848" s="397"/>
      <c r="H1848" s="397"/>
      <c r="I1848" s="450"/>
      <c r="J1848" s="397"/>
      <c r="K1848" s="397"/>
      <c r="L1848" s="451"/>
      <c r="M1848" s="449"/>
    </row>
    <row r="1849" spans="1:13" x14ac:dyDescent="0.25">
      <c r="A1849" s="397"/>
      <c r="B1849" s="397"/>
      <c r="C1849" s="397"/>
      <c r="D1849" s="397"/>
      <c r="E1849" s="397"/>
      <c r="F1849" s="397"/>
      <c r="G1849" s="397"/>
      <c r="H1849" s="397"/>
      <c r="I1849" s="450"/>
      <c r="J1849" s="397"/>
      <c r="K1849" s="397"/>
      <c r="L1849" s="451"/>
      <c r="M1849" s="449"/>
    </row>
    <row r="1850" spans="1:13" x14ac:dyDescent="0.25">
      <c r="A1850" s="397"/>
      <c r="B1850" s="397"/>
      <c r="C1850" s="397"/>
      <c r="D1850" s="397"/>
      <c r="E1850" s="397"/>
      <c r="F1850" s="397"/>
      <c r="G1850" s="397"/>
      <c r="H1850" s="397"/>
      <c r="I1850" s="450"/>
      <c r="J1850" s="397"/>
      <c r="K1850" s="397"/>
      <c r="L1850" s="451"/>
      <c r="M1850" s="449"/>
    </row>
    <row r="1851" spans="1:13" x14ac:dyDescent="0.25">
      <c r="A1851" s="397"/>
      <c r="B1851" s="397"/>
      <c r="C1851" s="397"/>
      <c r="D1851" s="397"/>
      <c r="E1851" s="397"/>
      <c r="F1851" s="397"/>
      <c r="G1851" s="397"/>
      <c r="H1851" s="397"/>
      <c r="I1851" s="450"/>
      <c r="J1851" s="397"/>
      <c r="K1851" s="397"/>
      <c r="L1851" s="451"/>
      <c r="M1851" s="449"/>
    </row>
    <row r="1852" spans="1:13" x14ac:dyDescent="0.25">
      <c r="A1852" s="397"/>
      <c r="B1852" s="397"/>
      <c r="C1852" s="397"/>
      <c r="D1852" s="397"/>
      <c r="E1852" s="397"/>
      <c r="F1852" s="397"/>
      <c r="G1852" s="397"/>
      <c r="H1852" s="397"/>
      <c r="I1852" s="450"/>
      <c r="J1852" s="397"/>
      <c r="K1852" s="397"/>
      <c r="L1852" s="451"/>
      <c r="M1852" s="449"/>
    </row>
    <row r="1853" spans="1:13" x14ac:dyDescent="0.25">
      <c r="A1853" s="397"/>
      <c r="B1853" s="397"/>
      <c r="C1853" s="397"/>
      <c r="D1853" s="397"/>
      <c r="E1853" s="397"/>
      <c r="F1853" s="397"/>
      <c r="G1853" s="397"/>
      <c r="H1853" s="397"/>
      <c r="I1853" s="450"/>
      <c r="J1853" s="397"/>
      <c r="K1853" s="397"/>
      <c r="L1853" s="451"/>
      <c r="M1853" s="449"/>
    </row>
    <row r="1854" spans="1:13" x14ac:dyDescent="0.25">
      <c r="A1854" s="397"/>
      <c r="B1854" s="397"/>
      <c r="C1854" s="397"/>
      <c r="D1854" s="397"/>
      <c r="E1854" s="397"/>
      <c r="F1854" s="397"/>
      <c r="G1854" s="397"/>
      <c r="H1854" s="397"/>
      <c r="I1854" s="450"/>
      <c r="J1854" s="397"/>
      <c r="K1854" s="397"/>
      <c r="L1854" s="451"/>
      <c r="M1854" s="449"/>
    </row>
    <row r="1855" spans="1:13" x14ac:dyDescent="0.25">
      <c r="A1855" s="397"/>
      <c r="B1855" s="397"/>
      <c r="C1855" s="397"/>
      <c r="D1855" s="397"/>
      <c r="E1855" s="397"/>
      <c r="F1855" s="397"/>
      <c r="G1855" s="397"/>
      <c r="H1855" s="397"/>
      <c r="I1855" s="450"/>
      <c r="J1855" s="397"/>
      <c r="K1855" s="397"/>
      <c r="L1855" s="451"/>
      <c r="M1855" s="449"/>
    </row>
    <row r="1856" spans="1:13" x14ac:dyDescent="0.25">
      <c r="A1856" s="397"/>
      <c r="B1856" s="397"/>
      <c r="C1856" s="397"/>
      <c r="D1856" s="397"/>
      <c r="E1856" s="397"/>
      <c r="F1856" s="397"/>
      <c r="G1856" s="397"/>
      <c r="H1856" s="397"/>
      <c r="I1856" s="450"/>
      <c r="J1856" s="397"/>
      <c r="K1856" s="397"/>
      <c r="L1856" s="451"/>
      <c r="M1856" s="449"/>
    </row>
    <row r="1857" spans="1:13" x14ac:dyDescent="0.25">
      <c r="A1857" s="397"/>
      <c r="B1857" s="397"/>
      <c r="C1857" s="397"/>
      <c r="D1857" s="397"/>
      <c r="E1857" s="397"/>
      <c r="F1857" s="397"/>
      <c r="G1857" s="397"/>
      <c r="H1857" s="397"/>
      <c r="I1857" s="450"/>
      <c r="J1857" s="397"/>
      <c r="K1857" s="397"/>
      <c r="L1857" s="451"/>
      <c r="M1857" s="449"/>
    </row>
    <row r="1858" spans="1:13" x14ac:dyDescent="0.25">
      <c r="A1858" s="397"/>
      <c r="B1858" s="397"/>
      <c r="C1858" s="397"/>
      <c r="D1858" s="397"/>
      <c r="E1858" s="397"/>
      <c r="F1858" s="397"/>
      <c r="G1858" s="397"/>
      <c r="H1858" s="397"/>
      <c r="I1858" s="450"/>
      <c r="J1858" s="397"/>
      <c r="K1858" s="397"/>
      <c r="L1858" s="451"/>
      <c r="M1858" s="449"/>
    </row>
    <row r="1859" spans="1:13" x14ac:dyDescent="0.25">
      <c r="A1859" s="397"/>
      <c r="B1859" s="397"/>
      <c r="C1859" s="397"/>
      <c r="D1859" s="397"/>
      <c r="E1859" s="397"/>
      <c r="F1859" s="397"/>
      <c r="G1859" s="397"/>
      <c r="H1859" s="397"/>
      <c r="I1859" s="450"/>
      <c r="J1859" s="397"/>
      <c r="K1859" s="397"/>
      <c r="L1859" s="451"/>
      <c r="M1859" s="449"/>
    </row>
    <row r="1860" spans="1:13" x14ac:dyDescent="0.25">
      <c r="A1860" s="397"/>
      <c r="B1860" s="397"/>
      <c r="C1860" s="397"/>
      <c r="D1860" s="397"/>
      <c r="E1860" s="397"/>
      <c r="F1860" s="397"/>
      <c r="G1860" s="397"/>
      <c r="H1860" s="397"/>
      <c r="I1860" s="450"/>
      <c r="J1860" s="397"/>
      <c r="K1860" s="397"/>
      <c r="L1860" s="451"/>
      <c r="M1860" s="449"/>
    </row>
    <row r="1861" spans="1:13" x14ac:dyDescent="0.25">
      <c r="A1861" s="397"/>
      <c r="B1861" s="397"/>
      <c r="C1861" s="397"/>
      <c r="D1861" s="397"/>
      <c r="E1861" s="397"/>
      <c r="F1861" s="397"/>
      <c r="G1861" s="397"/>
      <c r="H1861" s="397"/>
      <c r="I1861" s="450"/>
      <c r="J1861" s="397"/>
      <c r="K1861" s="397"/>
      <c r="L1861" s="451"/>
      <c r="M1861" s="449"/>
    </row>
    <row r="1862" spans="1:13" x14ac:dyDescent="0.25">
      <c r="A1862" s="397"/>
      <c r="B1862" s="397"/>
      <c r="C1862" s="397"/>
      <c r="D1862" s="397"/>
      <c r="E1862" s="397"/>
      <c r="F1862" s="397"/>
      <c r="G1862" s="397"/>
      <c r="H1862" s="397"/>
      <c r="I1862" s="450"/>
      <c r="J1862" s="397"/>
      <c r="K1862" s="397"/>
      <c r="L1862" s="451"/>
      <c r="M1862" s="449"/>
    </row>
    <row r="1863" spans="1:13" x14ac:dyDescent="0.25">
      <c r="A1863" s="397"/>
      <c r="B1863" s="397"/>
      <c r="C1863" s="397"/>
      <c r="D1863" s="397"/>
      <c r="E1863" s="397"/>
      <c r="F1863" s="397"/>
      <c r="G1863" s="397"/>
      <c r="H1863" s="397"/>
      <c r="I1863" s="450"/>
      <c r="J1863" s="397"/>
      <c r="K1863" s="397"/>
      <c r="L1863" s="451"/>
      <c r="M1863" s="449"/>
    </row>
    <row r="1864" spans="1:13" x14ac:dyDescent="0.25">
      <c r="A1864" s="397"/>
      <c r="B1864" s="397"/>
      <c r="C1864" s="397"/>
      <c r="D1864" s="397"/>
      <c r="E1864" s="397"/>
      <c r="F1864" s="397"/>
      <c r="G1864" s="397"/>
      <c r="H1864" s="397"/>
      <c r="I1864" s="450"/>
      <c r="J1864" s="397"/>
      <c r="K1864" s="397"/>
      <c r="L1864" s="451"/>
      <c r="M1864" s="449"/>
    </row>
    <row r="1865" spans="1:13" x14ac:dyDescent="0.25">
      <c r="A1865" s="397"/>
      <c r="B1865" s="397"/>
      <c r="C1865" s="397"/>
      <c r="D1865" s="397"/>
      <c r="E1865" s="397"/>
      <c r="F1865" s="397"/>
      <c r="G1865" s="397"/>
      <c r="H1865" s="397"/>
      <c r="I1865" s="450"/>
      <c r="J1865" s="397"/>
      <c r="K1865" s="397"/>
      <c r="L1865" s="451"/>
      <c r="M1865" s="449"/>
    </row>
    <row r="1866" spans="1:13" x14ac:dyDescent="0.25">
      <c r="A1866" s="397"/>
      <c r="B1866" s="397"/>
      <c r="C1866" s="397"/>
      <c r="D1866" s="397"/>
      <c r="E1866" s="397"/>
      <c r="F1866" s="397"/>
      <c r="G1866" s="397"/>
      <c r="H1866" s="397"/>
      <c r="I1866" s="450"/>
      <c r="J1866" s="397"/>
      <c r="K1866" s="397"/>
      <c r="L1866" s="451"/>
      <c r="M1866" s="449"/>
    </row>
    <row r="1867" spans="1:13" x14ac:dyDescent="0.25">
      <c r="A1867" s="397"/>
      <c r="B1867" s="397"/>
      <c r="C1867" s="397"/>
      <c r="D1867" s="397"/>
      <c r="E1867" s="397"/>
      <c r="F1867" s="397"/>
      <c r="G1867" s="397"/>
      <c r="H1867" s="397"/>
      <c r="I1867" s="450"/>
      <c r="J1867" s="397"/>
      <c r="K1867" s="397"/>
      <c r="L1867" s="451"/>
      <c r="M1867" s="449"/>
    </row>
    <row r="1868" spans="1:13" x14ac:dyDescent="0.25">
      <c r="A1868" s="397"/>
      <c r="B1868" s="397"/>
      <c r="C1868" s="397"/>
      <c r="D1868" s="397"/>
      <c r="E1868" s="397"/>
      <c r="F1868" s="397"/>
      <c r="G1868" s="397"/>
      <c r="H1868" s="397"/>
      <c r="I1868" s="450"/>
      <c r="J1868" s="397"/>
      <c r="K1868" s="397"/>
      <c r="L1868" s="451"/>
      <c r="M1868" s="449"/>
    </row>
    <row r="1869" spans="1:13" x14ac:dyDescent="0.25">
      <c r="A1869" s="397"/>
      <c r="B1869" s="397"/>
      <c r="C1869" s="397"/>
      <c r="D1869" s="397"/>
      <c r="E1869" s="397"/>
      <c r="F1869" s="397"/>
      <c r="G1869" s="397"/>
      <c r="H1869" s="397"/>
      <c r="I1869" s="450"/>
      <c r="J1869" s="397"/>
      <c r="K1869" s="397"/>
      <c r="L1869" s="451"/>
      <c r="M1869" s="449"/>
    </row>
    <row r="1870" spans="1:13" x14ac:dyDescent="0.25">
      <c r="A1870" s="397"/>
      <c r="B1870" s="397"/>
      <c r="C1870" s="397"/>
      <c r="D1870" s="397"/>
      <c r="E1870" s="397"/>
      <c r="F1870" s="397"/>
      <c r="G1870" s="397"/>
      <c r="H1870" s="397"/>
      <c r="I1870" s="450"/>
      <c r="J1870" s="397"/>
      <c r="K1870" s="397"/>
      <c r="L1870" s="451"/>
      <c r="M1870" s="449"/>
    </row>
    <row r="1871" spans="1:13" x14ac:dyDescent="0.25">
      <c r="A1871" s="397"/>
      <c r="B1871" s="397"/>
      <c r="C1871" s="397"/>
      <c r="D1871" s="397"/>
      <c r="E1871" s="397"/>
      <c r="F1871" s="397"/>
      <c r="G1871" s="397"/>
      <c r="H1871" s="397"/>
      <c r="I1871" s="450"/>
      <c r="J1871" s="397"/>
      <c r="K1871" s="397"/>
      <c r="L1871" s="451"/>
      <c r="M1871" s="449"/>
    </row>
    <row r="1872" spans="1:13" x14ac:dyDescent="0.25">
      <c r="A1872" s="397"/>
      <c r="B1872" s="397"/>
      <c r="C1872" s="397"/>
      <c r="D1872" s="397"/>
      <c r="E1872" s="397"/>
      <c r="F1872" s="397"/>
      <c r="G1872" s="397"/>
      <c r="H1872" s="397"/>
      <c r="I1872" s="450"/>
      <c r="J1872" s="397"/>
      <c r="K1872" s="397"/>
      <c r="L1872" s="451"/>
      <c r="M1872" s="449"/>
    </row>
    <row r="1873" spans="1:13" x14ac:dyDescent="0.25">
      <c r="A1873" s="397"/>
      <c r="B1873" s="397"/>
      <c r="C1873" s="397"/>
      <c r="D1873" s="397"/>
      <c r="E1873" s="397"/>
      <c r="F1873" s="397"/>
      <c r="G1873" s="397"/>
      <c r="H1873" s="397"/>
      <c r="I1873" s="450"/>
      <c r="J1873" s="397"/>
      <c r="K1873" s="397"/>
      <c r="L1873" s="451"/>
      <c r="M1873" s="449"/>
    </row>
    <row r="1874" spans="1:13" x14ac:dyDescent="0.25">
      <c r="A1874" s="397"/>
      <c r="B1874" s="397"/>
      <c r="C1874" s="397"/>
      <c r="D1874" s="397"/>
      <c r="E1874" s="397"/>
      <c r="F1874" s="397"/>
      <c r="G1874" s="397"/>
      <c r="H1874" s="397"/>
      <c r="I1874" s="450"/>
      <c r="J1874" s="397"/>
      <c r="K1874" s="397"/>
      <c r="L1874" s="451"/>
      <c r="M1874" s="449"/>
    </row>
    <row r="1875" spans="1:13" x14ac:dyDescent="0.25">
      <c r="A1875" s="397"/>
      <c r="B1875" s="397"/>
      <c r="C1875" s="397"/>
      <c r="D1875" s="397"/>
      <c r="E1875" s="397"/>
      <c r="F1875" s="397"/>
      <c r="G1875" s="397"/>
      <c r="H1875" s="397"/>
      <c r="I1875" s="450"/>
      <c r="J1875" s="397"/>
      <c r="K1875" s="397"/>
      <c r="L1875" s="451"/>
      <c r="M1875" s="449"/>
    </row>
    <row r="1876" spans="1:13" x14ac:dyDescent="0.25">
      <c r="A1876" s="397"/>
      <c r="B1876" s="397"/>
      <c r="C1876" s="397"/>
      <c r="D1876" s="397"/>
      <c r="E1876" s="397"/>
      <c r="F1876" s="397"/>
      <c r="G1876" s="397"/>
      <c r="H1876" s="397"/>
      <c r="I1876" s="450"/>
      <c r="J1876" s="397"/>
      <c r="K1876" s="397"/>
      <c r="L1876" s="451"/>
      <c r="M1876" s="449"/>
    </row>
    <row r="1877" spans="1:13" x14ac:dyDescent="0.25">
      <c r="A1877" s="397"/>
      <c r="B1877" s="397"/>
      <c r="C1877" s="397"/>
      <c r="D1877" s="397"/>
      <c r="E1877" s="397"/>
      <c r="F1877" s="397"/>
      <c r="G1877" s="397"/>
      <c r="H1877" s="397"/>
      <c r="I1877" s="450"/>
      <c r="J1877" s="397"/>
      <c r="K1877" s="397"/>
      <c r="L1877" s="451"/>
      <c r="M1877" s="449"/>
    </row>
    <row r="1878" spans="1:13" x14ac:dyDescent="0.25">
      <c r="A1878" s="397"/>
      <c r="B1878" s="397"/>
      <c r="C1878" s="397"/>
      <c r="D1878" s="397"/>
      <c r="E1878" s="397"/>
      <c r="F1878" s="397"/>
      <c r="G1878" s="397"/>
      <c r="H1878" s="397"/>
      <c r="I1878" s="450"/>
      <c r="J1878" s="397"/>
      <c r="K1878" s="397"/>
      <c r="L1878" s="451"/>
      <c r="M1878" s="449"/>
    </row>
    <row r="1879" spans="1:13" x14ac:dyDescent="0.25">
      <c r="A1879" s="397"/>
      <c r="B1879" s="397"/>
      <c r="C1879" s="397"/>
      <c r="D1879" s="397"/>
      <c r="E1879" s="397"/>
      <c r="F1879" s="397"/>
      <c r="G1879" s="397"/>
      <c r="H1879" s="397"/>
      <c r="I1879" s="450"/>
      <c r="J1879" s="397"/>
      <c r="K1879" s="397"/>
      <c r="L1879" s="451"/>
      <c r="M1879" s="449"/>
    </row>
    <row r="1880" spans="1:13" x14ac:dyDescent="0.25">
      <c r="A1880" s="397"/>
      <c r="B1880" s="397"/>
      <c r="C1880" s="397"/>
      <c r="D1880" s="397"/>
      <c r="E1880" s="397"/>
      <c r="F1880" s="397"/>
      <c r="G1880" s="397"/>
      <c r="H1880" s="397"/>
      <c r="I1880" s="450"/>
      <c r="J1880" s="397"/>
      <c r="K1880" s="397"/>
      <c r="L1880" s="451"/>
      <c r="M1880" s="449"/>
    </row>
    <row r="1881" spans="1:13" x14ac:dyDescent="0.25">
      <c r="A1881" s="397"/>
      <c r="B1881" s="397"/>
      <c r="C1881" s="397"/>
      <c r="D1881" s="397"/>
      <c r="E1881" s="397"/>
      <c r="F1881" s="397"/>
      <c r="G1881" s="397"/>
      <c r="H1881" s="397"/>
      <c r="I1881" s="450"/>
      <c r="J1881" s="397"/>
      <c r="K1881" s="397"/>
      <c r="L1881" s="451"/>
      <c r="M1881" s="449"/>
    </row>
    <row r="1882" spans="1:13" x14ac:dyDescent="0.25">
      <c r="A1882" s="397"/>
      <c r="B1882" s="397"/>
      <c r="C1882" s="397"/>
      <c r="D1882" s="397"/>
      <c r="E1882" s="397"/>
      <c r="F1882" s="397"/>
      <c r="G1882" s="397"/>
      <c r="H1882" s="397"/>
      <c r="I1882" s="450"/>
      <c r="J1882" s="397"/>
      <c r="K1882" s="397"/>
      <c r="L1882" s="451"/>
      <c r="M1882" s="449"/>
    </row>
    <row r="1883" spans="1:13" x14ac:dyDescent="0.25">
      <c r="A1883" s="397"/>
      <c r="B1883" s="397"/>
      <c r="C1883" s="397"/>
      <c r="D1883" s="397"/>
      <c r="E1883" s="397"/>
      <c r="F1883" s="397"/>
      <c r="G1883" s="397"/>
      <c r="H1883" s="397"/>
      <c r="I1883" s="450"/>
      <c r="J1883" s="397"/>
      <c r="K1883" s="397"/>
      <c r="L1883" s="451"/>
      <c r="M1883" s="449"/>
    </row>
    <row r="1884" spans="1:13" x14ac:dyDescent="0.25">
      <c r="A1884" s="397"/>
      <c r="B1884" s="397"/>
      <c r="C1884" s="397"/>
      <c r="D1884" s="397"/>
      <c r="E1884" s="397"/>
      <c r="F1884" s="397"/>
      <c r="G1884" s="397"/>
      <c r="H1884" s="397"/>
      <c r="I1884" s="450"/>
      <c r="J1884" s="397"/>
      <c r="K1884" s="397"/>
      <c r="L1884" s="451"/>
      <c r="M1884" s="449"/>
    </row>
    <row r="1885" spans="1:13" x14ac:dyDescent="0.25">
      <c r="A1885" s="397"/>
      <c r="B1885" s="397"/>
      <c r="C1885" s="397"/>
      <c r="D1885" s="397"/>
      <c r="E1885" s="397"/>
      <c r="F1885" s="397"/>
      <c r="G1885" s="397"/>
      <c r="H1885" s="397"/>
      <c r="I1885" s="450"/>
      <c r="J1885" s="397"/>
      <c r="K1885" s="397"/>
      <c r="L1885" s="451"/>
      <c r="M1885" s="449"/>
    </row>
    <row r="1886" spans="1:13" x14ac:dyDescent="0.25">
      <c r="A1886" s="397"/>
      <c r="B1886" s="397"/>
      <c r="C1886" s="397"/>
      <c r="D1886" s="397"/>
      <c r="E1886" s="397"/>
      <c r="F1886" s="397"/>
      <c r="G1886" s="397"/>
      <c r="H1886" s="397"/>
      <c r="I1886" s="450"/>
      <c r="J1886" s="397"/>
      <c r="K1886" s="397"/>
      <c r="L1886" s="451"/>
      <c r="M1886" s="449"/>
    </row>
    <row r="1887" spans="1:13" x14ac:dyDescent="0.25">
      <c r="A1887" s="397"/>
      <c r="B1887" s="397"/>
      <c r="C1887" s="397"/>
      <c r="D1887" s="397"/>
      <c r="E1887" s="397"/>
      <c r="F1887" s="397"/>
      <c r="G1887" s="397"/>
      <c r="H1887" s="397"/>
      <c r="I1887" s="450"/>
      <c r="J1887" s="397"/>
      <c r="K1887" s="397"/>
      <c r="L1887" s="451"/>
      <c r="M1887" s="449"/>
    </row>
    <row r="1888" spans="1:13" x14ac:dyDescent="0.25">
      <c r="A1888" s="397"/>
      <c r="B1888" s="397"/>
      <c r="C1888" s="397"/>
      <c r="D1888" s="397"/>
      <c r="E1888" s="397"/>
      <c r="F1888" s="397"/>
      <c r="G1888" s="397"/>
      <c r="H1888" s="397"/>
      <c r="I1888" s="450"/>
      <c r="J1888" s="397"/>
      <c r="K1888" s="397"/>
      <c r="L1888" s="451"/>
      <c r="M1888" s="449"/>
    </row>
    <row r="1889" spans="1:13" x14ac:dyDescent="0.25">
      <c r="A1889" s="397"/>
      <c r="B1889" s="397"/>
      <c r="C1889" s="397"/>
      <c r="D1889" s="397"/>
      <c r="E1889" s="397"/>
      <c r="F1889" s="397"/>
      <c r="G1889" s="397"/>
      <c r="H1889" s="397"/>
      <c r="I1889" s="450"/>
      <c r="J1889" s="397"/>
      <c r="K1889" s="397"/>
      <c r="L1889" s="451"/>
      <c r="M1889" s="449"/>
    </row>
    <row r="1890" spans="1:13" x14ac:dyDescent="0.25">
      <c r="A1890" s="397"/>
      <c r="B1890" s="397"/>
      <c r="C1890" s="397"/>
      <c r="D1890" s="397"/>
      <c r="E1890" s="397"/>
      <c r="F1890" s="397"/>
      <c r="G1890" s="397"/>
      <c r="H1890" s="397"/>
      <c r="I1890" s="450"/>
      <c r="J1890" s="397"/>
      <c r="K1890" s="397"/>
      <c r="L1890" s="451"/>
      <c r="M1890" s="449"/>
    </row>
    <row r="1891" spans="1:13" x14ac:dyDescent="0.25">
      <c r="A1891" s="397"/>
      <c r="B1891" s="397"/>
      <c r="C1891" s="397"/>
      <c r="D1891" s="397"/>
      <c r="E1891" s="397"/>
      <c r="F1891" s="397"/>
      <c r="G1891" s="397"/>
      <c r="H1891" s="397"/>
      <c r="I1891" s="450"/>
      <c r="J1891" s="397"/>
      <c r="K1891" s="397"/>
      <c r="L1891" s="451"/>
      <c r="M1891" s="449"/>
    </row>
    <row r="1892" spans="1:13" x14ac:dyDescent="0.25">
      <c r="A1892" s="397"/>
      <c r="B1892" s="397"/>
      <c r="C1892" s="397"/>
      <c r="D1892" s="397"/>
      <c r="E1892" s="397"/>
      <c r="F1892" s="397"/>
      <c r="G1892" s="397"/>
      <c r="H1892" s="397"/>
      <c r="I1892" s="450"/>
      <c r="J1892" s="397"/>
      <c r="K1892" s="397"/>
      <c r="L1892" s="451"/>
      <c r="M1892" s="449"/>
    </row>
    <row r="1893" spans="1:13" x14ac:dyDescent="0.25">
      <c r="A1893" s="397"/>
      <c r="B1893" s="397"/>
      <c r="C1893" s="397"/>
      <c r="D1893" s="397"/>
      <c r="E1893" s="397"/>
      <c r="F1893" s="397"/>
      <c r="G1893" s="397"/>
      <c r="H1893" s="397"/>
      <c r="I1893" s="450"/>
      <c r="J1893" s="397"/>
      <c r="K1893" s="397"/>
      <c r="L1893" s="451"/>
      <c r="M1893" s="449"/>
    </row>
  </sheetData>
  <sheetProtection algorithmName="SHA-512" hashValue="8Sp7A0l2F3FoUP/1uUX27PbpfE9QRNoztkXoRzWz3C5fE7oPllRUznqRdBin0ssdK4gKbcEnsUTqglcHO182fA==" saltValue="5a57tgP+YX6Ph6E7JYnbGA==" spinCount="100000" sheet="1" objects="1" scenarios="1" selectLockedCells="1" selectUnlockedCells="1"/>
  <mergeCells count="10">
    <mergeCell ref="H3:L3"/>
    <mergeCell ref="M3:M6"/>
    <mergeCell ref="E4:G4"/>
    <mergeCell ref="H4:J4"/>
    <mergeCell ref="K4:L4"/>
    <mergeCell ref="A5:A6"/>
    <mergeCell ref="B5:B6"/>
    <mergeCell ref="C5:C6"/>
    <mergeCell ref="D5:D6"/>
    <mergeCell ref="E3:G3"/>
  </mergeCells>
  <pageMargins left="0.51" right="0.42" top="0.55000000000000004" bottom="0.74803149606299213" header="0.31496062992125984" footer="0.31496062992125984"/>
  <pageSetup orientation="landscape"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83"/>
  <sheetViews>
    <sheetView zoomScaleNormal="100" workbookViewId="0"/>
  </sheetViews>
  <sheetFormatPr defaultColWidth="8.85546875" defaultRowHeight="15" x14ac:dyDescent="0.25"/>
  <cols>
    <col min="1" max="1" width="4.28515625" style="349" customWidth="1"/>
    <col min="2" max="2" width="14.7109375" style="349" customWidth="1"/>
    <col min="3" max="3" width="54.5703125" style="349" hidden="1" customWidth="1"/>
    <col min="4" max="4" width="31.5703125" style="350" customWidth="1"/>
    <col min="5" max="5" width="39.85546875" style="351" customWidth="1"/>
    <col min="6" max="6" width="16.85546875" style="349" bestFit="1" customWidth="1"/>
    <col min="7" max="7" width="17.5703125" style="349" customWidth="1"/>
    <col min="8" max="9" width="8.85546875" style="349" hidden="1" customWidth="1"/>
    <col min="10" max="10" width="25.7109375" style="349" hidden="1" customWidth="1"/>
    <col min="11" max="11" width="21.7109375" style="351" customWidth="1"/>
    <col min="12" max="13" width="13.140625" style="351" customWidth="1"/>
    <col min="14" max="14" width="15.140625" style="351" customWidth="1"/>
    <col min="15" max="15" width="8.85546875" style="349" customWidth="1"/>
    <col min="16" max="16384" width="8.85546875" style="349"/>
  </cols>
  <sheetData>
    <row r="1" spans="1:11" x14ac:dyDescent="0.25">
      <c r="A1" s="349" t="s">
        <v>891</v>
      </c>
      <c r="K1" s="572" t="s">
        <v>1347</v>
      </c>
    </row>
    <row r="2" spans="1:11" x14ac:dyDescent="0.25">
      <c r="A2" s="349" t="s">
        <v>927</v>
      </c>
    </row>
    <row r="4" spans="1:11" x14ac:dyDescent="0.25">
      <c r="A4" s="349" t="s">
        <v>1010</v>
      </c>
    </row>
    <row r="7" spans="1:11" s="355" customFormat="1" ht="48" customHeight="1" x14ac:dyDescent="0.25">
      <c r="A7" s="352" t="s">
        <v>1011</v>
      </c>
      <c r="B7" s="352" t="s">
        <v>1012</v>
      </c>
      <c r="C7" s="352" t="s">
        <v>1013</v>
      </c>
      <c r="D7" s="352" t="s">
        <v>1014</v>
      </c>
      <c r="E7" s="352" t="s">
        <v>1015</v>
      </c>
      <c r="F7" s="353" t="s">
        <v>917</v>
      </c>
      <c r="G7" s="354" t="s">
        <v>1016</v>
      </c>
      <c r="H7" s="352" t="s">
        <v>1017</v>
      </c>
      <c r="I7" s="352" t="s">
        <v>1018</v>
      </c>
      <c r="J7" s="353" t="s">
        <v>1019</v>
      </c>
      <c r="K7" s="352" t="s">
        <v>1020</v>
      </c>
    </row>
    <row r="8" spans="1:11" s="350" customFormat="1" ht="60" x14ac:dyDescent="0.25">
      <c r="A8" s="575">
        <v>1</v>
      </c>
      <c r="B8" s="356" t="s">
        <v>832</v>
      </c>
      <c r="C8" s="356">
        <v>269</v>
      </c>
      <c r="D8" s="356" t="s">
        <v>1021</v>
      </c>
      <c r="E8" s="356" t="s">
        <v>1022</v>
      </c>
      <c r="F8" s="576">
        <v>1453309.81</v>
      </c>
      <c r="G8" s="577">
        <v>44245</v>
      </c>
      <c r="H8" s="575">
        <v>240</v>
      </c>
      <c r="I8" s="575">
        <v>10</v>
      </c>
      <c r="J8" s="576">
        <f>((F8*0.9)/H8)*I8</f>
        <v>54499.117875000004</v>
      </c>
      <c r="K8" s="356" t="s">
        <v>1023</v>
      </c>
    </row>
    <row r="9" spans="1:11" s="581" customFormat="1" x14ac:dyDescent="0.25">
      <c r="A9" s="575"/>
      <c r="B9" s="357"/>
      <c r="C9" s="357"/>
      <c r="D9" s="357" t="s">
        <v>945</v>
      </c>
      <c r="E9" s="357"/>
      <c r="F9" s="578">
        <f>SUM(F8)</f>
        <v>1453309.81</v>
      </c>
      <c r="G9" s="579"/>
      <c r="H9" s="580"/>
      <c r="I9" s="580"/>
      <c r="J9" s="578">
        <f>SUM(J8)</f>
        <v>54499.117875000004</v>
      </c>
      <c r="K9" s="357"/>
    </row>
    <row r="10" spans="1:11" s="350" customFormat="1" x14ac:dyDescent="0.25">
      <c r="A10" s="575"/>
      <c r="B10" s="356"/>
      <c r="C10" s="356"/>
      <c r="D10" s="356"/>
      <c r="E10" s="356"/>
      <c r="F10" s="576"/>
      <c r="G10" s="577"/>
      <c r="H10" s="575"/>
      <c r="I10" s="575"/>
      <c r="J10" s="576"/>
      <c r="K10" s="356"/>
    </row>
    <row r="11" spans="1:11" s="355" customFormat="1" ht="48" customHeight="1" x14ac:dyDescent="0.25">
      <c r="A11" s="358">
        <v>2</v>
      </c>
      <c r="B11" s="356" t="s">
        <v>832</v>
      </c>
      <c r="C11" s="356">
        <v>264</v>
      </c>
      <c r="D11" s="356" t="s">
        <v>1024</v>
      </c>
      <c r="E11" s="356" t="s">
        <v>1025</v>
      </c>
      <c r="F11" s="576">
        <v>347288.06</v>
      </c>
      <c r="G11" s="577">
        <v>44469</v>
      </c>
      <c r="H11" s="575">
        <v>120</v>
      </c>
      <c r="I11" s="575">
        <v>3</v>
      </c>
      <c r="J11" s="576">
        <f>((F11*0.9)/H11)*I11</f>
        <v>7813.9813500000009</v>
      </c>
      <c r="K11" s="356" t="s">
        <v>1026</v>
      </c>
    </row>
    <row r="12" spans="1:11" s="350" customFormat="1" ht="45" x14ac:dyDescent="0.25">
      <c r="A12" s="575">
        <f>A11+1</f>
        <v>3</v>
      </c>
      <c r="B12" s="356" t="s">
        <v>832</v>
      </c>
      <c r="C12" s="356">
        <v>264</v>
      </c>
      <c r="D12" s="356" t="s">
        <v>1024</v>
      </c>
      <c r="E12" s="356" t="s">
        <v>1025</v>
      </c>
      <c r="F12" s="576">
        <v>166134.19</v>
      </c>
      <c r="G12" s="577">
        <v>40816</v>
      </c>
      <c r="H12" s="575">
        <v>120</v>
      </c>
      <c r="I12" s="575">
        <v>120</v>
      </c>
      <c r="J12" s="576">
        <f>((F12*0.9)/H12)*I12</f>
        <v>149520.77100000001</v>
      </c>
      <c r="K12" s="356" t="s">
        <v>1026</v>
      </c>
    </row>
    <row r="13" spans="1:11" s="350" customFormat="1" ht="45" x14ac:dyDescent="0.25">
      <c r="A13" s="575">
        <f t="shared" ref="A13:A15" si="0">A12+1</f>
        <v>4</v>
      </c>
      <c r="B13" s="356" t="s">
        <v>832</v>
      </c>
      <c r="C13" s="356">
        <v>264</v>
      </c>
      <c r="D13" s="356" t="s">
        <v>1024</v>
      </c>
      <c r="E13" s="356" t="s">
        <v>1027</v>
      </c>
      <c r="F13" s="576">
        <v>1841479</v>
      </c>
      <c r="G13" s="577">
        <v>43016</v>
      </c>
      <c r="H13" s="575">
        <v>120</v>
      </c>
      <c r="I13" s="575">
        <f>2+12+12+12+12</f>
        <v>50</v>
      </c>
      <c r="J13" s="576">
        <f>((F13*0.9)/H13)*I13</f>
        <v>690554.625</v>
      </c>
      <c r="K13" s="356" t="s">
        <v>1026</v>
      </c>
    </row>
    <row r="14" spans="1:11" s="350" customFormat="1" ht="45" x14ac:dyDescent="0.25">
      <c r="A14" s="575">
        <f t="shared" si="0"/>
        <v>5</v>
      </c>
      <c r="B14" s="356" t="s">
        <v>832</v>
      </c>
      <c r="C14" s="356">
        <v>273</v>
      </c>
      <c r="D14" s="356" t="s">
        <v>1028</v>
      </c>
      <c r="E14" s="356" t="s">
        <v>1029</v>
      </c>
      <c r="F14" s="576">
        <v>1417023.73</v>
      </c>
      <c r="G14" s="577">
        <v>43067</v>
      </c>
      <c r="H14" s="575">
        <v>120</v>
      </c>
      <c r="I14" s="575">
        <f>1+12+12+12+12</f>
        <v>49</v>
      </c>
      <c r="J14" s="576">
        <f>((F14*0.9)/H14)*I14</f>
        <v>520756.22077500005</v>
      </c>
      <c r="K14" s="356" t="s">
        <v>1026</v>
      </c>
    </row>
    <row r="15" spans="1:11" s="350" customFormat="1" ht="30" x14ac:dyDescent="0.25">
      <c r="A15" s="575">
        <f t="shared" si="0"/>
        <v>6</v>
      </c>
      <c r="B15" s="356" t="s">
        <v>832</v>
      </c>
      <c r="C15" s="356">
        <v>264</v>
      </c>
      <c r="D15" s="356" t="s">
        <v>1024</v>
      </c>
      <c r="E15" s="356" t="s">
        <v>1030</v>
      </c>
      <c r="F15" s="576">
        <v>372713.93</v>
      </c>
      <c r="G15" s="577">
        <v>44469</v>
      </c>
      <c r="H15" s="575">
        <v>120</v>
      </c>
      <c r="I15" s="575">
        <v>3</v>
      </c>
      <c r="J15" s="576">
        <f>((F15*0.9)/H15)*I15</f>
        <v>8386.0634250000003</v>
      </c>
      <c r="K15" s="356" t="s">
        <v>1026</v>
      </c>
    </row>
    <row r="16" spans="1:11" s="581" customFormat="1" x14ac:dyDescent="0.25">
      <c r="A16" s="575"/>
      <c r="B16" s="357"/>
      <c r="C16" s="357"/>
      <c r="D16" s="357" t="s">
        <v>945</v>
      </c>
      <c r="E16" s="357"/>
      <c r="F16" s="578">
        <f>SUM(F11:F15)</f>
        <v>4144638.91</v>
      </c>
      <c r="G16" s="579"/>
      <c r="H16" s="580"/>
      <c r="I16" s="580"/>
      <c r="J16" s="578">
        <f>SUM(J11:J15)</f>
        <v>1377031.6615500001</v>
      </c>
      <c r="K16" s="357"/>
    </row>
    <row r="17" spans="1:11" s="350" customFormat="1" x14ac:dyDescent="0.25">
      <c r="A17" s="575"/>
      <c r="B17" s="356"/>
      <c r="C17" s="356"/>
      <c r="D17" s="356"/>
      <c r="E17" s="356"/>
      <c r="F17" s="576"/>
      <c r="G17" s="577"/>
      <c r="H17" s="575"/>
      <c r="I17" s="575"/>
      <c r="J17" s="576"/>
      <c r="K17" s="356"/>
    </row>
    <row r="18" spans="1:11" s="350" customFormat="1" ht="45" x14ac:dyDescent="0.25">
      <c r="A18" s="575">
        <v>7</v>
      </c>
      <c r="B18" s="356" t="s">
        <v>832</v>
      </c>
      <c r="C18" s="356">
        <v>264</v>
      </c>
      <c r="D18" s="356" t="s">
        <v>1024</v>
      </c>
      <c r="E18" s="356" t="s">
        <v>1031</v>
      </c>
      <c r="F18" s="576">
        <v>15442.77</v>
      </c>
      <c r="G18" s="577">
        <v>44321</v>
      </c>
      <c r="H18" s="575">
        <v>60</v>
      </c>
      <c r="I18" s="575">
        <v>7</v>
      </c>
      <c r="J18" s="576">
        <f t="shared" ref="J18:J32" si="1">((F18*0.9)/H18)*I18</f>
        <v>1621.4908499999999</v>
      </c>
      <c r="K18" s="356" t="s">
        <v>1032</v>
      </c>
    </row>
    <row r="19" spans="1:11" s="350" customFormat="1" ht="30" x14ac:dyDescent="0.25">
      <c r="A19" s="575">
        <f>A18+1</f>
        <v>8</v>
      </c>
      <c r="B19" s="356" t="s">
        <v>832</v>
      </c>
      <c r="C19" s="356">
        <v>264</v>
      </c>
      <c r="D19" s="356" t="s">
        <v>1024</v>
      </c>
      <c r="E19" s="356" t="s">
        <v>1033</v>
      </c>
      <c r="F19" s="576">
        <v>711475.4</v>
      </c>
      <c r="G19" s="577">
        <v>44545</v>
      </c>
      <c r="H19" s="575">
        <v>60</v>
      </c>
      <c r="I19" s="575">
        <v>0</v>
      </c>
      <c r="J19" s="576">
        <f t="shared" si="1"/>
        <v>0</v>
      </c>
      <c r="K19" s="356" t="s">
        <v>1032</v>
      </c>
    </row>
    <row r="20" spans="1:11" s="350" customFormat="1" ht="45" x14ac:dyDescent="0.25">
      <c r="A20" s="575">
        <f t="shared" ref="A20:A32" si="2">A19+1</f>
        <v>9</v>
      </c>
      <c r="B20" s="356" t="s">
        <v>832</v>
      </c>
      <c r="C20" s="356">
        <v>264</v>
      </c>
      <c r="D20" s="356" t="s">
        <v>1024</v>
      </c>
      <c r="E20" s="356" t="s">
        <v>1031</v>
      </c>
      <c r="F20" s="576">
        <v>93654.01</v>
      </c>
      <c r="G20" s="577">
        <v>44321</v>
      </c>
      <c r="H20" s="575">
        <v>60</v>
      </c>
      <c r="I20" s="575">
        <v>7</v>
      </c>
      <c r="J20" s="576">
        <f t="shared" si="1"/>
        <v>9833.6710500000008</v>
      </c>
      <c r="K20" s="356" t="s">
        <v>1032</v>
      </c>
    </row>
    <row r="21" spans="1:11" s="350" customFormat="1" ht="45" x14ac:dyDescent="0.25">
      <c r="A21" s="575">
        <f t="shared" si="2"/>
        <v>10</v>
      </c>
      <c r="B21" s="356" t="s">
        <v>832</v>
      </c>
      <c r="C21" s="356">
        <v>264</v>
      </c>
      <c r="D21" s="356" t="s">
        <v>1024</v>
      </c>
      <c r="E21" s="356" t="s">
        <v>1034</v>
      </c>
      <c r="F21" s="576">
        <v>2116700</v>
      </c>
      <c r="G21" s="577">
        <v>44418</v>
      </c>
      <c r="H21" s="575">
        <v>60</v>
      </c>
      <c r="I21" s="575">
        <v>4</v>
      </c>
      <c r="J21" s="576">
        <f t="shared" si="1"/>
        <v>127002</v>
      </c>
      <c r="K21" s="356" t="s">
        <v>1032</v>
      </c>
    </row>
    <row r="22" spans="1:11" s="350" customFormat="1" ht="30" x14ac:dyDescent="0.25">
      <c r="A22" s="575">
        <f t="shared" si="2"/>
        <v>11</v>
      </c>
      <c r="B22" s="356" t="s">
        <v>832</v>
      </c>
      <c r="C22" s="356">
        <v>264</v>
      </c>
      <c r="D22" s="356" t="s">
        <v>1024</v>
      </c>
      <c r="E22" s="356" t="s">
        <v>1035</v>
      </c>
      <c r="F22" s="576">
        <v>614913.86</v>
      </c>
      <c r="G22" s="577">
        <v>43780</v>
      </c>
      <c r="H22" s="575">
        <v>60</v>
      </c>
      <c r="I22" s="575">
        <f>1+12+12</f>
        <v>25</v>
      </c>
      <c r="J22" s="576">
        <f t="shared" si="1"/>
        <v>230592.69750000004</v>
      </c>
      <c r="K22" s="356" t="s">
        <v>1032</v>
      </c>
    </row>
    <row r="23" spans="1:11" s="350" customFormat="1" ht="45" x14ac:dyDescent="0.25">
      <c r="A23" s="575">
        <f t="shared" si="2"/>
        <v>12</v>
      </c>
      <c r="B23" s="356" t="s">
        <v>832</v>
      </c>
      <c r="C23" s="356">
        <v>273</v>
      </c>
      <c r="D23" s="356" t="s">
        <v>1028</v>
      </c>
      <c r="E23" s="356" t="s">
        <v>1036</v>
      </c>
      <c r="F23" s="576">
        <v>1228689.3999999999</v>
      </c>
      <c r="G23" s="577">
        <v>42641</v>
      </c>
      <c r="H23" s="575">
        <v>60</v>
      </c>
      <c r="I23" s="575">
        <v>60</v>
      </c>
      <c r="J23" s="576">
        <f t="shared" si="1"/>
        <v>1105820.46</v>
      </c>
      <c r="K23" s="356" t="s">
        <v>1032</v>
      </c>
    </row>
    <row r="24" spans="1:11" s="581" customFormat="1" ht="60" x14ac:dyDescent="0.25">
      <c r="A24" s="575">
        <f t="shared" si="2"/>
        <v>13</v>
      </c>
      <c r="B24" s="356" t="s">
        <v>832</v>
      </c>
      <c r="C24" s="356">
        <v>273</v>
      </c>
      <c r="D24" s="356" t="s">
        <v>1028</v>
      </c>
      <c r="E24" s="356" t="s">
        <v>1037</v>
      </c>
      <c r="F24" s="576">
        <v>3809282</v>
      </c>
      <c r="G24" s="577">
        <v>43134</v>
      </c>
      <c r="H24" s="575">
        <v>60</v>
      </c>
      <c r="I24" s="575">
        <f>10+12+12+12</f>
        <v>46</v>
      </c>
      <c r="J24" s="576">
        <f t="shared" si="1"/>
        <v>2628404.58</v>
      </c>
      <c r="K24" s="356" t="s">
        <v>1032</v>
      </c>
    </row>
    <row r="25" spans="1:11" s="350" customFormat="1" ht="45" x14ac:dyDescent="0.25">
      <c r="A25" s="575">
        <f t="shared" si="2"/>
        <v>14</v>
      </c>
      <c r="B25" s="356" t="s">
        <v>832</v>
      </c>
      <c r="C25" s="356">
        <v>273</v>
      </c>
      <c r="D25" s="356" t="s">
        <v>1028</v>
      </c>
      <c r="E25" s="356" t="s">
        <v>1038</v>
      </c>
      <c r="F25" s="576">
        <v>1000000</v>
      </c>
      <c r="G25" s="577">
        <v>42431</v>
      </c>
      <c r="H25" s="575">
        <v>60</v>
      </c>
      <c r="I25" s="575">
        <v>60</v>
      </c>
      <c r="J25" s="576">
        <f t="shared" si="1"/>
        <v>900000</v>
      </c>
      <c r="K25" s="356" t="s">
        <v>1032</v>
      </c>
    </row>
    <row r="26" spans="1:11" s="350" customFormat="1" ht="45" x14ac:dyDescent="0.25">
      <c r="A26" s="575">
        <f t="shared" si="2"/>
        <v>15</v>
      </c>
      <c r="B26" s="356" t="s">
        <v>832</v>
      </c>
      <c r="C26" s="356">
        <v>273</v>
      </c>
      <c r="D26" s="356" t="s">
        <v>1028</v>
      </c>
      <c r="E26" s="356" t="s">
        <v>1039</v>
      </c>
      <c r="F26" s="576">
        <v>593179.44999999995</v>
      </c>
      <c r="G26" s="577">
        <v>42431</v>
      </c>
      <c r="H26" s="575">
        <v>60</v>
      </c>
      <c r="I26" s="575">
        <v>60</v>
      </c>
      <c r="J26" s="576">
        <f t="shared" si="1"/>
        <v>533861.505</v>
      </c>
      <c r="K26" s="356" t="s">
        <v>1032</v>
      </c>
    </row>
    <row r="27" spans="1:11" s="350" customFormat="1" ht="30" x14ac:dyDescent="0.25">
      <c r="A27" s="575">
        <f t="shared" si="2"/>
        <v>16</v>
      </c>
      <c r="B27" s="356" t="s">
        <v>832</v>
      </c>
      <c r="C27" s="356">
        <v>273</v>
      </c>
      <c r="D27" s="356" t="s">
        <v>1028</v>
      </c>
      <c r="E27" s="356" t="s">
        <v>1040</v>
      </c>
      <c r="F27" s="576">
        <v>328407</v>
      </c>
      <c r="G27" s="577">
        <v>42660</v>
      </c>
      <c r="H27" s="575">
        <v>60</v>
      </c>
      <c r="I27" s="575">
        <v>60</v>
      </c>
      <c r="J27" s="576">
        <f t="shared" si="1"/>
        <v>295566.3</v>
      </c>
      <c r="K27" s="356" t="s">
        <v>1032</v>
      </c>
    </row>
    <row r="28" spans="1:11" s="350" customFormat="1" ht="45" x14ac:dyDescent="0.25">
      <c r="A28" s="575">
        <f t="shared" si="2"/>
        <v>17</v>
      </c>
      <c r="B28" s="356" t="s">
        <v>832</v>
      </c>
      <c r="C28" s="356">
        <v>273</v>
      </c>
      <c r="D28" s="356" t="s">
        <v>1028</v>
      </c>
      <c r="E28" s="356" t="s">
        <v>1041</v>
      </c>
      <c r="F28" s="576">
        <v>3593904.8</v>
      </c>
      <c r="G28" s="577">
        <v>43223</v>
      </c>
      <c r="H28" s="575">
        <v>60</v>
      </c>
      <c r="I28" s="575">
        <f>7+12+12+12</f>
        <v>43</v>
      </c>
      <c r="J28" s="576">
        <f t="shared" si="1"/>
        <v>2318068.5959999999</v>
      </c>
      <c r="K28" s="356" t="s">
        <v>1032</v>
      </c>
    </row>
    <row r="29" spans="1:11" s="581" customFormat="1" ht="45" x14ac:dyDescent="0.25">
      <c r="A29" s="575">
        <f t="shared" si="2"/>
        <v>18</v>
      </c>
      <c r="B29" s="356" t="s">
        <v>832</v>
      </c>
      <c r="C29" s="356">
        <v>273</v>
      </c>
      <c r="D29" s="356" t="s">
        <v>1028</v>
      </c>
      <c r="E29" s="356" t="s">
        <v>1042</v>
      </c>
      <c r="F29" s="576">
        <v>3695633.86</v>
      </c>
      <c r="G29" s="577">
        <v>42923</v>
      </c>
      <c r="H29" s="575">
        <v>60</v>
      </c>
      <c r="I29" s="575">
        <f>5+12+12+12+12</f>
        <v>53</v>
      </c>
      <c r="J29" s="576">
        <f t="shared" si="1"/>
        <v>2938028.9186999998</v>
      </c>
      <c r="K29" s="356" t="s">
        <v>1032</v>
      </c>
    </row>
    <row r="30" spans="1:11" s="350" customFormat="1" ht="30" x14ac:dyDescent="0.25">
      <c r="A30" s="575">
        <f t="shared" si="2"/>
        <v>19</v>
      </c>
      <c r="B30" s="356" t="s">
        <v>832</v>
      </c>
      <c r="C30" s="356">
        <v>273</v>
      </c>
      <c r="D30" s="356" t="s">
        <v>1028</v>
      </c>
      <c r="E30" s="356" t="s">
        <v>1043</v>
      </c>
      <c r="F30" s="576">
        <v>1445157.2</v>
      </c>
      <c r="G30" s="577">
        <v>43049</v>
      </c>
      <c r="H30" s="575">
        <v>60</v>
      </c>
      <c r="I30" s="575">
        <f>1+12+12+12+12</f>
        <v>49</v>
      </c>
      <c r="J30" s="576">
        <f t="shared" si="1"/>
        <v>1062190.5419999999</v>
      </c>
      <c r="K30" s="356" t="s">
        <v>1032</v>
      </c>
    </row>
    <row r="31" spans="1:11" s="350" customFormat="1" ht="45" x14ac:dyDescent="0.25">
      <c r="A31" s="575">
        <f t="shared" si="2"/>
        <v>20</v>
      </c>
      <c r="B31" s="356" t="s">
        <v>832</v>
      </c>
      <c r="C31" s="356">
        <v>273</v>
      </c>
      <c r="D31" s="356" t="s">
        <v>1028</v>
      </c>
      <c r="E31" s="356" t="s">
        <v>1044</v>
      </c>
      <c r="F31" s="576">
        <v>117900</v>
      </c>
      <c r="G31" s="577">
        <v>42653</v>
      </c>
      <c r="H31" s="575">
        <v>60</v>
      </c>
      <c r="I31" s="575">
        <v>60</v>
      </c>
      <c r="J31" s="576">
        <f t="shared" si="1"/>
        <v>106110</v>
      </c>
      <c r="K31" s="356" t="s">
        <v>1032</v>
      </c>
    </row>
    <row r="32" spans="1:11" s="350" customFormat="1" ht="45" x14ac:dyDescent="0.25">
      <c r="A32" s="575">
        <f t="shared" si="2"/>
        <v>21</v>
      </c>
      <c r="B32" s="356" t="s">
        <v>832</v>
      </c>
      <c r="C32" s="356">
        <v>264</v>
      </c>
      <c r="D32" s="356" t="s">
        <v>1024</v>
      </c>
      <c r="E32" s="356" t="s">
        <v>1045</v>
      </c>
      <c r="F32" s="576">
        <v>29927.279999999999</v>
      </c>
      <c r="G32" s="577">
        <v>44431</v>
      </c>
      <c r="H32" s="575">
        <v>60</v>
      </c>
      <c r="I32" s="575">
        <v>4</v>
      </c>
      <c r="J32" s="576">
        <f t="shared" si="1"/>
        <v>1795.6368</v>
      </c>
      <c r="K32" s="356" t="s">
        <v>1032</v>
      </c>
    </row>
    <row r="33" spans="1:11" s="581" customFormat="1" x14ac:dyDescent="0.25">
      <c r="A33" s="575"/>
      <c r="B33" s="357"/>
      <c r="C33" s="357"/>
      <c r="D33" s="357" t="s">
        <v>945</v>
      </c>
      <c r="E33" s="357"/>
      <c r="F33" s="578">
        <f>SUM(F18:F32)</f>
        <v>19394267.029999997</v>
      </c>
      <c r="G33" s="579"/>
      <c r="H33" s="580"/>
      <c r="I33" s="580"/>
      <c r="J33" s="578">
        <f>SUM(J18:J32)</f>
        <v>12258896.397899998</v>
      </c>
      <c r="K33" s="357"/>
    </row>
    <row r="34" spans="1:11" s="350" customFormat="1" x14ac:dyDescent="0.25">
      <c r="A34" s="575"/>
      <c r="B34" s="356"/>
      <c r="C34" s="356"/>
      <c r="D34" s="356"/>
      <c r="E34" s="356"/>
      <c r="F34" s="576"/>
      <c r="G34" s="577"/>
      <c r="H34" s="575"/>
      <c r="I34" s="575"/>
      <c r="J34" s="576"/>
      <c r="K34" s="356"/>
    </row>
    <row r="35" spans="1:11" s="350" customFormat="1" ht="45" x14ac:dyDescent="0.25">
      <c r="A35" s="575">
        <v>22</v>
      </c>
      <c r="B35" s="356" t="s">
        <v>832</v>
      </c>
      <c r="C35" s="356">
        <v>264</v>
      </c>
      <c r="D35" s="356" t="s">
        <v>1024</v>
      </c>
      <c r="E35" s="356" t="s">
        <v>1046</v>
      </c>
      <c r="F35" s="576">
        <v>354011.86</v>
      </c>
      <c r="G35" s="577">
        <v>42737</v>
      </c>
      <c r="H35" s="575">
        <v>60</v>
      </c>
      <c r="I35" s="575">
        <f>11+12+12+12+12</f>
        <v>59</v>
      </c>
      <c r="J35" s="576">
        <f>((F35*0.9)/H35)*I35</f>
        <v>313300.49609999999</v>
      </c>
      <c r="K35" s="356" t="s">
        <v>1047</v>
      </c>
    </row>
    <row r="36" spans="1:11" s="581" customFormat="1" x14ac:dyDescent="0.25">
      <c r="A36" s="575"/>
      <c r="B36" s="357"/>
      <c r="C36" s="357"/>
      <c r="D36" s="357" t="s">
        <v>945</v>
      </c>
      <c r="E36" s="357"/>
      <c r="F36" s="578">
        <f>SUM(F35)</f>
        <v>354011.86</v>
      </c>
      <c r="G36" s="579"/>
      <c r="H36" s="580"/>
      <c r="I36" s="580"/>
      <c r="J36" s="578">
        <f>SUM(J35)</f>
        <v>313300.49609999999</v>
      </c>
      <c r="K36" s="357"/>
    </row>
    <row r="37" spans="1:11" s="350" customFormat="1" x14ac:dyDescent="0.25">
      <c r="A37" s="575"/>
      <c r="B37" s="356"/>
      <c r="C37" s="356"/>
      <c r="D37" s="356"/>
      <c r="E37" s="356"/>
      <c r="F37" s="576"/>
      <c r="G37" s="577"/>
      <c r="H37" s="575"/>
      <c r="I37" s="575"/>
      <c r="J37" s="576"/>
      <c r="K37" s="356"/>
    </row>
    <row r="38" spans="1:11" s="350" customFormat="1" ht="30" x14ac:dyDescent="0.25">
      <c r="A38" s="575">
        <v>23</v>
      </c>
      <c r="B38" s="356" t="s">
        <v>832</v>
      </c>
      <c r="C38" s="356">
        <v>267</v>
      </c>
      <c r="D38" s="356" t="s">
        <v>1048</v>
      </c>
      <c r="E38" s="356" t="s">
        <v>1049</v>
      </c>
      <c r="F38" s="576">
        <v>39085.07</v>
      </c>
      <c r="G38" s="577">
        <v>42535</v>
      </c>
      <c r="H38" s="575">
        <v>240</v>
      </c>
      <c r="I38" s="575">
        <v>60</v>
      </c>
      <c r="J38" s="576">
        <f>((F38*0.9)/H38)*I38</f>
        <v>8794.1407500000005</v>
      </c>
      <c r="K38" s="356" t="s">
        <v>195</v>
      </c>
    </row>
    <row r="39" spans="1:11" s="350" customFormat="1" ht="30" x14ac:dyDescent="0.25">
      <c r="A39" s="575">
        <v>24</v>
      </c>
      <c r="B39" s="356" t="s">
        <v>832</v>
      </c>
      <c r="C39" s="356">
        <v>267</v>
      </c>
      <c r="D39" s="356" t="s">
        <v>1048</v>
      </c>
      <c r="E39" s="356" t="s">
        <v>1050</v>
      </c>
      <c r="F39" s="576">
        <v>789737.05</v>
      </c>
      <c r="G39" s="577">
        <v>44032</v>
      </c>
      <c r="H39" s="575">
        <v>240</v>
      </c>
      <c r="I39" s="575">
        <f>5+12</f>
        <v>17</v>
      </c>
      <c r="J39" s="576">
        <f>((F39*0.9)/H39)*I39</f>
        <v>50345.736937500005</v>
      </c>
      <c r="K39" s="356" t="s">
        <v>195</v>
      </c>
    </row>
    <row r="40" spans="1:11" s="581" customFormat="1" x14ac:dyDescent="0.25">
      <c r="A40" s="575"/>
      <c r="B40" s="357"/>
      <c r="C40" s="357"/>
      <c r="D40" s="357" t="s">
        <v>945</v>
      </c>
      <c r="E40" s="357"/>
      <c r="F40" s="578">
        <f>SUM(F38:F39)</f>
        <v>828822.12</v>
      </c>
      <c r="G40" s="579"/>
      <c r="H40" s="580"/>
      <c r="I40" s="580"/>
      <c r="J40" s="578">
        <f>SUM(J38:J39)</f>
        <v>59139.877687500004</v>
      </c>
      <c r="K40" s="357"/>
    </row>
    <row r="41" spans="1:11" s="350" customFormat="1" x14ac:dyDescent="0.25">
      <c r="A41" s="575"/>
      <c r="B41" s="356"/>
      <c r="C41" s="356"/>
      <c r="D41" s="356"/>
      <c r="E41" s="356"/>
      <c r="F41" s="576"/>
      <c r="G41" s="577"/>
      <c r="H41" s="575"/>
      <c r="I41" s="575"/>
      <c r="J41" s="576"/>
      <c r="K41" s="356"/>
    </row>
    <row r="42" spans="1:11" s="581" customFormat="1" ht="45" x14ac:dyDescent="0.25">
      <c r="A42" s="575">
        <v>25</v>
      </c>
      <c r="B42" s="356" t="s">
        <v>832</v>
      </c>
      <c r="C42" s="356">
        <v>266</v>
      </c>
      <c r="D42" s="356" t="s">
        <v>1051</v>
      </c>
      <c r="E42" s="356" t="s">
        <v>1053</v>
      </c>
      <c r="F42" s="576">
        <v>19975730.120000001</v>
      </c>
      <c r="G42" s="577">
        <v>44477</v>
      </c>
      <c r="H42" s="575">
        <v>240</v>
      </c>
      <c r="I42" s="575">
        <v>2</v>
      </c>
      <c r="J42" s="576">
        <f>((F42*0.9)/H42)*I42</f>
        <v>149817.97590000002</v>
      </c>
      <c r="K42" s="356" t="s">
        <v>1052</v>
      </c>
    </row>
    <row r="43" spans="1:11" s="581" customFormat="1" x14ac:dyDescent="0.25">
      <c r="A43" s="575"/>
      <c r="B43" s="357"/>
      <c r="C43" s="357"/>
      <c r="D43" s="357" t="s">
        <v>945</v>
      </c>
      <c r="E43" s="357"/>
      <c r="F43" s="578">
        <f>SUM(F42:F42)</f>
        <v>19975730.120000001</v>
      </c>
      <c r="G43" s="579"/>
      <c r="H43" s="580"/>
      <c r="I43" s="580"/>
      <c r="J43" s="578">
        <f>SUM(J42:J42)</f>
        <v>149817.97590000002</v>
      </c>
      <c r="K43" s="357"/>
    </row>
    <row r="44" spans="1:11" s="350" customFormat="1" x14ac:dyDescent="0.25">
      <c r="A44" s="575"/>
      <c r="B44" s="356"/>
      <c r="C44" s="356"/>
      <c r="D44" s="356"/>
      <c r="E44" s="356"/>
      <c r="F44" s="576"/>
      <c r="G44" s="577"/>
      <c r="H44" s="575"/>
      <c r="I44" s="575"/>
      <c r="J44" s="576"/>
      <c r="K44" s="356"/>
    </row>
    <row r="45" spans="1:11" s="350" customFormat="1" ht="45" x14ac:dyDescent="0.25">
      <c r="A45" s="575">
        <v>26</v>
      </c>
      <c r="B45" s="356" t="s">
        <v>832</v>
      </c>
      <c r="C45" s="356">
        <v>272</v>
      </c>
      <c r="D45" s="356" t="s">
        <v>1054</v>
      </c>
      <c r="E45" s="356" t="s">
        <v>1055</v>
      </c>
      <c r="F45" s="576">
        <v>1999371.74</v>
      </c>
      <c r="G45" s="577">
        <v>43726</v>
      </c>
      <c r="H45" s="575">
        <v>240</v>
      </c>
      <c r="I45" s="575">
        <f>3+12+12</f>
        <v>27</v>
      </c>
      <c r="J45" s="576">
        <f>((F45*0.9)/H45)*I45</f>
        <v>202436.38867500002</v>
      </c>
      <c r="K45" s="356" t="s">
        <v>1056</v>
      </c>
    </row>
    <row r="46" spans="1:11" s="581" customFormat="1" x14ac:dyDescent="0.25">
      <c r="A46" s="575"/>
      <c r="B46" s="357"/>
      <c r="C46" s="357"/>
      <c r="D46" s="357" t="s">
        <v>945</v>
      </c>
      <c r="E46" s="357"/>
      <c r="F46" s="578">
        <f>SUM(F45)</f>
        <v>1999371.74</v>
      </c>
      <c r="G46" s="579"/>
      <c r="H46" s="580"/>
      <c r="I46" s="580"/>
      <c r="J46" s="578">
        <f>SUM(J45)</f>
        <v>202436.38867500002</v>
      </c>
      <c r="K46" s="357"/>
    </row>
    <row r="47" spans="1:11" s="350" customFormat="1" x14ac:dyDescent="0.25">
      <c r="A47" s="575"/>
      <c r="B47" s="356"/>
      <c r="C47" s="356"/>
      <c r="D47" s="356"/>
      <c r="E47" s="356"/>
      <c r="F47" s="576"/>
      <c r="G47" s="577"/>
      <c r="H47" s="575"/>
      <c r="I47" s="575"/>
      <c r="J47" s="576"/>
      <c r="K47" s="356"/>
    </row>
    <row r="48" spans="1:11" s="581" customFormat="1" x14ac:dyDescent="0.25">
      <c r="A48" s="575"/>
      <c r="B48" s="357"/>
      <c r="C48" s="357"/>
      <c r="D48" s="357" t="s">
        <v>1057</v>
      </c>
      <c r="E48" s="357"/>
      <c r="F48" s="578">
        <f>F9+F16+F33+F36+F40+F43+F46</f>
        <v>48150151.590000004</v>
      </c>
      <c r="G48" s="579"/>
      <c r="H48" s="580"/>
      <c r="I48" s="580"/>
      <c r="J48" s="578">
        <f>J9+J16+J33+J36+J40+J43+J46</f>
        <v>14415121.9156875</v>
      </c>
      <c r="K48" s="357"/>
    </row>
    <row r="49" spans="1:11" s="350" customFormat="1" x14ac:dyDescent="0.25">
      <c r="A49" s="575"/>
      <c r="B49" s="356"/>
      <c r="C49" s="356"/>
      <c r="D49" s="356"/>
      <c r="E49" s="356"/>
      <c r="F49" s="576"/>
      <c r="G49" s="577"/>
      <c r="H49" s="575"/>
      <c r="I49" s="575"/>
      <c r="J49" s="576"/>
      <c r="K49" s="356"/>
    </row>
    <row r="50" spans="1:11" s="350" customFormat="1" x14ac:dyDescent="0.25">
      <c r="A50" s="575"/>
      <c r="B50" s="356"/>
      <c r="C50" s="356"/>
      <c r="D50" s="356"/>
      <c r="E50" s="356"/>
      <c r="F50" s="576"/>
      <c r="G50" s="577"/>
      <c r="H50" s="575"/>
      <c r="I50" s="575"/>
      <c r="J50" s="576"/>
      <c r="K50" s="356"/>
    </row>
    <row r="51" spans="1:11" s="581" customFormat="1" ht="45" x14ac:dyDescent="0.25">
      <c r="A51" s="575">
        <v>27</v>
      </c>
      <c r="B51" s="356" t="s">
        <v>8</v>
      </c>
      <c r="C51" s="356">
        <v>269</v>
      </c>
      <c r="D51" s="356" t="s">
        <v>1021</v>
      </c>
      <c r="E51" s="356" t="s">
        <v>1058</v>
      </c>
      <c r="F51" s="576">
        <v>175323.86</v>
      </c>
      <c r="G51" s="577">
        <v>43754</v>
      </c>
      <c r="H51" s="575">
        <v>240</v>
      </c>
      <c r="I51" s="575">
        <f>2+12+12</f>
        <v>26</v>
      </c>
      <c r="J51" s="576">
        <f>((F51*0.9)/H51)*I51</f>
        <v>17094.076349999999</v>
      </c>
      <c r="K51" s="356" t="s">
        <v>1023</v>
      </c>
    </row>
    <row r="52" spans="1:11" s="581" customFormat="1" x14ac:dyDescent="0.25">
      <c r="A52" s="575"/>
      <c r="B52" s="357"/>
      <c r="C52" s="357"/>
      <c r="D52" s="357" t="s">
        <v>945</v>
      </c>
      <c r="E52" s="357"/>
      <c r="F52" s="578">
        <f>SUM(F51)</f>
        <v>175323.86</v>
      </c>
      <c r="G52" s="579"/>
      <c r="H52" s="580"/>
      <c r="I52" s="580"/>
      <c r="J52" s="578">
        <f>SUM(J51)</f>
        <v>17094.076349999999</v>
      </c>
      <c r="K52" s="357"/>
    </row>
    <row r="53" spans="1:11" s="581" customFormat="1" x14ac:dyDescent="0.25">
      <c r="A53" s="575"/>
      <c r="B53" s="356"/>
      <c r="C53" s="356"/>
      <c r="D53" s="356"/>
      <c r="E53" s="356"/>
      <c r="F53" s="576"/>
      <c r="G53" s="577"/>
      <c r="H53" s="575"/>
      <c r="I53" s="575"/>
      <c r="J53" s="576"/>
      <c r="K53" s="356"/>
    </row>
    <row r="54" spans="1:11" s="350" customFormat="1" ht="30" x14ac:dyDescent="0.25">
      <c r="A54" s="575">
        <v>28</v>
      </c>
      <c r="B54" s="356" t="s">
        <v>8</v>
      </c>
      <c r="C54" s="356">
        <v>264</v>
      </c>
      <c r="D54" s="356" t="s">
        <v>1024</v>
      </c>
      <c r="E54" s="356" t="s">
        <v>1059</v>
      </c>
      <c r="F54" s="576">
        <v>177540</v>
      </c>
      <c r="G54" s="577">
        <v>42412</v>
      </c>
      <c r="H54" s="575">
        <v>120</v>
      </c>
      <c r="I54" s="575">
        <v>60</v>
      </c>
      <c r="J54" s="576">
        <f t="shared" ref="J54:J59" si="3">((F54*0.9)/H54)*I54</f>
        <v>79893</v>
      </c>
      <c r="K54" s="356" t="s">
        <v>1026</v>
      </c>
    </row>
    <row r="55" spans="1:11" s="350" customFormat="1" ht="45" x14ac:dyDescent="0.25">
      <c r="A55" s="575">
        <f>A54+1</f>
        <v>29</v>
      </c>
      <c r="B55" s="356" t="s">
        <v>8</v>
      </c>
      <c r="C55" s="356">
        <v>264</v>
      </c>
      <c r="D55" s="356" t="s">
        <v>1024</v>
      </c>
      <c r="E55" s="356" t="s">
        <v>1060</v>
      </c>
      <c r="F55" s="576">
        <v>403748.93</v>
      </c>
      <c r="G55" s="577">
        <v>43689</v>
      </c>
      <c r="H55" s="575">
        <v>120</v>
      </c>
      <c r="I55" s="575">
        <f>4+12+12</f>
        <v>28</v>
      </c>
      <c r="J55" s="576">
        <f t="shared" si="3"/>
        <v>84787.275299999994</v>
      </c>
      <c r="K55" s="356" t="s">
        <v>1026</v>
      </c>
    </row>
    <row r="56" spans="1:11" s="350" customFormat="1" ht="45" x14ac:dyDescent="0.25">
      <c r="A56" s="575">
        <f t="shared" ref="A56:A59" si="4">A55+1</f>
        <v>30</v>
      </c>
      <c r="B56" s="356" t="s">
        <v>8</v>
      </c>
      <c r="C56" s="356">
        <v>264</v>
      </c>
      <c r="D56" s="356" t="s">
        <v>1024</v>
      </c>
      <c r="E56" s="356" t="s">
        <v>1061</v>
      </c>
      <c r="F56" s="576">
        <v>781000.67</v>
      </c>
      <c r="G56" s="577">
        <v>43822</v>
      </c>
      <c r="H56" s="575">
        <v>120</v>
      </c>
      <c r="I56" s="575">
        <f>12+12</f>
        <v>24</v>
      </c>
      <c r="J56" s="576">
        <f t="shared" si="3"/>
        <v>140580.12060000002</v>
      </c>
      <c r="K56" s="356" t="s">
        <v>1026</v>
      </c>
    </row>
    <row r="57" spans="1:11" s="350" customFormat="1" ht="30" x14ac:dyDescent="0.25">
      <c r="A57" s="575">
        <f t="shared" si="4"/>
        <v>31</v>
      </c>
      <c r="B57" s="356" t="s">
        <v>8</v>
      </c>
      <c r="C57" s="356">
        <v>273</v>
      </c>
      <c r="D57" s="356" t="s">
        <v>1028</v>
      </c>
      <c r="E57" s="356" t="s">
        <v>1062</v>
      </c>
      <c r="F57" s="576">
        <v>8870</v>
      </c>
      <c r="G57" s="577">
        <v>42923</v>
      </c>
      <c r="H57" s="575">
        <v>120</v>
      </c>
      <c r="I57" s="575">
        <f>5+12+12+12+12</f>
        <v>53</v>
      </c>
      <c r="J57" s="576">
        <f t="shared" si="3"/>
        <v>3525.8250000000003</v>
      </c>
      <c r="K57" s="356" t="s">
        <v>1026</v>
      </c>
    </row>
    <row r="58" spans="1:11" s="350" customFormat="1" ht="45" x14ac:dyDescent="0.25">
      <c r="A58" s="575">
        <f t="shared" si="4"/>
        <v>32</v>
      </c>
      <c r="B58" s="356" t="s">
        <v>8</v>
      </c>
      <c r="C58" s="356">
        <v>273</v>
      </c>
      <c r="D58" s="356" t="s">
        <v>1028</v>
      </c>
      <c r="E58" s="356" t="s">
        <v>1063</v>
      </c>
      <c r="F58" s="576">
        <v>129850</v>
      </c>
      <c r="G58" s="577">
        <v>43700</v>
      </c>
      <c r="H58" s="575">
        <v>120</v>
      </c>
      <c r="I58" s="575">
        <f>4+12+12</f>
        <v>28</v>
      </c>
      <c r="J58" s="576">
        <f t="shared" si="3"/>
        <v>27268.5</v>
      </c>
      <c r="K58" s="356" t="s">
        <v>1026</v>
      </c>
    </row>
    <row r="59" spans="1:11" s="350" customFormat="1" ht="45" x14ac:dyDescent="0.25">
      <c r="A59" s="575">
        <f t="shared" si="4"/>
        <v>33</v>
      </c>
      <c r="B59" s="356" t="s">
        <v>8</v>
      </c>
      <c r="C59" s="356">
        <v>273</v>
      </c>
      <c r="D59" s="356" t="s">
        <v>1028</v>
      </c>
      <c r="E59" s="356" t="s">
        <v>1064</v>
      </c>
      <c r="F59" s="576">
        <v>495053.34</v>
      </c>
      <c r="G59" s="577">
        <v>43751</v>
      </c>
      <c r="H59" s="575">
        <v>120</v>
      </c>
      <c r="I59" s="575">
        <f>2+12+12</f>
        <v>26</v>
      </c>
      <c r="J59" s="576">
        <f t="shared" si="3"/>
        <v>96535.401300000012</v>
      </c>
      <c r="K59" s="356" t="s">
        <v>1026</v>
      </c>
    </row>
    <row r="60" spans="1:11" s="581" customFormat="1" x14ac:dyDescent="0.25">
      <c r="A60" s="575"/>
      <c r="B60" s="357"/>
      <c r="C60" s="357"/>
      <c r="D60" s="357" t="s">
        <v>945</v>
      </c>
      <c r="E60" s="357"/>
      <c r="F60" s="578">
        <f>SUM(F54:F59)</f>
        <v>1996062.9400000002</v>
      </c>
      <c r="G60" s="579"/>
      <c r="H60" s="580"/>
      <c r="I60" s="580"/>
      <c r="J60" s="578">
        <f>SUM(J54:J59)</f>
        <v>432590.12220000004</v>
      </c>
      <c r="K60" s="357"/>
    </row>
    <row r="61" spans="1:11" s="350" customFormat="1" x14ac:dyDescent="0.25">
      <c r="A61" s="575"/>
      <c r="B61" s="356"/>
      <c r="C61" s="356"/>
      <c r="D61" s="356"/>
      <c r="E61" s="356"/>
      <c r="F61" s="576"/>
      <c r="G61" s="577"/>
      <c r="H61" s="575"/>
      <c r="I61" s="575"/>
      <c r="J61" s="576"/>
      <c r="K61" s="356"/>
    </row>
    <row r="62" spans="1:11" s="350" customFormat="1" ht="45" x14ac:dyDescent="0.25">
      <c r="A62" s="575">
        <v>34</v>
      </c>
      <c r="B62" s="356" t="s">
        <v>8</v>
      </c>
      <c r="C62" s="356">
        <v>273</v>
      </c>
      <c r="D62" s="356" t="s">
        <v>1028</v>
      </c>
      <c r="E62" s="356" t="s">
        <v>1065</v>
      </c>
      <c r="F62" s="576">
        <v>123946.5</v>
      </c>
      <c r="G62" s="577">
        <v>42885</v>
      </c>
      <c r="H62" s="575">
        <v>240</v>
      </c>
      <c r="I62" s="575">
        <f>7+12+12+12+12</f>
        <v>55</v>
      </c>
      <c r="J62" s="576">
        <f>((F62*0.9)/H62)*I62</f>
        <v>25563.965625000001</v>
      </c>
      <c r="K62" s="356" t="s">
        <v>1032</v>
      </c>
    </row>
    <row r="63" spans="1:11" s="581" customFormat="1" x14ac:dyDescent="0.25">
      <c r="A63" s="575"/>
      <c r="B63" s="357"/>
      <c r="C63" s="357"/>
      <c r="D63" s="357" t="s">
        <v>945</v>
      </c>
      <c r="E63" s="357"/>
      <c r="F63" s="578">
        <f>SUM(F62)</f>
        <v>123946.5</v>
      </c>
      <c r="G63" s="579"/>
      <c r="H63" s="580"/>
      <c r="I63" s="580"/>
      <c r="J63" s="578">
        <f>SUM(J62)</f>
        <v>25563.965625000001</v>
      </c>
      <c r="K63" s="357"/>
    </row>
    <row r="64" spans="1:11" s="350" customFormat="1" x14ac:dyDescent="0.25">
      <c r="A64" s="575"/>
      <c r="B64" s="356"/>
      <c r="C64" s="356"/>
      <c r="D64" s="356"/>
      <c r="E64" s="356"/>
      <c r="F64" s="576"/>
      <c r="G64" s="577"/>
      <c r="H64" s="575"/>
      <c r="I64" s="575"/>
      <c r="J64" s="576"/>
      <c r="K64" s="356"/>
    </row>
    <row r="65" spans="1:11" s="581" customFormat="1" ht="60" x14ac:dyDescent="0.25">
      <c r="A65" s="575">
        <v>35</v>
      </c>
      <c r="B65" s="356" t="s">
        <v>8</v>
      </c>
      <c r="C65" s="356">
        <v>264</v>
      </c>
      <c r="D65" s="356" t="s">
        <v>1024</v>
      </c>
      <c r="E65" s="356" t="s">
        <v>1066</v>
      </c>
      <c r="F65" s="576">
        <v>113013</v>
      </c>
      <c r="G65" s="577">
        <v>42766</v>
      </c>
      <c r="H65" s="575">
        <v>240</v>
      </c>
      <c r="I65" s="575">
        <f>11+12+12+12+12</f>
        <v>59</v>
      </c>
      <c r="J65" s="576">
        <f t="shared" ref="J65:J68" si="5">((F65*0.9)/H65)*I65</f>
        <v>25004.126249999998</v>
      </c>
      <c r="K65" s="356" t="s">
        <v>1067</v>
      </c>
    </row>
    <row r="66" spans="1:11" s="350" customFormat="1" ht="45" x14ac:dyDescent="0.25">
      <c r="A66" s="575">
        <f>A65+1</f>
        <v>36</v>
      </c>
      <c r="B66" s="356" t="s">
        <v>8</v>
      </c>
      <c r="C66" s="356">
        <v>264</v>
      </c>
      <c r="D66" s="356" t="s">
        <v>1024</v>
      </c>
      <c r="E66" s="356" t="s">
        <v>1068</v>
      </c>
      <c r="F66" s="576">
        <v>1012.07</v>
      </c>
      <c r="G66" s="577">
        <v>43133</v>
      </c>
      <c r="H66" s="575">
        <v>240</v>
      </c>
      <c r="I66" s="575">
        <f>10+12+12+12</f>
        <v>46</v>
      </c>
      <c r="J66" s="576">
        <f t="shared" si="5"/>
        <v>174.582075</v>
      </c>
      <c r="K66" s="356" t="s">
        <v>1067</v>
      </c>
    </row>
    <row r="67" spans="1:11" s="350" customFormat="1" ht="45" x14ac:dyDescent="0.25">
      <c r="A67" s="575">
        <f t="shared" ref="A67:A68" si="6">A66+1</f>
        <v>37</v>
      </c>
      <c r="B67" s="356" t="s">
        <v>8</v>
      </c>
      <c r="C67" s="356">
        <v>264</v>
      </c>
      <c r="D67" s="356" t="s">
        <v>1024</v>
      </c>
      <c r="E67" s="356" t="s">
        <v>1069</v>
      </c>
      <c r="F67" s="576">
        <v>2185938.0699999998</v>
      </c>
      <c r="G67" s="577">
        <v>43731</v>
      </c>
      <c r="H67" s="575">
        <v>240</v>
      </c>
      <c r="I67" s="575">
        <f>3+12+12</f>
        <v>27</v>
      </c>
      <c r="J67" s="576">
        <f t="shared" si="5"/>
        <v>221326.22958749998</v>
      </c>
      <c r="K67" s="356" t="s">
        <v>1067</v>
      </c>
    </row>
    <row r="68" spans="1:11" s="350" customFormat="1" ht="60" x14ac:dyDescent="0.25">
      <c r="A68" s="575">
        <f t="shared" si="6"/>
        <v>38</v>
      </c>
      <c r="B68" s="356" t="s">
        <v>8</v>
      </c>
      <c r="C68" s="356">
        <v>264</v>
      </c>
      <c r="D68" s="356" t="s">
        <v>1024</v>
      </c>
      <c r="E68" s="356" t="s">
        <v>1070</v>
      </c>
      <c r="F68" s="576">
        <v>488727.25</v>
      </c>
      <c r="G68" s="577">
        <v>43893</v>
      </c>
      <c r="H68" s="575">
        <v>240</v>
      </c>
      <c r="I68" s="575">
        <f>9+12</f>
        <v>21</v>
      </c>
      <c r="J68" s="576">
        <f t="shared" si="5"/>
        <v>38487.270937500005</v>
      </c>
      <c r="K68" s="356" t="s">
        <v>1067</v>
      </c>
    </row>
    <row r="69" spans="1:11" s="581" customFormat="1" x14ac:dyDescent="0.25">
      <c r="A69" s="575"/>
      <c r="B69" s="357"/>
      <c r="C69" s="357"/>
      <c r="D69" s="357" t="s">
        <v>945</v>
      </c>
      <c r="E69" s="357"/>
      <c r="F69" s="578">
        <f>SUM(F65:F68)</f>
        <v>2788690.3899999997</v>
      </c>
      <c r="G69" s="579"/>
      <c r="H69" s="580"/>
      <c r="I69" s="580"/>
      <c r="J69" s="578">
        <f>SUM(J65:J68)</f>
        <v>284992.20885</v>
      </c>
      <c r="K69" s="357"/>
    </row>
    <row r="70" spans="1:11" s="350" customFormat="1" x14ac:dyDescent="0.25">
      <c r="A70" s="575"/>
      <c r="B70" s="356"/>
      <c r="C70" s="356"/>
      <c r="D70" s="356"/>
      <c r="E70" s="356"/>
      <c r="F70" s="576"/>
      <c r="G70" s="577"/>
      <c r="H70" s="575"/>
      <c r="I70" s="575"/>
      <c r="J70" s="576"/>
      <c r="K70" s="356"/>
    </row>
    <row r="71" spans="1:11" s="581" customFormat="1" ht="60" x14ac:dyDescent="0.25">
      <c r="A71" s="575">
        <v>39</v>
      </c>
      <c r="B71" s="356" t="s">
        <v>8</v>
      </c>
      <c r="C71" s="356">
        <v>272</v>
      </c>
      <c r="D71" s="356" t="s">
        <v>1054</v>
      </c>
      <c r="E71" s="356" t="s">
        <v>1071</v>
      </c>
      <c r="F71" s="576">
        <v>485364.41</v>
      </c>
      <c r="G71" s="577">
        <v>43434</v>
      </c>
      <c r="H71" s="575">
        <v>240</v>
      </c>
      <c r="I71" s="575">
        <f>1+12+12+12</f>
        <v>37</v>
      </c>
      <c r="J71" s="576">
        <f>((F71*0.9)/H71)*I71</f>
        <v>67344.311887499993</v>
      </c>
      <c r="K71" s="356" t="s">
        <v>1056</v>
      </c>
    </row>
    <row r="72" spans="1:11" s="581" customFormat="1" x14ac:dyDescent="0.25">
      <c r="A72" s="575"/>
      <c r="B72" s="357"/>
      <c r="C72" s="357"/>
      <c r="D72" s="357" t="s">
        <v>945</v>
      </c>
      <c r="E72" s="357"/>
      <c r="F72" s="578">
        <f>SUM(F71)</f>
        <v>485364.41</v>
      </c>
      <c r="G72" s="579"/>
      <c r="H72" s="580"/>
      <c r="I72" s="580"/>
      <c r="J72" s="578">
        <f>SUM(J71)</f>
        <v>67344.311887499993</v>
      </c>
      <c r="K72" s="357"/>
    </row>
    <row r="73" spans="1:11" s="581" customFormat="1" x14ac:dyDescent="0.25">
      <c r="A73" s="575"/>
      <c r="B73" s="356"/>
      <c r="C73" s="356"/>
      <c r="D73" s="357"/>
      <c r="E73" s="356"/>
      <c r="F73" s="576"/>
      <c r="G73" s="577"/>
      <c r="H73" s="575"/>
      <c r="I73" s="575"/>
      <c r="J73" s="576"/>
      <c r="K73" s="356"/>
    </row>
    <row r="74" spans="1:11" s="581" customFormat="1" x14ac:dyDescent="0.25">
      <c r="A74" s="575"/>
      <c r="B74" s="357"/>
      <c r="C74" s="357"/>
      <c r="D74" s="357" t="s">
        <v>1072</v>
      </c>
      <c r="E74" s="357"/>
      <c r="F74" s="578">
        <f>F52+F60+F63+F69+F72</f>
        <v>5569388.0999999996</v>
      </c>
      <c r="G74" s="579"/>
      <c r="H74" s="580"/>
      <c r="I74" s="580"/>
      <c r="J74" s="578">
        <f>J52+J60+J63+J69+J72</f>
        <v>827584.68491250009</v>
      </c>
      <c r="K74" s="357"/>
    </row>
    <row r="75" spans="1:11" s="581" customFormat="1" x14ac:dyDescent="0.25">
      <c r="A75" s="575"/>
      <c r="B75" s="356"/>
      <c r="C75" s="356"/>
      <c r="D75" s="356"/>
      <c r="E75" s="356"/>
      <c r="F75" s="576"/>
      <c r="G75" s="577"/>
      <c r="H75" s="575"/>
      <c r="I75" s="575"/>
      <c r="J75" s="576"/>
      <c r="K75" s="356"/>
    </row>
    <row r="76" spans="1:11" s="581" customFormat="1" x14ac:dyDescent="0.25">
      <c r="A76" s="575"/>
      <c r="B76" s="356"/>
      <c r="C76" s="356"/>
      <c r="D76" s="356"/>
      <c r="E76" s="356"/>
      <c r="F76" s="576"/>
      <c r="G76" s="577"/>
      <c r="H76" s="575"/>
      <c r="I76" s="575"/>
      <c r="J76" s="576"/>
      <c r="K76" s="356"/>
    </row>
    <row r="77" spans="1:11" s="350" customFormat="1" ht="45" x14ac:dyDescent="0.25">
      <c r="A77" s="575">
        <v>40</v>
      </c>
      <c r="B77" s="356" t="s">
        <v>1073</v>
      </c>
      <c r="C77" s="356">
        <v>273</v>
      </c>
      <c r="D77" s="356" t="s">
        <v>1028</v>
      </c>
      <c r="E77" s="356" t="s">
        <v>1074</v>
      </c>
      <c r="F77" s="576">
        <v>45001</v>
      </c>
      <c r="G77" s="577">
        <v>43441</v>
      </c>
      <c r="H77" s="575">
        <v>60</v>
      </c>
      <c r="I77" s="575">
        <f>12+12+12</f>
        <v>36</v>
      </c>
      <c r="J77" s="576">
        <f>((F77*0.9)/H77)*I77</f>
        <v>24300.54</v>
      </c>
      <c r="K77" s="356" t="s">
        <v>1032</v>
      </c>
    </row>
    <row r="78" spans="1:11" s="350" customFormat="1" ht="45" x14ac:dyDescent="0.25">
      <c r="A78" s="575">
        <f t="shared" ref="A78:A80" si="7">A77+1</f>
        <v>41</v>
      </c>
      <c r="B78" s="356" t="s">
        <v>1073</v>
      </c>
      <c r="C78" s="356">
        <v>264</v>
      </c>
      <c r="D78" s="356" t="s">
        <v>1024</v>
      </c>
      <c r="E78" s="356" t="s">
        <v>1075</v>
      </c>
      <c r="F78" s="576">
        <v>1409337.41</v>
      </c>
      <c r="G78" s="577">
        <v>44144</v>
      </c>
      <c r="H78" s="575">
        <v>60</v>
      </c>
      <c r="I78" s="575">
        <f>1+12</f>
        <v>13</v>
      </c>
      <c r="J78" s="576">
        <f>((F78*0.9)/H78)*I78</f>
        <v>274820.79495000001</v>
      </c>
      <c r="K78" s="356" t="s">
        <v>1032</v>
      </c>
    </row>
    <row r="79" spans="1:11" s="350" customFormat="1" ht="45" x14ac:dyDescent="0.25">
      <c r="A79" s="575">
        <f t="shared" si="7"/>
        <v>42</v>
      </c>
      <c r="B79" s="356" t="s">
        <v>1073</v>
      </c>
      <c r="C79" s="356">
        <v>273</v>
      </c>
      <c r="D79" s="356" t="s">
        <v>1028</v>
      </c>
      <c r="E79" s="356" t="s">
        <v>1076</v>
      </c>
      <c r="F79" s="576">
        <v>32916.480000000003</v>
      </c>
      <c r="G79" s="577">
        <v>42988</v>
      </c>
      <c r="H79" s="575">
        <v>60</v>
      </c>
      <c r="I79" s="575">
        <f>3+12+12+12+12</f>
        <v>51</v>
      </c>
      <c r="J79" s="576">
        <f>((F79*0.9)/H79)*I79</f>
        <v>25181.107200000002</v>
      </c>
      <c r="K79" s="356" t="s">
        <v>1032</v>
      </c>
    </row>
    <row r="80" spans="1:11" s="350" customFormat="1" ht="45" x14ac:dyDescent="0.25">
      <c r="A80" s="575">
        <f t="shared" si="7"/>
        <v>43</v>
      </c>
      <c r="B80" s="356" t="s">
        <v>1073</v>
      </c>
      <c r="C80" s="356">
        <v>273</v>
      </c>
      <c r="D80" s="356" t="s">
        <v>1028</v>
      </c>
      <c r="E80" s="356" t="s">
        <v>1077</v>
      </c>
      <c r="F80" s="576">
        <v>35597.39</v>
      </c>
      <c r="G80" s="577">
        <v>41785</v>
      </c>
      <c r="H80" s="575">
        <v>60</v>
      </c>
      <c r="I80" s="575">
        <v>60</v>
      </c>
      <c r="J80" s="576">
        <f>((F80*0.9)/H80)*I80</f>
        <v>32037.651000000002</v>
      </c>
      <c r="K80" s="356" t="s">
        <v>1032</v>
      </c>
    </row>
    <row r="81" spans="1:11" s="581" customFormat="1" x14ac:dyDescent="0.25">
      <c r="A81" s="575"/>
      <c r="B81" s="357"/>
      <c r="C81" s="357"/>
      <c r="D81" s="357" t="s">
        <v>1078</v>
      </c>
      <c r="E81" s="357"/>
      <c r="F81" s="578">
        <f>SUM(F77:F80)</f>
        <v>1522852.2799999998</v>
      </c>
      <c r="G81" s="579"/>
      <c r="H81" s="580"/>
      <c r="I81" s="580"/>
      <c r="J81" s="578">
        <f>SUM(J77:J80)</f>
        <v>356340.09315000003</v>
      </c>
      <c r="K81" s="357"/>
    </row>
    <row r="82" spans="1:11" s="350" customFormat="1" x14ac:dyDescent="0.25">
      <c r="A82" s="575"/>
      <c r="B82" s="356"/>
      <c r="C82" s="356"/>
      <c r="D82" s="356"/>
      <c r="E82" s="356"/>
      <c r="F82" s="576"/>
      <c r="G82" s="577"/>
      <c r="H82" s="575"/>
      <c r="I82" s="575"/>
      <c r="J82" s="576"/>
      <c r="K82" s="356"/>
    </row>
    <row r="83" spans="1:11" s="581" customFormat="1" x14ac:dyDescent="0.25">
      <c r="A83" s="575"/>
      <c r="B83" s="357"/>
      <c r="C83" s="357"/>
      <c r="D83" s="357" t="s">
        <v>1079</v>
      </c>
      <c r="E83" s="357"/>
      <c r="F83" s="578">
        <f>F48+F74+F81</f>
        <v>55242391.970000006</v>
      </c>
      <c r="G83" s="579"/>
      <c r="H83" s="580"/>
      <c r="I83" s="580"/>
      <c r="J83" s="578">
        <f>J48+J74+J81</f>
        <v>15599046.69375</v>
      </c>
      <c r="K83" s="357"/>
    </row>
  </sheetData>
  <sheetProtection algorithmName="SHA-512" hashValue="riDvtNY+8afLUQvvK2s7PDs3yiJvI+j1hzv1Ic4choHTRBsBrhoShJ5LxB7GDGiIKDeoQdfOFmUQWAdQkZJEYw==" saltValue="EeTDAjFxweoKfgmugeMFYQ==" spinCount="100000" sheet="1" objects="1" scenarios="1" selectLockedCells="1" selectUnlockedCells="1"/>
  <pageMargins left="0.9055118110236221" right="0.70866141732283472" top="0.74803149606299213" bottom="0.74803149606299213" header="0.31496062992125984" footer="0.31496062992125984"/>
  <pageSetup scale="8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83"/>
  <sheetViews>
    <sheetView showGridLines="0" zoomScaleNormal="100" workbookViewId="0"/>
  </sheetViews>
  <sheetFormatPr defaultColWidth="8.85546875" defaultRowHeight="12.75" x14ac:dyDescent="0.2"/>
  <cols>
    <col min="1" max="1" width="5.5703125" style="582" customWidth="1"/>
    <col min="2" max="2" width="11.140625" style="582" bestFit="1" customWidth="1"/>
    <col min="3" max="3" width="54.5703125" style="582" hidden="1" customWidth="1"/>
    <col min="4" max="4" width="27.7109375" style="583" bestFit="1" customWidth="1"/>
    <col min="5" max="5" width="41.28515625" style="584" customWidth="1"/>
    <col min="6" max="6" width="13.5703125" style="582" bestFit="1" customWidth="1"/>
    <col min="7" max="7" width="13.28515625" style="582" bestFit="1" customWidth="1"/>
    <col min="8" max="9" width="8.85546875" style="582" customWidth="1"/>
    <col min="10" max="10" width="15.5703125" style="585" bestFit="1" customWidth="1"/>
    <col min="11" max="11" width="24.7109375" style="587" customWidth="1"/>
    <col min="12" max="12" width="13.140625" style="587" customWidth="1"/>
    <col min="13" max="13" width="15.140625" style="587" customWidth="1"/>
    <col min="14" max="14" width="8.85546875" style="582" customWidth="1"/>
    <col min="15" max="16384" width="8.85546875" style="582"/>
  </cols>
  <sheetData>
    <row r="1" spans="1:13" x14ac:dyDescent="0.2">
      <c r="A1" s="582" t="s">
        <v>891</v>
      </c>
      <c r="K1" s="586" t="s">
        <v>1209</v>
      </c>
    </row>
    <row r="2" spans="1:13" x14ac:dyDescent="0.2">
      <c r="A2" s="582" t="s">
        <v>927</v>
      </c>
    </row>
    <row r="4" spans="1:13" x14ac:dyDescent="0.2">
      <c r="A4" s="582" t="s">
        <v>1375</v>
      </c>
    </row>
    <row r="7" spans="1:13" s="592" customFormat="1" ht="48" customHeight="1" x14ac:dyDescent="0.25">
      <c r="A7" s="588" t="s">
        <v>1011</v>
      </c>
      <c r="B7" s="588" t="s">
        <v>1012</v>
      </c>
      <c r="C7" s="588" t="s">
        <v>1013</v>
      </c>
      <c r="D7" s="588" t="s">
        <v>1014</v>
      </c>
      <c r="E7" s="588" t="s">
        <v>1015</v>
      </c>
      <c r="F7" s="589" t="s">
        <v>917</v>
      </c>
      <c r="G7" s="590" t="s">
        <v>1016</v>
      </c>
      <c r="H7" s="588" t="s">
        <v>1017</v>
      </c>
      <c r="I7" s="588" t="s">
        <v>1018</v>
      </c>
      <c r="J7" s="591" t="s">
        <v>1019</v>
      </c>
      <c r="K7" s="588" t="s">
        <v>1020</v>
      </c>
    </row>
    <row r="8" spans="1:13" ht="38.25" x14ac:dyDescent="0.2">
      <c r="A8" s="593">
        <v>1</v>
      </c>
      <c r="B8" s="594" t="s">
        <v>832</v>
      </c>
      <c r="C8" s="594">
        <v>269</v>
      </c>
      <c r="D8" s="595" t="s">
        <v>1021</v>
      </c>
      <c r="E8" s="595" t="s">
        <v>1022</v>
      </c>
      <c r="F8" s="596">
        <v>1453309.81</v>
      </c>
      <c r="G8" s="597">
        <v>44245</v>
      </c>
      <c r="H8" s="593">
        <v>240</v>
      </c>
      <c r="I8" s="593">
        <v>10</v>
      </c>
      <c r="J8" s="598">
        <v>54499.12</v>
      </c>
      <c r="K8" s="595" t="s">
        <v>1023</v>
      </c>
      <c r="L8" s="582"/>
      <c r="M8" s="582"/>
    </row>
    <row r="9" spans="1:13" s="605" customFormat="1" x14ac:dyDescent="0.2">
      <c r="A9" s="593"/>
      <c r="B9" s="599"/>
      <c r="C9" s="599"/>
      <c r="D9" s="600" t="s">
        <v>945</v>
      </c>
      <c r="E9" s="600"/>
      <c r="F9" s="601">
        <f>SUM(F8)</f>
        <v>1453309.81</v>
      </c>
      <c r="G9" s="602"/>
      <c r="H9" s="603"/>
      <c r="I9" s="603"/>
      <c r="J9" s="604">
        <f>SUM(J8)</f>
        <v>54499.12</v>
      </c>
      <c r="K9" s="600"/>
    </row>
    <row r="10" spans="1:13" x14ac:dyDescent="0.2">
      <c r="A10" s="593"/>
      <c r="B10" s="594"/>
      <c r="C10" s="594"/>
      <c r="D10" s="595"/>
      <c r="E10" s="595"/>
      <c r="F10" s="596"/>
      <c r="G10" s="597"/>
      <c r="H10" s="593"/>
      <c r="I10" s="593"/>
      <c r="J10" s="598"/>
      <c r="K10" s="595"/>
      <c r="L10" s="582"/>
      <c r="M10" s="582"/>
    </row>
    <row r="11" spans="1:13" s="592" customFormat="1" ht="48" customHeight="1" x14ac:dyDescent="0.2">
      <c r="A11" s="606">
        <v>2</v>
      </c>
      <c r="B11" s="594" t="s">
        <v>832</v>
      </c>
      <c r="C11" s="594">
        <v>264</v>
      </c>
      <c r="D11" s="595" t="s">
        <v>1024</v>
      </c>
      <c r="E11" s="595" t="s">
        <v>1025</v>
      </c>
      <c r="F11" s="596">
        <v>347288.06</v>
      </c>
      <c r="G11" s="597">
        <v>44469</v>
      </c>
      <c r="H11" s="593">
        <v>120</v>
      </c>
      <c r="I11" s="593">
        <v>3</v>
      </c>
      <c r="J11" s="598">
        <v>7813.98</v>
      </c>
      <c r="K11" s="595" t="s">
        <v>1026</v>
      </c>
    </row>
    <row r="12" spans="1:13" ht="38.25" x14ac:dyDescent="0.2">
      <c r="A12" s="593">
        <f>A11+1</f>
        <v>3</v>
      </c>
      <c r="B12" s="594" t="s">
        <v>832</v>
      </c>
      <c r="C12" s="594">
        <v>264</v>
      </c>
      <c r="D12" s="595" t="s">
        <v>1024</v>
      </c>
      <c r="E12" s="595" t="s">
        <v>1025</v>
      </c>
      <c r="F12" s="596">
        <v>166134.19</v>
      </c>
      <c r="G12" s="597">
        <v>40816</v>
      </c>
      <c r="H12" s="593">
        <v>120</v>
      </c>
      <c r="I12" s="593">
        <v>120</v>
      </c>
      <c r="J12" s="598">
        <v>149520.76999999999</v>
      </c>
      <c r="K12" s="595" t="s">
        <v>1026</v>
      </c>
      <c r="L12" s="582"/>
      <c r="M12" s="582"/>
    </row>
    <row r="13" spans="1:13" ht="38.25" x14ac:dyDescent="0.2">
      <c r="A13" s="593">
        <f t="shared" ref="A13:A15" si="0">A12+1</f>
        <v>4</v>
      </c>
      <c r="B13" s="594" t="s">
        <v>832</v>
      </c>
      <c r="C13" s="594">
        <v>264</v>
      </c>
      <c r="D13" s="595" t="s">
        <v>1024</v>
      </c>
      <c r="E13" s="595" t="s">
        <v>1027</v>
      </c>
      <c r="F13" s="596">
        <v>1841479</v>
      </c>
      <c r="G13" s="597">
        <v>43016</v>
      </c>
      <c r="H13" s="593">
        <v>120</v>
      </c>
      <c r="I13" s="593">
        <f>2+12+12+12+12</f>
        <v>50</v>
      </c>
      <c r="J13" s="598">
        <v>690554.63</v>
      </c>
      <c r="K13" s="595" t="s">
        <v>1026</v>
      </c>
      <c r="L13" s="582"/>
      <c r="M13" s="582"/>
    </row>
    <row r="14" spans="1:13" ht="38.25" x14ac:dyDescent="0.2">
      <c r="A14" s="593">
        <f t="shared" si="0"/>
        <v>5</v>
      </c>
      <c r="B14" s="594" t="s">
        <v>832</v>
      </c>
      <c r="C14" s="594">
        <v>273</v>
      </c>
      <c r="D14" s="595" t="s">
        <v>1028</v>
      </c>
      <c r="E14" s="595" t="s">
        <v>1029</v>
      </c>
      <c r="F14" s="596">
        <v>1417023.73</v>
      </c>
      <c r="G14" s="597">
        <v>43067</v>
      </c>
      <c r="H14" s="593">
        <v>120</v>
      </c>
      <c r="I14" s="593">
        <f>1+12+12+12+12</f>
        <v>49</v>
      </c>
      <c r="J14" s="598">
        <v>520756.22</v>
      </c>
      <c r="K14" s="595" t="s">
        <v>1026</v>
      </c>
      <c r="L14" s="582"/>
      <c r="M14" s="582"/>
    </row>
    <row r="15" spans="1:13" ht="25.5" x14ac:dyDescent="0.2">
      <c r="A15" s="593">
        <f t="shared" si="0"/>
        <v>6</v>
      </c>
      <c r="B15" s="594" t="s">
        <v>832</v>
      </c>
      <c r="C15" s="594">
        <v>264</v>
      </c>
      <c r="D15" s="595" t="s">
        <v>1024</v>
      </c>
      <c r="E15" s="595" t="s">
        <v>1030</v>
      </c>
      <c r="F15" s="596">
        <v>372713.93</v>
      </c>
      <c r="G15" s="597">
        <v>44469</v>
      </c>
      <c r="H15" s="593">
        <v>120</v>
      </c>
      <c r="I15" s="593">
        <v>3</v>
      </c>
      <c r="J15" s="598">
        <v>8386.06</v>
      </c>
      <c r="K15" s="595" t="s">
        <v>1026</v>
      </c>
      <c r="L15" s="582"/>
      <c r="M15" s="582"/>
    </row>
    <row r="16" spans="1:13" s="605" customFormat="1" x14ac:dyDescent="0.2">
      <c r="A16" s="593"/>
      <c r="B16" s="599"/>
      <c r="C16" s="599"/>
      <c r="D16" s="600" t="s">
        <v>945</v>
      </c>
      <c r="E16" s="600"/>
      <c r="F16" s="601">
        <f>SUM(F11:F15)</f>
        <v>4144638.91</v>
      </c>
      <c r="G16" s="602"/>
      <c r="H16" s="603"/>
      <c r="I16" s="603"/>
      <c r="J16" s="604">
        <f>SUM(J11:J15)</f>
        <v>1377031.6600000001</v>
      </c>
      <c r="K16" s="600"/>
    </row>
    <row r="17" spans="1:13" x14ac:dyDescent="0.2">
      <c r="A17" s="593"/>
      <c r="B17" s="594"/>
      <c r="C17" s="594"/>
      <c r="D17" s="595"/>
      <c r="E17" s="595"/>
      <c r="F17" s="596"/>
      <c r="G17" s="597"/>
      <c r="H17" s="593"/>
      <c r="I17" s="593"/>
      <c r="J17" s="598"/>
      <c r="K17" s="595"/>
      <c r="L17" s="582"/>
      <c r="M17" s="582"/>
    </row>
    <row r="18" spans="1:13" ht="25.5" x14ac:dyDescent="0.2">
      <c r="A18" s="593">
        <v>7</v>
      </c>
      <c r="B18" s="594" t="s">
        <v>832</v>
      </c>
      <c r="C18" s="594">
        <v>264</v>
      </c>
      <c r="D18" s="595" t="s">
        <v>1024</v>
      </c>
      <c r="E18" s="595" t="s">
        <v>1031</v>
      </c>
      <c r="F18" s="596">
        <v>15442.77</v>
      </c>
      <c r="G18" s="597">
        <v>44321</v>
      </c>
      <c r="H18" s="593">
        <v>60</v>
      </c>
      <c r="I18" s="593">
        <v>7</v>
      </c>
      <c r="J18" s="598">
        <v>1621.49</v>
      </c>
      <c r="K18" s="595" t="s">
        <v>1032</v>
      </c>
      <c r="L18" s="582"/>
      <c r="M18" s="582"/>
    </row>
    <row r="19" spans="1:13" ht="25.5" x14ac:dyDescent="0.2">
      <c r="A19" s="593">
        <f>A18+1</f>
        <v>8</v>
      </c>
      <c r="B19" s="594" t="s">
        <v>832</v>
      </c>
      <c r="C19" s="594">
        <v>264</v>
      </c>
      <c r="D19" s="595" t="s">
        <v>1024</v>
      </c>
      <c r="E19" s="595" t="s">
        <v>1033</v>
      </c>
      <c r="F19" s="596">
        <v>711475.4</v>
      </c>
      <c r="G19" s="597">
        <v>44545</v>
      </c>
      <c r="H19" s="593">
        <v>60</v>
      </c>
      <c r="I19" s="593">
        <v>0</v>
      </c>
      <c r="J19" s="598">
        <v>0</v>
      </c>
      <c r="K19" s="595" t="s">
        <v>1032</v>
      </c>
      <c r="L19" s="582"/>
      <c r="M19" s="582"/>
    </row>
    <row r="20" spans="1:13" ht="25.5" x14ac:dyDescent="0.2">
      <c r="A20" s="593">
        <f t="shared" ref="A20:A32" si="1">A19+1</f>
        <v>9</v>
      </c>
      <c r="B20" s="594" t="s">
        <v>832</v>
      </c>
      <c r="C20" s="594">
        <v>264</v>
      </c>
      <c r="D20" s="595" t="s">
        <v>1024</v>
      </c>
      <c r="E20" s="595" t="s">
        <v>1031</v>
      </c>
      <c r="F20" s="596">
        <v>93654.01</v>
      </c>
      <c r="G20" s="597">
        <v>44321</v>
      </c>
      <c r="H20" s="593">
        <v>60</v>
      </c>
      <c r="I20" s="593">
        <v>7</v>
      </c>
      <c r="J20" s="598">
        <v>9833.67</v>
      </c>
      <c r="K20" s="595" t="s">
        <v>1032</v>
      </c>
      <c r="L20" s="582"/>
      <c r="M20" s="582"/>
    </row>
    <row r="21" spans="1:13" ht="25.5" x14ac:dyDescent="0.2">
      <c r="A21" s="593">
        <f t="shared" si="1"/>
        <v>10</v>
      </c>
      <c r="B21" s="594" t="s">
        <v>832</v>
      </c>
      <c r="C21" s="594">
        <v>264</v>
      </c>
      <c r="D21" s="595" t="s">
        <v>1024</v>
      </c>
      <c r="E21" s="595" t="s">
        <v>1034</v>
      </c>
      <c r="F21" s="596">
        <v>2116700</v>
      </c>
      <c r="G21" s="597">
        <v>44418</v>
      </c>
      <c r="H21" s="593">
        <v>60</v>
      </c>
      <c r="I21" s="593">
        <v>4</v>
      </c>
      <c r="J21" s="598">
        <v>127002</v>
      </c>
      <c r="K21" s="595" t="s">
        <v>1032</v>
      </c>
      <c r="L21" s="582"/>
      <c r="M21" s="582"/>
    </row>
    <row r="22" spans="1:13" ht="25.5" x14ac:dyDescent="0.2">
      <c r="A22" s="593">
        <f t="shared" si="1"/>
        <v>11</v>
      </c>
      <c r="B22" s="594" t="s">
        <v>832</v>
      </c>
      <c r="C22" s="594">
        <v>264</v>
      </c>
      <c r="D22" s="595" t="s">
        <v>1024</v>
      </c>
      <c r="E22" s="595" t="s">
        <v>1035</v>
      </c>
      <c r="F22" s="596">
        <v>614913.86</v>
      </c>
      <c r="G22" s="597">
        <v>43780</v>
      </c>
      <c r="H22" s="593">
        <v>60</v>
      </c>
      <c r="I22" s="593">
        <f>1+12+12</f>
        <v>25</v>
      </c>
      <c r="J22" s="598">
        <v>230592.7</v>
      </c>
      <c r="K22" s="595" t="s">
        <v>1032</v>
      </c>
      <c r="L22" s="582"/>
      <c r="M22" s="582"/>
    </row>
    <row r="23" spans="1:13" ht="38.25" x14ac:dyDescent="0.2">
      <c r="A23" s="593">
        <f t="shared" si="1"/>
        <v>12</v>
      </c>
      <c r="B23" s="594" t="s">
        <v>832</v>
      </c>
      <c r="C23" s="594">
        <v>273</v>
      </c>
      <c r="D23" s="595" t="s">
        <v>1028</v>
      </c>
      <c r="E23" s="595" t="s">
        <v>1036</v>
      </c>
      <c r="F23" s="596">
        <v>1228689.3999999999</v>
      </c>
      <c r="G23" s="597">
        <v>42641</v>
      </c>
      <c r="H23" s="593">
        <v>60</v>
      </c>
      <c r="I23" s="593">
        <v>60</v>
      </c>
      <c r="J23" s="598">
        <v>1105820.46</v>
      </c>
      <c r="K23" s="595" t="s">
        <v>1032</v>
      </c>
      <c r="L23" s="582"/>
      <c r="M23" s="582"/>
    </row>
    <row r="24" spans="1:13" s="605" customFormat="1" ht="38.25" x14ac:dyDescent="0.2">
      <c r="A24" s="593">
        <f t="shared" si="1"/>
        <v>13</v>
      </c>
      <c r="B24" s="594" t="s">
        <v>832</v>
      </c>
      <c r="C24" s="594">
        <v>273</v>
      </c>
      <c r="D24" s="595" t="s">
        <v>1028</v>
      </c>
      <c r="E24" s="595" t="s">
        <v>1037</v>
      </c>
      <c r="F24" s="596">
        <v>3809282</v>
      </c>
      <c r="G24" s="597">
        <v>43134</v>
      </c>
      <c r="H24" s="593">
        <v>60</v>
      </c>
      <c r="I24" s="593">
        <f>10+12+12+12</f>
        <v>46</v>
      </c>
      <c r="J24" s="598">
        <v>2628404.58</v>
      </c>
      <c r="K24" s="595" t="s">
        <v>1032</v>
      </c>
    </row>
    <row r="25" spans="1:13" ht="25.5" x14ac:dyDescent="0.2">
      <c r="A25" s="593">
        <f t="shared" si="1"/>
        <v>14</v>
      </c>
      <c r="B25" s="594" t="s">
        <v>832</v>
      </c>
      <c r="C25" s="594">
        <v>273</v>
      </c>
      <c r="D25" s="595" t="s">
        <v>1028</v>
      </c>
      <c r="E25" s="595" t="s">
        <v>1038</v>
      </c>
      <c r="F25" s="596">
        <v>1000000</v>
      </c>
      <c r="G25" s="597">
        <v>42431</v>
      </c>
      <c r="H25" s="593">
        <v>60</v>
      </c>
      <c r="I25" s="593">
        <v>60</v>
      </c>
      <c r="J25" s="598">
        <v>900000</v>
      </c>
      <c r="K25" s="595" t="s">
        <v>1032</v>
      </c>
      <c r="L25" s="582"/>
      <c r="M25" s="582"/>
    </row>
    <row r="26" spans="1:13" ht="25.5" x14ac:dyDescent="0.2">
      <c r="A26" s="593">
        <f t="shared" si="1"/>
        <v>15</v>
      </c>
      <c r="B26" s="594" t="s">
        <v>832</v>
      </c>
      <c r="C26" s="594">
        <v>273</v>
      </c>
      <c r="D26" s="595" t="s">
        <v>1028</v>
      </c>
      <c r="E26" s="595" t="s">
        <v>1039</v>
      </c>
      <c r="F26" s="596">
        <v>593179.44999999995</v>
      </c>
      <c r="G26" s="597">
        <v>42431</v>
      </c>
      <c r="H26" s="593">
        <v>60</v>
      </c>
      <c r="I26" s="593">
        <v>60</v>
      </c>
      <c r="J26" s="598">
        <v>533861.51</v>
      </c>
      <c r="K26" s="595" t="s">
        <v>1032</v>
      </c>
      <c r="L26" s="582"/>
      <c r="M26" s="582"/>
    </row>
    <row r="27" spans="1:13" ht="25.5" x14ac:dyDescent="0.2">
      <c r="A27" s="593">
        <f t="shared" si="1"/>
        <v>16</v>
      </c>
      <c r="B27" s="594" t="s">
        <v>832</v>
      </c>
      <c r="C27" s="594">
        <v>273</v>
      </c>
      <c r="D27" s="595" t="s">
        <v>1028</v>
      </c>
      <c r="E27" s="595" t="s">
        <v>1040</v>
      </c>
      <c r="F27" s="596">
        <v>328407</v>
      </c>
      <c r="G27" s="597">
        <v>42660</v>
      </c>
      <c r="H27" s="593">
        <v>60</v>
      </c>
      <c r="I27" s="593">
        <v>60</v>
      </c>
      <c r="J27" s="598">
        <v>295566.3</v>
      </c>
      <c r="K27" s="595" t="s">
        <v>1032</v>
      </c>
      <c r="L27" s="582"/>
      <c r="M27" s="582"/>
    </row>
    <row r="28" spans="1:13" ht="25.5" x14ac:dyDescent="0.2">
      <c r="A28" s="593">
        <f t="shared" si="1"/>
        <v>17</v>
      </c>
      <c r="B28" s="594" t="s">
        <v>832</v>
      </c>
      <c r="C28" s="594">
        <v>273</v>
      </c>
      <c r="D28" s="595" t="s">
        <v>1028</v>
      </c>
      <c r="E28" s="595" t="s">
        <v>1041</v>
      </c>
      <c r="F28" s="596">
        <v>3593904.8</v>
      </c>
      <c r="G28" s="597">
        <v>43223</v>
      </c>
      <c r="H28" s="593">
        <v>60</v>
      </c>
      <c r="I28" s="593">
        <f>7+12+12+12</f>
        <v>43</v>
      </c>
      <c r="J28" s="598">
        <v>2318068.59</v>
      </c>
      <c r="K28" s="595" t="s">
        <v>1032</v>
      </c>
      <c r="L28" s="582"/>
      <c r="M28" s="582"/>
    </row>
    <row r="29" spans="1:13" s="605" customFormat="1" ht="25.5" x14ac:dyDescent="0.2">
      <c r="A29" s="593">
        <f t="shared" si="1"/>
        <v>18</v>
      </c>
      <c r="B29" s="594" t="s">
        <v>832</v>
      </c>
      <c r="C29" s="594">
        <v>273</v>
      </c>
      <c r="D29" s="595" t="s">
        <v>1028</v>
      </c>
      <c r="E29" s="595" t="s">
        <v>1042</v>
      </c>
      <c r="F29" s="596">
        <v>3695633.86</v>
      </c>
      <c r="G29" s="597">
        <v>42923</v>
      </c>
      <c r="H29" s="593">
        <v>60</v>
      </c>
      <c r="I29" s="593">
        <f>5+12+12+12+12</f>
        <v>53</v>
      </c>
      <c r="J29" s="598">
        <v>2938028.92</v>
      </c>
      <c r="K29" s="595" t="s">
        <v>1032</v>
      </c>
    </row>
    <row r="30" spans="1:13" ht="25.5" x14ac:dyDescent="0.2">
      <c r="A30" s="593">
        <f t="shared" si="1"/>
        <v>19</v>
      </c>
      <c r="B30" s="594" t="s">
        <v>832</v>
      </c>
      <c r="C30" s="594">
        <v>273</v>
      </c>
      <c r="D30" s="595" t="s">
        <v>1028</v>
      </c>
      <c r="E30" s="595" t="s">
        <v>1043</v>
      </c>
      <c r="F30" s="596">
        <v>1445157.2</v>
      </c>
      <c r="G30" s="597">
        <v>43049</v>
      </c>
      <c r="H30" s="593">
        <v>60</v>
      </c>
      <c r="I30" s="593">
        <f>1+12+12+12+12</f>
        <v>49</v>
      </c>
      <c r="J30" s="598">
        <v>1062190.54</v>
      </c>
      <c r="K30" s="595" t="s">
        <v>1032</v>
      </c>
      <c r="L30" s="582"/>
      <c r="M30" s="582"/>
    </row>
    <row r="31" spans="1:13" ht="25.5" x14ac:dyDescent="0.2">
      <c r="A31" s="593">
        <f t="shared" si="1"/>
        <v>20</v>
      </c>
      <c r="B31" s="594" t="s">
        <v>832</v>
      </c>
      <c r="C31" s="594">
        <v>273</v>
      </c>
      <c r="D31" s="595" t="s">
        <v>1028</v>
      </c>
      <c r="E31" s="595" t="s">
        <v>1044</v>
      </c>
      <c r="F31" s="596">
        <v>117900</v>
      </c>
      <c r="G31" s="597">
        <v>42653</v>
      </c>
      <c r="H31" s="593">
        <v>60</v>
      </c>
      <c r="I31" s="593">
        <v>60</v>
      </c>
      <c r="J31" s="598">
        <v>106110</v>
      </c>
      <c r="K31" s="595" t="s">
        <v>1032</v>
      </c>
      <c r="L31" s="582"/>
      <c r="M31" s="582"/>
    </row>
    <row r="32" spans="1:13" ht="38.25" x14ac:dyDescent="0.2">
      <c r="A32" s="593">
        <f t="shared" si="1"/>
        <v>21</v>
      </c>
      <c r="B32" s="594" t="s">
        <v>832</v>
      </c>
      <c r="C32" s="594">
        <v>264</v>
      </c>
      <c r="D32" s="595" t="s">
        <v>1024</v>
      </c>
      <c r="E32" s="595" t="s">
        <v>1045</v>
      </c>
      <c r="F32" s="596">
        <v>29927.279999999999</v>
      </c>
      <c r="G32" s="597">
        <v>44431</v>
      </c>
      <c r="H32" s="593">
        <v>60</v>
      </c>
      <c r="I32" s="593">
        <v>4</v>
      </c>
      <c r="J32" s="598">
        <v>1795.64</v>
      </c>
      <c r="K32" s="595" t="s">
        <v>1032</v>
      </c>
      <c r="L32" s="582"/>
      <c r="M32" s="582"/>
    </row>
    <row r="33" spans="1:13" s="605" customFormat="1" x14ac:dyDescent="0.2">
      <c r="A33" s="593"/>
      <c r="B33" s="599"/>
      <c r="C33" s="599"/>
      <c r="D33" s="600" t="s">
        <v>945</v>
      </c>
      <c r="E33" s="600"/>
      <c r="F33" s="601">
        <f>SUM(F18:F32)</f>
        <v>19394267.029999997</v>
      </c>
      <c r="G33" s="602"/>
      <c r="H33" s="603"/>
      <c r="I33" s="603"/>
      <c r="J33" s="604">
        <f>SUM(J18:J32)</f>
        <v>12258896.399999999</v>
      </c>
      <c r="K33" s="600"/>
    </row>
    <row r="34" spans="1:13" x14ac:dyDescent="0.2">
      <c r="A34" s="593"/>
      <c r="B34" s="594"/>
      <c r="C34" s="594"/>
      <c r="D34" s="595"/>
      <c r="E34" s="595"/>
      <c r="F34" s="596"/>
      <c r="G34" s="597"/>
      <c r="H34" s="593"/>
      <c r="I34" s="593"/>
      <c r="J34" s="598"/>
      <c r="K34" s="595"/>
      <c r="L34" s="582"/>
      <c r="M34" s="582"/>
    </row>
    <row r="35" spans="1:13" ht="25.5" x14ac:dyDescent="0.2">
      <c r="A35" s="593">
        <v>22</v>
      </c>
      <c r="B35" s="594" t="s">
        <v>832</v>
      </c>
      <c r="C35" s="594">
        <v>264</v>
      </c>
      <c r="D35" s="595" t="s">
        <v>1024</v>
      </c>
      <c r="E35" s="595" t="s">
        <v>1046</v>
      </c>
      <c r="F35" s="596">
        <v>354011.86</v>
      </c>
      <c r="G35" s="597">
        <v>42737</v>
      </c>
      <c r="H35" s="593">
        <v>60</v>
      </c>
      <c r="I35" s="593">
        <f>11+12+12+12+12</f>
        <v>59</v>
      </c>
      <c r="J35" s="598">
        <v>313300.5</v>
      </c>
      <c r="K35" s="595" t="s">
        <v>1047</v>
      </c>
      <c r="L35" s="582"/>
      <c r="M35" s="582"/>
    </row>
    <row r="36" spans="1:13" s="605" customFormat="1" x14ac:dyDescent="0.2">
      <c r="A36" s="593"/>
      <c r="B36" s="599"/>
      <c r="C36" s="599"/>
      <c r="D36" s="600" t="s">
        <v>945</v>
      </c>
      <c r="E36" s="600"/>
      <c r="F36" s="601">
        <f>SUM(F35)</f>
        <v>354011.86</v>
      </c>
      <c r="G36" s="602"/>
      <c r="H36" s="603"/>
      <c r="I36" s="603"/>
      <c r="J36" s="604">
        <f>SUM(J35)</f>
        <v>313300.5</v>
      </c>
      <c r="K36" s="600"/>
    </row>
    <row r="37" spans="1:13" x14ac:dyDescent="0.2">
      <c r="A37" s="593"/>
      <c r="B37" s="594"/>
      <c r="C37" s="594"/>
      <c r="D37" s="595"/>
      <c r="E37" s="595"/>
      <c r="F37" s="596"/>
      <c r="G37" s="597"/>
      <c r="H37" s="593"/>
      <c r="I37" s="593"/>
      <c r="J37" s="598"/>
      <c r="K37" s="595"/>
      <c r="L37" s="582"/>
      <c r="M37" s="582"/>
    </row>
    <row r="38" spans="1:13" ht="25.5" x14ac:dyDescent="0.2">
      <c r="A38" s="593">
        <v>23</v>
      </c>
      <c r="B38" s="594" t="s">
        <v>832</v>
      </c>
      <c r="C38" s="594">
        <v>267</v>
      </c>
      <c r="D38" s="595" t="s">
        <v>1048</v>
      </c>
      <c r="E38" s="595" t="s">
        <v>1049</v>
      </c>
      <c r="F38" s="596">
        <v>39085.07</v>
      </c>
      <c r="G38" s="597">
        <v>42535</v>
      </c>
      <c r="H38" s="593">
        <v>240</v>
      </c>
      <c r="I38" s="593">
        <v>60</v>
      </c>
      <c r="J38" s="598">
        <v>8794.14</v>
      </c>
      <c r="K38" s="595" t="s">
        <v>195</v>
      </c>
      <c r="L38" s="582"/>
      <c r="M38" s="582"/>
    </row>
    <row r="39" spans="1:13" ht="25.5" x14ac:dyDescent="0.2">
      <c r="A39" s="593">
        <v>24</v>
      </c>
      <c r="B39" s="594" t="s">
        <v>832</v>
      </c>
      <c r="C39" s="594">
        <v>267</v>
      </c>
      <c r="D39" s="595" t="s">
        <v>1048</v>
      </c>
      <c r="E39" s="595" t="s">
        <v>1050</v>
      </c>
      <c r="F39" s="596">
        <v>789737.05</v>
      </c>
      <c r="G39" s="597">
        <v>44032</v>
      </c>
      <c r="H39" s="593">
        <v>240</v>
      </c>
      <c r="I39" s="593">
        <f>5+12</f>
        <v>17</v>
      </c>
      <c r="J39" s="598">
        <v>50345.74</v>
      </c>
      <c r="K39" s="595" t="s">
        <v>195</v>
      </c>
      <c r="L39" s="582"/>
      <c r="M39" s="582"/>
    </row>
    <row r="40" spans="1:13" s="605" customFormat="1" x14ac:dyDescent="0.2">
      <c r="A40" s="593"/>
      <c r="B40" s="599"/>
      <c r="C40" s="599"/>
      <c r="D40" s="600" t="s">
        <v>945</v>
      </c>
      <c r="E40" s="600"/>
      <c r="F40" s="601">
        <f>SUM(F38:F39)</f>
        <v>828822.12</v>
      </c>
      <c r="G40" s="602"/>
      <c r="H40" s="603"/>
      <c r="I40" s="603"/>
      <c r="J40" s="604">
        <f>SUM(J38:J39)</f>
        <v>59139.88</v>
      </c>
      <c r="K40" s="600"/>
    </row>
    <row r="41" spans="1:13" x14ac:dyDescent="0.2">
      <c r="A41" s="593"/>
      <c r="B41" s="594"/>
      <c r="C41" s="594"/>
      <c r="D41" s="595"/>
      <c r="E41" s="595"/>
      <c r="F41" s="596"/>
      <c r="G41" s="597"/>
      <c r="H41" s="593"/>
      <c r="I41" s="593"/>
      <c r="J41" s="598"/>
      <c r="K41" s="595"/>
      <c r="L41" s="582"/>
      <c r="M41" s="582"/>
    </row>
    <row r="42" spans="1:13" s="605" customFormat="1" ht="38.25" x14ac:dyDescent="0.2">
      <c r="A42" s="593">
        <v>25</v>
      </c>
      <c r="B42" s="594" t="s">
        <v>832</v>
      </c>
      <c r="C42" s="594">
        <v>266</v>
      </c>
      <c r="D42" s="595" t="s">
        <v>1051</v>
      </c>
      <c r="E42" s="595" t="s">
        <v>1053</v>
      </c>
      <c r="F42" s="596">
        <v>19975730.120000001</v>
      </c>
      <c r="G42" s="597">
        <v>44477</v>
      </c>
      <c r="H42" s="593">
        <v>240</v>
      </c>
      <c r="I42" s="593">
        <v>2</v>
      </c>
      <c r="J42" s="598">
        <v>149817.98000000001</v>
      </c>
      <c r="K42" s="595" t="s">
        <v>1052</v>
      </c>
    </row>
    <row r="43" spans="1:13" s="605" customFormat="1" x14ac:dyDescent="0.2">
      <c r="A43" s="593"/>
      <c r="B43" s="599"/>
      <c r="C43" s="599"/>
      <c r="D43" s="600" t="s">
        <v>945</v>
      </c>
      <c r="E43" s="600"/>
      <c r="F43" s="601">
        <f>SUM(F42:F42)</f>
        <v>19975730.120000001</v>
      </c>
      <c r="G43" s="602"/>
      <c r="H43" s="603"/>
      <c r="I43" s="603"/>
      <c r="J43" s="604">
        <f>SUM(J42:J42)</f>
        <v>149817.98000000001</v>
      </c>
      <c r="K43" s="600"/>
    </row>
    <row r="44" spans="1:13" x14ac:dyDescent="0.2">
      <c r="A44" s="593"/>
      <c r="B44" s="594"/>
      <c r="C44" s="594"/>
      <c r="D44" s="595"/>
      <c r="E44" s="595"/>
      <c r="F44" s="596"/>
      <c r="G44" s="597"/>
      <c r="H44" s="593"/>
      <c r="I44" s="593"/>
      <c r="J44" s="598"/>
      <c r="K44" s="595"/>
      <c r="L44" s="582"/>
      <c r="M44" s="582"/>
    </row>
    <row r="45" spans="1:13" ht="38.25" x14ac:dyDescent="0.2">
      <c r="A45" s="593">
        <v>26</v>
      </c>
      <c r="B45" s="594" t="s">
        <v>832</v>
      </c>
      <c r="C45" s="594">
        <v>272</v>
      </c>
      <c r="D45" s="595" t="s">
        <v>1054</v>
      </c>
      <c r="E45" s="595" t="s">
        <v>1055</v>
      </c>
      <c r="F45" s="596">
        <v>1999371.74</v>
      </c>
      <c r="G45" s="597">
        <v>43726</v>
      </c>
      <c r="H45" s="593">
        <v>240</v>
      </c>
      <c r="I45" s="593">
        <f>3+12+12</f>
        <v>27</v>
      </c>
      <c r="J45" s="598">
        <v>202436.39</v>
      </c>
      <c r="K45" s="595" t="s">
        <v>1056</v>
      </c>
      <c r="L45" s="582"/>
      <c r="M45" s="582"/>
    </row>
    <row r="46" spans="1:13" s="605" customFormat="1" x14ac:dyDescent="0.2">
      <c r="A46" s="593"/>
      <c r="B46" s="599"/>
      <c r="C46" s="599"/>
      <c r="D46" s="600" t="s">
        <v>945</v>
      </c>
      <c r="E46" s="600"/>
      <c r="F46" s="601">
        <f>SUM(F45)</f>
        <v>1999371.74</v>
      </c>
      <c r="G46" s="602"/>
      <c r="H46" s="603"/>
      <c r="I46" s="603"/>
      <c r="J46" s="604">
        <f>SUM(J45)</f>
        <v>202436.39</v>
      </c>
      <c r="K46" s="600"/>
    </row>
    <row r="47" spans="1:13" x14ac:dyDescent="0.2">
      <c r="A47" s="593"/>
      <c r="B47" s="594"/>
      <c r="C47" s="594"/>
      <c r="D47" s="595"/>
      <c r="E47" s="595"/>
      <c r="F47" s="596"/>
      <c r="G47" s="597"/>
      <c r="H47" s="593"/>
      <c r="I47" s="593"/>
      <c r="J47" s="598"/>
      <c r="K47" s="595"/>
      <c r="L47" s="582"/>
      <c r="M47" s="582"/>
    </row>
    <row r="48" spans="1:13" s="605" customFormat="1" x14ac:dyDescent="0.2">
      <c r="A48" s="593"/>
      <c r="B48" s="599"/>
      <c r="C48" s="599"/>
      <c r="D48" s="600" t="s">
        <v>1057</v>
      </c>
      <c r="E48" s="600"/>
      <c r="F48" s="601">
        <f>F9+F16+F33+F36+F40+F43+F46</f>
        <v>48150151.590000004</v>
      </c>
      <c r="G48" s="602"/>
      <c r="H48" s="603"/>
      <c r="I48" s="603"/>
      <c r="J48" s="604">
        <f>J9+J16+J33+J36+J40+J43+J46</f>
        <v>14415121.930000002</v>
      </c>
      <c r="K48" s="600"/>
    </row>
    <row r="49" spans="1:13" x14ac:dyDescent="0.2">
      <c r="A49" s="593"/>
      <c r="B49" s="594"/>
      <c r="C49" s="594"/>
      <c r="D49" s="595"/>
      <c r="E49" s="595"/>
      <c r="F49" s="596"/>
      <c r="G49" s="597"/>
      <c r="H49" s="593"/>
      <c r="I49" s="593"/>
      <c r="J49" s="598"/>
      <c r="K49" s="595"/>
      <c r="L49" s="582"/>
      <c r="M49" s="582"/>
    </row>
    <row r="50" spans="1:13" x14ac:dyDescent="0.2">
      <c r="A50" s="593"/>
      <c r="B50" s="594"/>
      <c r="C50" s="594"/>
      <c r="D50" s="595"/>
      <c r="E50" s="595"/>
      <c r="F50" s="596"/>
      <c r="G50" s="597"/>
      <c r="H50" s="593"/>
      <c r="I50" s="593"/>
      <c r="J50" s="598"/>
      <c r="K50" s="595"/>
      <c r="L50" s="582"/>
      <c r="M50" s="582"/>
    </row>
    <row r="51" spans="1:13" s="605" customFormat="1" ht="38.25" x14ac:dyDescent="0.2">
      <c r="A51" s="593">
        <v>27</v>
      </c>
      <c r="B51" s="594" t="s">
        <v>8</v>
      </c>
      <c r="C51" s="594">
        <v>269</v>
      </c>
      <c r="D51" s="595" t="s">
        <v>1021</v>
      </c>
      <c r="E51" s="595" t="s">
        <v>1058</v>
      </c>
      <c r="F51" s="596">
        <v>175323.86</v>
      </c>
      <c r="G51" s="597">
        <v>43754</v>
      </c>
      <c r="H51" s="593">
        <v>240</v>
      </c>
      <c r="I51" s="593">
        <f>2+12+12</f>
        <v>26</v>
      </c>
      <c r="J51" s="598">
        <v>17094.080000000002</v>
      </c>
      <c r="K51" s="595" t="s">
        <v>1023</v>
      </c>
    </row>
    <row r="52" spans="1:13" s="605" customFormat="1" x14ac:dyDescent="0.2">
      <c r="A52" s="593"/>
      <c r="B52" s="599"/>
      <c r="C52" s="599"/>
      <c r="D52" s="600" t="s">
        <v>945</v>
      </c>
      <c r="E52" s="600"/>
      <c r="F52" s="601">
        <f>SUM(F51)</f>
        <v>175323.86</v>
      </c>
      <c r="G52" s="602"/>
      <c r="H52" s="603"/>
      <c r="I52" s="603"/>
      <c r="J52" s="604">
        <f>SUM(J51)</f>
        <v>17094.080000000002</v>
      </c>
      <c r="K52" s="600"/>
    </row>
    <row r="53" spans="1:13" s="605" customFormat="1" x14ac:dyDescent="0.2">
      <c r="A53" s="593"/>
      <c r="B53" s="594"/>
      <c r="C53" s="594"/>
      <c r="D53" s="595"/>
      <c r="E53" s="595"/>
      <c r="F53" s="596"/>
      <c r="G53" s="597"/>
      <c r="H53" s="593"/>
      <c r="I53" s="593"/>
      <c r="J53" s="598"/>
      <c r="K53" s="595"/>
    </row>
    <row r="54" spans="1:13" ht="25.5" x14ac:dyDescent="0.2">
      <c r="A54" s="593">
        <v>28</v>
      </c>
      <c r="B54" s="594" t="s">
        <v>8</v>
      </c>
      <c r="C54" s="594">
        <v>264</v>
      </c>
      <c r="D54" s="595" t="s">
        <v>1024</v>
      </c>
      <c r="E54" s="595" t="s">
        <v>1059</v>
      </c>
      <c r="F54" s="596">
        <v>177540</v>
      </c>
      <c r="G54" s="597">
        <v>42412</v>
      </c>
      <c r="H54" s="593">
        <v>120</v>
      </c>
      <c r="I54" s="593">
        <v>60</v>
      </c>
      <c r="J54" s="598">
        <v>79893</v>
      </c>
      <c r="K54" s="595" t="s">
        <v>1026</v>
      </c>
      <c r="L54" s="582"/>
      <c r="M54" s="582"/>
    </row>
    <row r="55" spans="1:13" ht="25.5" x14ac:dyDescent="0.2">
      <c r="A55" s="593">
        <f>A54+1</f>
        <v>29</v>
      </c>
      <c r="B55" s="594" t="s">
        <v>8</v>
      </c>
      <c r="C55" s="594">
        <v>264</v>
      </c>
      <c r="D55" s="595" t="s">
        <v>1024</v>
      </c>
      <c r="E55" s="595" t="s">
        <v>1060</v>
      </c>
      <c r="F55" s="596">
        <v>403748.93</v>
      </c>
      <c r="G55" s="597">
        <v>43689</v>
      </c>
      <c r="H55" s="593">
        <v>120</v>
      </c>
      <c r="I55" s="593">
        <f>4+12+12</f>
        <v>28</v>
      </c>
      <c r="J55" s="598">
        <v>84787.27</v>
      </c>
      <c r="K55" s="595" t="s">
        <v>1026</v>
      </c>
      <c r="L55" s="582"/>
      <c r="M55" s="582"/>
    </row>
    <row r="56" spans="1:13" ht="25.5" x14ac:dyDescent="0.2">
      <c r="A56" s="593">
        <f t="shared" ref="A56:A59" si="2">A55+1</f>
        <v>30</v>
      </c>
      <c r="B56" s="594" t="s">
        <v>8</v>
      </c>
      <c r="C56" s="594">
        <v>264</v>
      </c>
      <c r="D56" s="595" t="s">
        <v>1024</v>
      </c>
      <c r="E56" s="595" t="s">
        <v>1061</v>
      </c>
      <c r="F56" s="596">
        <v>781000.67</v>
      </c>
      <c r="G56" s="597">
        <v>43822</v>
      </c>
      <c r="H56" s="593">
        <v>120</v>
      </c>
      <c r="I56" s="593">
        <f>12+12</f>
        <v>24</v>
      </c>
      <c r="J56" s="598">
        <v>140580.12</v>
      </c>
      <c r="K56" s="595" t="s">
        <v>1026</v>
      </c>
      <c r="L56" s="582"/>
      <c r="M56" s="582"/>
    </row>
    <row r="57" spans="1:13" x14ac:dyDescent="0.2">
      <c r="A57" s="593">
        <f t="shared" si="2"/>
        <v>31</v>
      </c>
      <c r="B57" s="594" t="s">
        <v>8</v>
      </c>
      <c r="C57" s="594">
        <v>273</v>
      </c>
      <c r="D57" s="595" t="s">
        <v>1028</v>
      </c>
      <c r="E57" s="595" t="s">
        <v>1062</v>
      </c>
      <c r="F57" s="596">
        <v>8870</v>
      </c>
      <c r="G57" s="597">
        <v>42923</v>
      </c>
      <c r="H57" s="593">
        <v>120</v>
      </c>
      <c r="I57" s="593">
        <f>5+12+12+12+12</f>
        <v>53</v>
      </c>
      <c r="J57" s="598">
        <v>3525.83</v>
      </c>
      <c r="K57" s="595" t="s">
        <v>1026</v>
      </c>
      <c r="L57" s="582"/>
      <c r="M57" s="582"/>
    </row>
    <row r="58" spans="1:13" ht="25.5" x14ac:dyDescent="0.2">
      <c r="A58" s="593">
        <f t="shared" si="2"/>
        <v>32</v>
      </c>
      <c r="B58" s="594" t="s">
        <v>8</v>
      </c>
      <c r="C58" s="594">
        <v>273</v>
      </c>
      <c r="D58" s="595" t="s">
        <v>1028</v>
      </c>
      <c r="E58" s="595" t="s">
        <v>1063</v>
      </c>
      <c r="F58" s="596">
        <v>129850</v>
      </c>
      <c r="G58" s="597">
        <v>43700</v>
      </c>
      <c r="H58" s="593">
        <v>120</v>
      </c>
      <c r="I58" s="593">
        <f>4+12+12</f>
        <v>28</v>
      </c>
      <c r="J58" s="598">
        <v>27268.5</v>
      </c>
      <c r="K58" s="595" t="s">
        <v>1026</v>
      </c>
      <c r="L58" s="582"/>
      <c r="M58" s="582"/>
    </row>
    <row r="59" spans="1:13" ht="25.5" x14ac:dyDescent="0.2">
      <c r="A59" s="593">
        <f t="shared" si="2"/>
        <v>33</v>
      </c>
      <c r="B59" s="594" t="s">
        <v>8</v>
      </c>
      <c r="C59" s="594">
        <v>273</v>
      </c>
      <c r="D59" s="595" t="s">
        <v>1028</v>
      </c>
      <c r="E59" s="595" t="s">
        <v>1064</v>
      </c>
      <c r="F59" s="596">
        <v>495053.34</v>
      </c>
      <c r="G59" s="597">
        <v>43751</v>
      </c>
      <c r="H59" s="593">
        <v>120</v>
      </c>
      <c r="I59" s="593">
        <f>2+12+12</f>
        <v>26</v>
      </c>
      <c r="J59" s="598">
        <v>96535.4</v>
      </c>
      <c r="K59" s="595" t="s">
        <v>1026</v>
      </c>
      <c r="L59" s="582"/>
      <c r="M59" s="582"/>
    </row>
    <row r="60" spans="1:13" s="605" customFormat="1" x14ac:dyDescent="0.2">
      <c r="A60" s="593"/>
      <c r="B60" s="599"/>
      <c r="C60" s="599"/>
      <c r="D60" s="600" t="s">
        <v>945</v>
      </c>
      <c r="E60" s="600"/>
      <c r="F60" s="601">
        <f>SUM(F54:F59)</f>
        <v>1996062.9400000002</v>
      </c>
      <c r="G60" s="602"/>
      <c r="H60" s="603"/>
      <c r="I60" s="603"/>
      <c r="J60" s="604">
        <f>SUM(J54:J59)</f>
        <v>432590.12</v>
      </c>
      <c r="K60" s="600"/>
    </row>
    <row r="61" spans="1:13" x14ac:dyDescent="0.2">
      <c r="A61" s="593"/>
      <c r="B61" s="594"/>
      <c r="C61" s="594"/>
      <c r="D61" s="595"/>
      <c r="E61" s="595"/>
      <c r="F61" s="596"/>
      <c r="G61" s="597"/>
      <c r="H61" s="593"/>
      <c r="I61" s="593"/>
      <c r="J61" s="598"/>
      <c r="K61" s="595"/>
      <c r="L61" s="582"/>
      <c r="M61" s="582"/>
    </row>
    <row r="62" spans="1:13" ht="38.25" x14ac:dyDescent="0.2">
      <c r="A62" s="593">
        <v>34</v>
      </c>
      <c r="B62" s="594" t="s">
        <v>8</v>
      </c>
      <c r="C62" s="594">
        <v>273</v>
      </c>
      <c r="D62" s="595" t="s">
        <v>1028</v>
      </c>
      <c r="E62" s="595" t="s">
        <v>1065</v>
      </c>
      <c r="F62" s="596">
        <v>123946.5</v>
      </c>
      <c r="G62" s="597">
        <v>42885</v>
      </c>
      <c r="H62" s="593">
        <v>240</v>
      </c>
      <c r="I62" s="593">
        <f>7+12+12+12+12</f>
        <v>55</v>
      </c>
      <c r="J62" s="598">
        <v>25563.97</v>
      </c>
      <c r="K62" s="595" t="s">
        <v>1032</v>
      </c>
      <c r="L62" s="582"/>
      <c r="M62" s="582"/>
    </row>
    <row r="63" spans="1:13" s="605" customFormat="1" x14ac:dyDescent="0.2">
      <c r="A63" s="593"/>
      <c r="B63" s="599"/>
      <c r="C63" s="599"/>
      <c r="D63" s="600" t="s">
        <v>945</v>
      </c>
      <c r="E63" s="600"/>
      <c r="F63" s="601">
        <f>SUM(F62)</f>
        <v>123946.5</v>
      </c>
      <c r="G63" s="602"/>
      <c r="H63" s="603"/>
      <c r="I63" s="603"/>
      <c r="J63" s="604">
        <f>SUM(J62)</f>
        <v>25563.97</v>
      </c>
      <c r="K63" s="600"/>
    </row>
    <row r="64" spans="1:13" x14ac:dyDescent="0.2">
      <c r="A64" s="593"/>
      <c r="B64" s="594"/>
      <c r="C64" s="594"/>
      <c r="D64" s="595"/>
      <c r="E64" s="595"/>
      <c r="F64" s="596"/>
      <c r="G64" s="597"/>
      <c r="H64" s="593"/>
      <c r="I64" s="593"/>
      <c r="J64" s="598"/>
      <c r="K64" s="595"/>
      <c r="L64" s="582"/>
      <c r="M64" s="582"/>
    </row>
    <row r="65" spans="1:13" s="605" customFormat="1" ht="38.25" x14ac:dyDescent="0.2">
      <c r="A65" s="593">
        <v>35</v>
      </c>
      <c r="B65" s="594" t="s">
        <v>8</v>
      </c>
      <c r="C65" s="594">
        <v>264</v>
      </c>
      <c r="D65" s="595" t="s">
        <v>1024</v>
      </c>
      <c r="E65" s="595" t="s">
        <v>1066</v>
      </c>
      <c r="F65" s="596">
        <v>113013</v>
      </c>
      <c r="G65" s="597">
        <v>42766</v>
      </c>
      <c r="H65" s="593">
        <v>240</v>
      </c>
      <c r="I65" s="593">
        <f>11+12+12+12+12</f>
        <v>59</v>
      </c>
      <c r="J65" s="598">
        <v>25004.13</v>
      </c>
      <c r="K65" s="595" t="s">
        <v>1067</v>
      </c>
    </row>
    <row r="66" spans="1:13" ht="25.5" x14ac:dyDescent="0.2">
      <c r="A66" s="593">
        <f>A65+1</f>
        <v>36</v>
      </c>
      <c r="B66" s="594" t="s">
        <v>8</v>
      </c>
      <c r="C66" s="594">
        <v>264</v>
      </c>
      <c r="D66" s="595" t="s">
        <v>1024</v>
      </c>
      <c r="E66" s="595" t="s">
        <v>1068</v>
      </c>
      <c r="F66" s="596">
        <v>1012.07</v>
      </c>
      <c r="G66" s="597">
        <v>43133</v>
      </c>
      <c r="H66" s="593">
        <v>240</v>
      </c>
      <c r="I66" s="593">
        <f>10+12+12+12</f>
        <v>46</v>
      </c>
      <c r="J66" s="598">
        <v>174.58</v>
      </c>
      <c r="K66" s="595" t="s">
        <v>1067</v>
      </c>
      <c r="L66" s="582"/>
      <c r="M66" s="582"/>
    </row>
    <row r="67" spans="1:13" ht="38.25" x14ac:dyDescent="0.2">
      <c r="A67" s="593">
        <f t="shared" ref="A67:A68" si="3">A66+1</f>
        <v>37</v>
      </c>
      <c r="B67" s="594" t="s">
        <v>8</v>
      </c>
      <c r="C67" s="594">
        <v>264</v>
      </c>
      <c r="D67" s="595" t="s">
        <v>1024</v>
      </c>
      <c r="E67" s="595" t="s">
        <v>1069</v>
      </c>
      <c r="F67" s="596">
        <v>2185938.0699999998</v>
      </c>
      <c r="G67" s="597">
        <v>43731</v>
      </c>
      <c r="H67" s="593">
        <v>240</v>
      </c>
      <c r="I67" s="593">
        <f>3+12+12</f>
        <v>27</v>
      </c>
      <c r="J67" s="598">
        <v>221326.23</v>
      </c>
      <c r="K67" s="595" t="s">
        <v>1067</v>
      </c>
      <c r="L67" s="582"/>
      <c r="M67" s="582"/>
    </row>
    <row r="68" spans="1:13" ht="38.25" x14ac:dyDescent="0.2">
      <c r="A68" s="593">
        <f t="shared" si="3"/>
        <v>38</v>
      </c>
      <c r="B68" s="594" t="s">
        <v>8</v>
      </c>
      <c r="C68" s="594">
        <v>264</v>
      </c>
      <c r="D68" s="595" t="s">
        <v>1024</v>
      </c>
      <c r="E68" s="595" t="s">
        <v>1070</v>
      </c>
      <c r="F68" s="596">
        <v>488727.25</v>
      </c>
      <c r="G68" s="597">
        <v>43893</v>
      </c>
      <c r="H68" s="593">
        <v>240</v>
      </c>
      <c r="I68" s="593">
        <f>9+12</f>
        <v>21</v>
      </c>
      <c r="J68" s="598">
        <v>38487.269999999997</v>
      </c>
      <c r="K68" s="595" t="s">
        <v>1067</v>
      </c>
      <c r="L68" s="582"/>
      <c r="M68" s="582"/>
    </row>
    <row r="69" spans="1:13" s="605" customFormat="1" x14ac:dyDescent="0.2">
      <c r="A69" s="593"/>
      <c r="B69" s="599"/>
      <c r="C69" s="599"/>
      <c r="D69" s="600" t="s">
        <v>945</v>
      </c>
      <c r="E69" s="600"/>
      <c r="F69" s="601">
        <f>SUM(F65:F68)</f>
        <v>2788690.3899999997</v>
      </c>
      <c r="G69" s="602"/>
      <c r="H69" s="603"/>
      <c r="I69" s="603"/>
      <c r="J69" s="604">
        <f>SUM(J65:J68)</f>
        <v>284992.21000000002</v>
      </c>
      <c r="K69" s="600"/>
    </row>
    <row r="70" spans="1:13" x14ac:dyDescent="0.2">
      <c r="A70" s="593"/>
      <c r="B70" s="594"/>
      <c r="C70" s="594"/>
      <c r="D70" s="595"/>
      <c r="E70" s="595"/>
      <c r="F70" s="596"/>
      <c r="G70" s="597"/>
      <c r="H70" s="593"/>
      <c r="I70" s="593"/>
      <c r="J70" s="598"/>
      <c r="K70" s="595"/>
      <c r="L70" s="582"/>
      <c r="M70" s="582"/>
    </row>
    <row r="71" spans="1:13" s="605" customFormat="1" ht="38.25" x14ac:dyDescent="0.2">
      <c r="A71" s="593">
        <v>39</v>
      </c>
      <c r="B71" s="594" t="s">
        <v>8</v>
      </c>
      <c r="C71" s="594">
        <v>272</v>
      </c>
      <c r="D71" s="595" t="s">
        <v>1054</v>
      </c>
      <c r="E71" s="595" t="s">
        <v>1071</v>
      </c>
      <c r="F71" s="596">
        <v>485364.41</v>
      </c>
      <c r="G71" s="597">
        <v>43434</v>
      </c>
      <c r="H71" s="593">
        <v>240</v>
      </c>
      <c r="I71" s="593">
        <f>1+12+12+12</f>
        <v>37</v>
      </c>
      <c r="J71" s="598">
        <v>67344.31</v>
      </c>
      <c r="K71" s="595" t="s">
        <v>1056</v>
      </c>
    </row>
    <row r="72" spans="1:13" s="605" customFormat="1" x14ac:dyDescent="0.2">
      <c r="A72" s="593"/>
      <c r="B72" s="599"/>
      <c r="C72" s="599"/>
      <c r="D72" s="600" t="s">
        <v>945</v>
      </c>
      <c r="E72" s="600"/>
      <c r="F72" s="601">
        <f>SUM(F71)</f>
        <v>485364.41</v>
      </c>
      <c r="G72" s="602"/>
      <c r="H72" s="603"/>
      <c r="I72" s="603"/>
      <c r="J72" s="604">
        <f>SUM(J71)</f>
        <v>67344.31</v>
      </c>
      <c r="K72" s="600"/>
    </row>
    <row r="73" spans="1:13" s="605" customFormat="1" x14ac:dyDescent="0.2">
      <c r="A73" s="593"/>
      <c r="B73" s="594"/>
      <c r="C73" s="594"/>
      <c r="D73" s="600"/>
      <c r="E73" s="595"/>
      <c r="F73" s="596"/>
      <c r="G73" s="597"/>
      <c r="H73" s="593"/>
      <c r="I73" s="593"/>
      <c r="J73" s="598"/>
      <c r="K73" s="595"/>
    </row>
    <row r="74" spans="1:13" s="605" customFormat="1" x14ac:dyDescent="0.2">
      <c r="A74" s="593"/>
      <c r="B74" s="599"/>
      <c r="C74" s="599"/>
      <c r="D74" s="600" t="s">
        <v>1072</v>
      </c>
      <c r="E74" s="600"/>
      <c r="F74" s="601">
        <f>F52+F60+F63+F69+F72</f>
        <v>5569388.0999999996</v>
      </c>
      <c r="G74" s="602"/>
      <c r="H74" s="603"/>
      <c r="I74" s="603"/>
      <c r="J74" s="604">
        <f>J52+J60+J63+J69+J72</f>
        <v>827584.69000000018</v>
      </c>
      <c r="K74" s="600"/>
    </row>
    <row r="75" spans="1:13" s="605" customFormat="1" x14ac:dyDescent="0.2">
      <c r="A75" s="593"/>
      <c r="B75" s="594"/>
      <c r="C75" s="594"/>
      <c r="D75" s="595"/>
      <c r="E75" s="595"/>
      <c r="F75" s="596"/>
      <c r="G75" s="597"/>
      <c r="H75" s="593"/>
      <c r="I75" s="593"/>
      <c r="J75" s="598"/>
      <c r="K75" s="595"/>
    </row>
    <row r="76" spans="1:13" s="605" customFormat="1" x14ac:dyDescent="0.2">
      <c r="A76" s="593"/>
      <c r="B76" s="594"/>
      <c r="C76" s="594"/>
      <c r="D76" s="595"/>
      <c r="E76" s="595"/>
      <c r="F76" s="596"/>
      <c r="G76" s="597"/>
      <c r="H76" s="593"/>
      <c r="I76" s="593"/>
      <c r="J76" s="598"/>
      <c r="K76" s="595"/>
    </row>
    <row r="77" spans="1:13" ht="25.5" x14ac:dyDescent="0.2">
      <c r="A77" s="593">
        <v>40</v>
      </c>
      <c r="B77" s="594" t="s">
        <v>1073</v>
      </c>
      <c r="C77" s="594">
        <v>273</v>
      </c>
      <c r="D77" s="595" t="s">
        <v>1028</v>
      </c>
      <c r="E77" s="595" t="s">
        <v>1074</v>
      </c>
      <c r="F77" s="596">
        <v>45001</v>
      </c>
      <c r="G77" s="597">
        <v>43441</v>
      </c>
      <c r="H77" s="593">
        <v>60</v>
      </c>
      <c r="I77" s="593">
        <f>12+12+12</f>
        <v>36</v>
      </c>
      <c r="J77" s="598">
        <v>24300.54</v>
      </c>
      <c r="K77" s="595" t="s">
        <v>1032</v>
      </c>
      <c r="L77" s="582"/>
      <c r="M77" s="582"/>
    </row>
    <row r="78" spans="1:13" ht="25.5" x14ac:dyDescent="0.2">
      <c r="A78" s="593">
        <f t="shared" ref="A78:A80" si="4">A77+1</f>
        <v>41</v>
      </c>
      <c r="B78" s="594" t="s">
        <v>1073</v>
      </c>
      <c r="C78" s="594">
        <v>264</v>
      </c>
      <c r="D78" s="595" t="s">
        <v>1024</v>
      </c>
      <c r="E78" s="595" t="s">
        <v>1075</v>
      </c>
      <c r="F78" s="596">
        <v>1409337.41</v>
      </c>
      <c r="G78" s="597">
        <v>44144</v>
      </c>
      <c r="H78" s="593">
        <v>60</v>
      </c>
      <c r="I78" s="593">
        <f>1+12</f>
        <v>13</v>
      </c>
      <c r="J78" s="598">
        <v>274820.78999999998</v>
      </c>
      <c r="K78" s="595" t="s">
        <v>1032</v>
      </c>
      <c r="L78" s="582"/>
      <c r="M78" s="582"/>
    </row>
    <row r="79" spans="1:13" ht="25.5" x14ac:dyDescent="0.2">
      <c r="A79" s="593">
        <f t="shared" si="4"/>
        <v>42</v>
      </c>
      <c r="B79" s="594" t="s">
        <v>1073</v>
      </c>
      <c r="C79" s="594">
        <v>273</v>
      </c>
      <c r="D79" s="595" t="s">
        <v>1028</v>
      </c>
      <c r="E79" s="595" t="s">
        <v>1076</v>
      </c>
      <c r="F79" s="596">
        <v>32916.480000000003</v>
      </c>
      <c r="G79" s="597">
        <v>42988</v>
      </c>
      <c r="H79" s="593">
        <v>60</v>
      </c>
      <c r="I79" s="593">
        <f>3+12+12+12+12</f>
        <v>51</v>
      </c>
      <c r="J79" s="598">
        <v>25181.11</v>
      </c>
      <c r="K79" s="595" t="s">
        <v>1032</v>
      </c>
      <c r="L79" s="582"/>
      <c r="M79" s="582"/>
    </row>
    <row r="80" spans="1:13" ht="25.5" x14ac:dyDescent="0.2">
      <c r="A80" s="593">
        <f t="shared" si="4"/>
        <v>43</v>
      </c>
      <c r="B80" s="594" t="s">
        <v>1073</v>
      </c>
      <c r="C80" s="594">
        <v>273</v>
      </c>
      <c r="D80" s="595" t="s">
        <v>1028</v>
      </c>
      <c r="E80" s="595" t="s">
        <v>1077</v>
      </c>
      <c r="F80" s="596">
        <v>35597.39</v>
      </c>
      <c r="G80" s="597">
        <v>41785</v>
      </c>
      <c r="H80" s="593">
        <v>60</v>
      </c>
      <c r="I80" s="593">
        <v>60</v>
      </c>
      <c r="J80" s="598">
        <v>32037.65</v>
      </c>
      <c r="K80" s="595" t="s">
        <v>1032</v>
      </c>
      <c r="L80" s="582"/>
      <c r="M80" s="582"/>
    </row>
    <row r="81" spans="1:13" s="605" customFormat="1" x14ac:dyDescent="0.2">
      <c r="A81" s="593"/>
      <c r="B81" s="599"/>
      <c r="C81" s="599"/>
      <c r="D81" s="600" t="s">
        <v>1078</v>
      </c>
      <c r="E81" s="600"/>
      <c r="F81" s="601">
        <f>SUM(F77:F80)</f>
        <v>1522852.2799999998</v>
      </c>
      <c r="G81" s="602"/>
      <c r="H81" s="603"/>
      <c r="I81" s="603"/>
      <c r="J81" s="604">
        <f>SUM(J77:J80)</f>
        <v>356340.08999999997</v>
      </c>
      <c r="K81" s="600"/>
    </row>
    <row r="82" spans="1:13" x14ac:dyDescent="0.2">
      <c r="A82" s="593"/>
      <c r="B82" s="594"/>
      <c r="C82" s="594"/>
      <c r="D82" s="595"/>
      <c r="E82" s="595"/>
      <c r="F82" s="596"/>
      <c r="G82" s="597"/>
      <c r="H82" s="593"/>
      <c r="I82" s="593"/>
      <c r="J82" s="598"/>
      <c r="K82" s="595"/>
      <c r="L82" s="582"/>
      <c r="M82" s="582"/>
    </row>
    <row r="83" spans="1:13" s="605" customFormat="1" x14ac:dyDescent="0.2">
      <c r="A83" s="593"/>
      <c r="B83" s="599"/>
      <c r="C83" s="599"/>
      <c r="D83" s="600" t="s">
        <v>1079</v>
      </c>
      <c r="E83" s="600"/>
      <c r="F83" s="601">
        <f>F48+F74+F81</f>
        <v>55242391.970000006</v>
      </c>
      <c r="G83" s="602"/>
      <c r="H83" s="603"/>
      <c r="I83" s="603"/>
      <c r="J83" s="604">
        <f>J8+J11+J12+J13+J14+J15+J18+J19+J20+J21+J22+J23+J24+J25+J26+J27+J28+J29+J30+J31+J32+J35+J38+J39+J42+J45+J51+J54+J55+J56+J57+J58+J59+J62+J65+J66+J67+J68+J71+J77+J78+J79+J80</f>
        <v>15599046.710000001</v>
      </c>
      <c r="K83" s="600"/>
    </row>
  </sheetData>
  <sheetProtection algorithmName="SHA-512" hashValue="yarBsVoayCcaAf5mt8HJlWWz+GKYL4rswedf+5P/A05H/TuEcKQJi/L3uK8VRRXRN/Yk1DYLnTU/ZLIO4TRVPA==" saltValue="7lw7jsYllo0gfb2nWd+vqg==" spinCount="100000" sheet="1" objects="1" scenarios="1" selectLockedCells="1" selectUnlockedCells="1"/>
  <pageMargins left="0.55118110236220474" right="0.19685039370078741" top="0.74803149606299213" bottom="0.74803149606299213" header="0.31496062992125984" footer="0.31496062992125984"/>
  <pageSetup scale="7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26"/>
  <sheetViews>
    <sheetView zoomScaleNormal="100" workbookViewId="0"/>
  </sheetViews>
  <sheetFormatPr defaultColWidth="9.140625" defaultRowHeight="15.75" x14ac:dyDescent="0.25"/>
  <cols>
    <col min="1" max="1" width="4.42578125" style="367" bestFit="1" customWidth="1"/>
    <col min="2" max="2" width="27.5703125" style="367" bestFit="1" customWidth="1"/>
    <col min="3" max="3" width="12.42578125" style="367" bestFit="1" customWidth="1"/>
    <col min="4" max="4" width="17.140625" style="369" customWidth="1"/>
    <col min="5" max="16384" width="9.140625" style="367"/>
  </cols>
  <sheetData>
    <row r="1" spans="1:4" s="366" customFormat="1" x14ac:dyDescent="0.25">
      <c r="A1" s="366" t="s">
        <v>891</v>
      </c>
      <c r="D1" s="573" t="s">
        <v>1216</v>
      </c>
    </row>
    <row r="2" spans="1:4" s="366" customFormat="1" x14ac:dyDescent="0.25">
      <c r="A2" s="366" t="s">
        <v>927</v>
      </c>
    </row>
    <row r="3" spans="1:4" s="366" customFormat="1" x14ac:dyDescent="0.25"/>
    <row r="4" spans="1:4" s="366" customFormat="1" x14ac:dyDescent="0.25">
      <c r="A4" s="366" t="s">
        <v>1080</v>
      </c>
    </row>
    <row r="6" spans="1:4" x14ac:dyDescent="0.25">
      <c r="A6" s="689"/>
      <c r="B6" s="689"/>
      <c r="C6" s="689"/>
      <c r="D6" s="689"/>
    </row>
    <row r="7" spans="1:4" s="369" customFormat="1" x14ac:dyDescent="0.25">
      <c r="A7" s="368" t="s">
        <v>1011</v>
      </c>
      <c r="B7" s="368" t="s">
        <v>1081</v>
      </c>
      <c r="C7" s="368" t="s">
        <v>1082</v>
      </c>
      <c r="D7" s="368" t="s">
        <v>1083</v>
      </c>
    </row>
    <row r="8" spans="1:4" x14ac:dyDescent="0.25">
      <c r="A8" s="370">
        <v>1</v>
      </c>
      <c r="B8" s="370" t="s">
        <v>1084</v>
      </c>
      <c r="C8" s="370" t="s">
        <v>1085</v>
      </c>
      <c r="D8" s="371">
        <v>2010</v>
      </c>
    </row>
    <row r="9" spans="1:4" x14ac:dyDescent="0.25">
      <c r="A9" s="370">
        <v>2</v>
      </c>
      <c r="B9" s="370" t="s">
        <v>1086</v>
      </c>
      <c r="C9" s="370" t="s">
        <v>1087</v>
      </c>
      <c r="D9" s="371">
        <v>1993</v>
      </c>
    </row>
    <row r="10" spans="1:4" x14ac:dyDescent="0.25">
      <c r="A10" s="370">
        <v>3</v>
      </c>
      <c r="B10" s="370" t="s">
        <v>1088</v>
      </c>
      <c r="C10" s="370" t="s">
        <v>1085</v>
      </c>
      <c r="D10" s="371">
        <v>2000</v>
      </c>
    </row>
    <row r="11" spans="1:4" x14ac:dyDescent="0.25">
      <c r="A11" s="370">
        <v>4</v>
      </c>
      <c r="B11" s="370" t="s">
        <v>1089</v>
      </c>
      <c r="C11" s="370" t="s">
        <v>1085</v>
      </c>
      <c r="D11" s="371">
        <v>2001</v>
      </c>
    </row>
    <row r="12" spans="1:4" x14ac:dyDescent="0.25">
      <c r="A12" s="370">
        <v>5</v>
      </c>
      <c r="B12" s="370" t="s">
        <v>1090</v>
      </c>
      <c r="C12" s="370" t="s">
        <v>1085</v>
      </c>
      <c r="D12" s="371">
        <v>1993</v>
      </c>
    </row>
    <row r="13" spans="1:4" x14ac:dyDescent="0.25">
      <c r="A13" s="370">
        <v>6</v>
      </c>
      <c r="B13" s="370" t="s">
        <v>1091</v>
      </c>
      <c r="C13" s="370" t="s">
        <v>1085</v>
      </c>
      <c r="D13" s="371">
        <v>2000</v>
      </c>
    </row>
    <row r="14" spans="1:4" x14ac:dyDescent="0.25">
      <c r="A14" s="370">
        <v>7</v>
      </c>
      <c r="B14" s="370" t="s">
        <v>1092</v>
      </c>
      <c r="C14" s="370" t="s">
        <v>1085</v>
      </c>
      <c r="D14" s="371">
        <v>2002</v>
      </c>
    </row>
    <row r="15" spans="1:4" x14ac:dyDescent="0.25">
      <c r="A15" s="370">
        <v>8</v>
      </c>
      <c r="B15" s="370" t="s">
        <v>1093</v>
      </c>
      <c r="C15" s="370" t="s">
        <v>1085</v>
      </c>
      <c r="D15" s="371">
        <v>2007</v>
      </c>
    </row>
    <row r="16" spans="1:4" x14ac:dyDescent="0.25">
      <c r="A16" s="370">
        <v>9</v>
      </c>
      <c r="B16" s="370" t="s">
        <v>1094</v>
      </c>
      <c r="C16" s="370" t="s">
        <v>1085</v>
      </c>
      <c r="D16" s="371">
        <v>1991</v>
      </c>
    </row>
    <row r="17" spans="1:4" x14ac:dyDescent="0.25">
      <c r="A17" s="370">
        <v>10</v>
      </c>
      <c r="B17" s="370" t="s">
        <v>1095</v>
      </c>
      <c r="C17" s="370" t="s">
        <v>1085</v>
      </c>
      <c r="D17" s="371">
        <v>2007</v>
      </c>
    </row>
    <row r="18" spans="1:4" x14ac:dyDescent="0.25">
      <c r="A18" s="370">
        <v>11</v>
      </c>
      <c r="B18" s="370" t="s">
        <v>1096</v>
      </c>
      <c r="C18" s="370" t="s">
        <v>1087</v>
      </c>
      <c r="D18" s="371">
        <v>1999</v>
      </c>
    </row>
    <row r="19" spans="1:4" x14ac:dyDescent="0.25">
      <c r="A19" s="370">
        <v>12</v>
      </c>
      <c r="B19" s="370" t="s">
        <v>1097</v>
      </c>
      <c r="C19" s="370" t="s">
        <v>1085</v>
      </c>
      <c r="D19" s="371">
        <v>1996</v>
      </c>
    </row>
    <row r="20" spans="1:4" x14ac:dyDescent="0.25">
      <c r="A20" s="370">
        <v>13</v>
      </c>
      <c r="B20" s="370" t="s">
        <v>1098</v>
      </c>
      <c r="C20" s="370" t="s">
        <v>1085</v>
      </c>
      <c r="D20" s="371">
        <v>2008</v>
      </c>
    </row>
    <row r="21" spans="1:4" x14ac:dyDescent="0.25">
      <c r="A21" s="370">
        <v>14</v>
      </c>
      <c r="B21" s="370" t="s">
        <v>1099</v>
      </c>
      <c r="C21" s="370" t="s">
        <v>1085</v>
      </c>
      <c r="D21" s="371">
        <v>2012</v>
      </c>
    </row>
    <row r="22" spans="1:4" x14ac:dyDescent="0.25">
      <c r="A22" s="370">
        <v>15</v>
      </c>
      <c r="B22" s="370" t="s">
        <v>1100</v>
      </c>
      <c r="C22" s="370" t="s">
        <v>1085</v>
      </c>
      <c r="D22" s="371">
        <v>2004</v>
      </c>
    </row>
    <row r="23" spans="1:4" x14ac:dyDescent="0.25">
      <c r="A23" s="370">
        <v>16</v>
      </c>
      <c r="B23" s="370" t="s">
        <v>1101</v>
      </c>
      <c r="C23" s="370" t="s">
        <v>1087</v>
      </c>
      <c r="D23" s="371">
        <v>1993</v>
      </c>
    </row>
    <row r="24" spans="1:4" x14ac:dyDescent="0.25">
      <c r="A24" s="370">
        <v>17</v>
      </c>
      <c r="B24" s="370" t="s">
        <v>1102</v>
      </c>
      <c r="C24" s="370" t="s">
        <v>1087</v>
      </c>
      <c r="D24" s="371">
        <v>1993</v>
      </c>
    </row>
    <row r="25" spans="1:4" x14ac:dyDescent="0.25">
      <c r="A25" s="372">
        <v>18</v>
      </c>
      <c r="B25" s="372" t="s">
        <v>1103</v>
      </c>
      <c r="C25" s="372" t="s">
        <v>1085</v>
      </c>
      <c r="D25" s="373">
        <v>1998</v>
      </c>
    </row>
    <row r="26" spans="1:4" x14ac:dyDescent="0.25">
      <c r="A26" s="370">
        <v>19</v>
      </c>
      <c r="B26" s="370" t="s">
        <v>1104</v>
      </c>
      <c r="C26" s="370" t="s">
        <v>1085</v>
      </c>
      <c r="D26" s="371">
        <v>2007</v>
      </c>
    </row>
    <row r="27" spans="1:4" x14ac:dyDescent="0.25">
      <c r="A27" s="370">
        <v>20</v>
      </c>
      <c r="B27" s="370" t="s">
        <v>1105</v>
      </c>
      <c r="C27" s="370" t="s">
        <v>1085</v>
      </c>
      <c r="D27" s="371">
        <v>2004</v>
      </c>
    </row>
    <row r="28" spans="1:4" x14ac:dyDescent="0.25">
      <c r="A28" s="370">
        <v>21</v>
      </c>
      <c r="B28" s="370" t="s">
        <v>1106</v>
      </c>
      <c r="C28" s="370" t="s">
        <v>1085</v>
      </c>
      <c r="D28" s="371">
        <v>2009</v>
      </c>
    </row>
    <row r="29" spans="1:4" x14ac:dyDescent="0.25">
      <c r="A29" s="370">
        <v>22</v>
      </c>
      <c r="B29" s="370" t="s">
        <v>1107</v>
      </c>
      <c r="C29" s="370" t="s">
        <v>1085</v>
      </c>
      <c r="D29" s="371">
        <v>1996</v>
      </c>
    </row>
    <row r="30" spans="1:4" x14ac:dyDescent="0.25">
      <c r="A30" s="370">
        <v>23</v>
      </c>
      <c r="B30" s="370" t="s">
        <v>1108</v>
      </c>
      <c r="C30" s="370" t="s">
        <v>1085</v>
      </c>
      <c r="D30" s="371">
        <v>2008</v>
      </c>
    </row>
    <row r="31" spans="1:4" x14ac:dyDescent="0.25">
      <c r="A31" s="370">
        <v>24</v>
      </c>
      <c r="B31" s="370" t="s">
        <v>1109</v>
      </c>
      <c r="C31" s="370" t="s">
        <v>1085</v>
      </c>
      <c r="D31" s="371">
        <v>2007</v>
      </c>
    </row>
    <row r="32" spans="1:4" x14ac:dyDescent="0.25">
      <c r="A32" s="370">
        <v>25</v>
      </c>
      <c r="B32" s="370" t="s">
        <v>1110</v>
      </c>
      <c r="C32" s="370" t="s">
        <v>1085</v>
      </c>
      <c r="D32" s="371">
        <v>1990</v>
      </c>
    </row>
    <row r="33" spans="1:4" x14ac:dyDescent="0.25">
      <c r="A33" s="370">
        <v>26</v>
      </c>
      <c r="B33" s="370" t="s">
        <v>1111</v>
      </c>
      <c r="C33" s="370" t="s">
        <v>1085</v>
      </c>
      <c r="D33" s="371">
        <v>2007</v>
      </c>
    </row>
    <row r="34" spans="1:4" x14ac:dyDescent="0.25">
      <c r="A34" s="370">
        <v>27</v>
      </c>
      <c r="B34" s="370" t="s">
        <v>1112</v>
      </c>
      <c r="C34" s="370" t="s">
        <v>1085</v>
      </c>
      <c r="D34" s="371">
        <v>1992</v>
      </c>
    </row>
    <row r="35" spans="1:4" x14ac:dyDescent="0.25">
      <c r="A35" s="370">
        <v>28</v>
      </c>
      <c r="B35" s="370" t="s">
        <v>1113</v>
      </c>
      <c r="C35" s="370" t="s">
        <v>1085</v>
      </c>
      <c r="D35" s="371">
        <v>2009</v>
      </c>
    </row>
    <row r="36" spans="1:4" x14ac:dyDescent="0.25">
      <c r="A36" s="370">
        <v>29</v>
      </c>
      <c r="B36" s="370" t="s">
        <v>1114</v>
      </c>
      <c r="C36" s="370" t="s">
        <v>1085</v>
      </c>
      <c r="D36" s="371">
        <v>1998</v>
      </c>
    </row>
    <row r="37" spans="1:4" x14ac:dyDescent="0.25">
      <c r="A37" s="370">
        <v>30</v>
      </c>
      <c r="B37" s="370" t="s">
        <v>1115</v>
      </c>
      <c r="C37" s="370" t="s">
        <v>1085</v>
      </c>
      <c r="D37" s="371">
        <v>1992</v>
      </c>
    </row>
    <row r="38" spans="1:4" x14ac:dyDescent="0.25">
      <c r="A38" s="370">
        <v>31</v>
      </c>
      <c r="B38" s="370" t="s">
        <v>1116</v>
      </c>
      <c r="C38" s="370" t="s">
        <v>1085</v>
      </c>
      <c r="D38" s="371">
        <v>2009</v>
      </c>
    </row>
    <row r="39" spans="1:4" x14ac:dyDescent="0.25">
      <c r="A39" s="370">
        <v>32</v>
      </c>
      <c r="B39" s="370" t="s">
        <v>1117</v>
      </c>
      <c r="C39" s="370" t="s">
        <v>1087</v>
      </c>
      <c r="D39" s="371">
        <v>1986</v>
      </c>
    </row>
    <row r="40" spans="1:4" x14ac:dyDescent="0.25">
      <c r="A40" s="370">
        <v>33</v>
      </c>
      <c r="B40" s="370" t="s">
        <v>1118</v>
      </c>
      <c r="C40" s="370" t="s">
        <v>1085</v>
      </c>
      <c r="D40" s="371">
        <v>1993</v>
      </c>
    </row>
    <row r="41" spans="1:4" x14ac:dyDescent="0.25">
      <c r="A41" s="370">
        <v>34</v>
      </c>
      <c r="B41" s="370" t="s">
        <v>1119</v>
      </c>
      <c r="C41" s="370" t="s">
        <v>1085</v>
      </c>
      <c r="D41" s="371">
        <v>1984</v>
      </c>
    </row>
    <row r="42" spans="1:4" x14ac:dyDescent="0.25">
      <c r="A42" s="370">
        <v>35</v>
      </c>
      <c r="B42" s="370" t="s">
        <v>1120</v>
      </c>
      <c r="C42" s="370" t="s">
        <v>1087</v>
      </c>
      <c r="D42" s="371">
        <v>1987</v>
      </c>
    </row>
    <row r="43" spans="1:4" x14ac:dyDescent="0.25">
      <c r="A43" s="370">
        <v>36</v>
      </c>
      <c r="B43" s="370" t="s">
        <v>1121</v>
      </c>
      <c r="C43" s="370" t="s">
        <v>1085</v>
      </c>
      <c r="D43" s="371">
        <v>2008</v>
      </c>
    </row>
    <row r="44" spans="1:4" x14ac:dyDescent="0.25">
      <c r="A44" s="370">
        <v>37</v>
      </c>
      <c r="B44" s="370" t="s">
        <v>1122</v>
      </c>
      <c r="C44" s="370" t="s">
        <v>1085</v>
      </c>
      <c r="D44" s="371">
        <v>2007</v>
      </c>
    </row>
    <row r="45" spans="1:4" x14ac:dyDescent="0.25">
      <c r="A45" s="370">
        <v>38</v>
      </c>
      <c r="B45" s="370" t="s">
        <v>1123</v>
      </c>
      <c r="C45" s="370" t="s">
        <v>1087</v>
      </c>
      <c r="D45" s="371">
        <v>1993</v>
      </c>
    </row>
    <row r="46" spans="1:4" x14ac:dyDescent="0.25">
      <c r="A46" s="370">
        <v>39</v>
      </c>
      <c r="B46" s="370" t="s">
        <v>1124</v>
      </c>
      <c r="C46" s="370" t="s">
        <v>1087</v>
      </c>
      <c r="D46" s="371">
        <v>1990</v>
      </c>
    </row>
    <row r="47" spans="1:4" x14ac:dyDescent="0.25">
      <c r="A47" s="370">
        <v>40</v>
      </c>
      <c r="B47" s="370" t="s">
        <v>1125</v>
      </c>
      <c r="C47" s="370" t="s">
        <v>1085</v>
      </c>
      <c r="D47" s="371">
        <v>1998</v>
      </c>
    </row>
    <row r="48" spans="1:4" x14ac:dyDescent="0.25">
      <c r="A48" s="370">
        <v>41</v>
      </c>
      <c r="B48" s="370" t="s">
        <v>1126</v>
      </c>
      <c r="C48" s="370" t="s">
        <v>1085</v>
      </c>
      <c r="D48" s="371">
        <v>2001</v>
      </c>
    </row>
    <row r="49" spans="1:4" x14ac:dyDescent="0.25">
      <c r="A49" s="370">
        <v>42</v>
      </c>
      <c r="B49" s="370" t="s">
        <v>1127</v>
      </c>
      <c r="C49" s="370" t="s">
        <v>1085</v>
      </c>
      <c r="D49" s="371">
        <v>1994</v>
      </c>
    </row>
    <row r="50" spans="1:4" x14ac:dyDescent="0.25">
      <c r="A50" s="370">
        <v>43</v>
      </c>
      <c r="B50" s="370" t="s">
        <v>1128</v>
      </c>
      <c r="C50" s="370" t="s">
        <v>1085</v>
      </c>
      <c r="D50" s="371">
        <v>1992</v>
      </c>
    </row>
    <row r="51" spans="1:4" x14ac:dyDescent="0.25">
      <c r="A51" s="370">
        <v>44</v>
      </c>
      <c r="B51" s="370" t="s">
        <v>1129</v>
      </c>
      <c r="C51" s="370" t="s">
        <v>1087</v>
      </c>
      <c r="D51" s="371">
        <v>1996</v>
      </c>
    </row>
    <row r="52" spans="1:4" x14ac:dyDescent="0.25">
      <c r="A52" s="370">
        <v>45</v>
      </c>
      <c r="B52" s="370" t="s">
        <v>1130</v>
      </c>
      <c r="C52" s="370" t="s">
        <v>1085</v>
      </c>
      <c r="D52" s="371">
        <v>1991</v>
      </c>
    </row>
    <row r="53" spans="1:4" x14ac:dyDescent="0.25">
      <c r="A53" s="370">
        <v>46</v>
      </c>
      <c r="B53" s="370" t="s">
        <v>1131</v>
      </c>
      <c r="C53" s="370" t="s">
        <v>1085</v>
      </c>
      <c r="D53" s="371">
        <v>2002</v>
      </c>
    </row>
    <row r="54" spans="1:4" x14ac:dyDescent="0.25">
      <c r="A54" s="370">
        <v>47</v>
      </c>
      <c r="B54" s="370" t="s">
        <v>1132</v>
      </c>
      <c r="C54" s="370" t="s">
        <v>1087</v>
      </c>
      <c r="D54" s="371">
        <v>1993</v>
      </c>
    </row>
    <row r="55" spans="1:4" x14ac:dyDescent="0.25">
      <c r="A55" s="370">
        <v>48</v>
      </c>
      <c r="B55" s="370" t="s">
        <v>1133</v>
      </c>
      <c r="C55" s="370" t="s">
        <v>1085</v>
      </c>
      <c r="D55" s="371">
        <v>2007</v>
      </c>
    </row>
    <row r="56" spans="1:4" x14ac:dyDescent="0.25">
      <c r="A56" s="370">
        <v>49</v>
      </c>
      <c r="B56" s="370" t="s">
        <v>1134</v>
      </c>
      <c r="C56" s="370" t="s">
        <v>1085</v>
      </c>
      <c r="D56" s="371">
        <v>2004</v>
      </c>
    </row>
    <row r="57" spans="1:4" x14ac:dyDescent="0.25">
      <c r="A57" s="370">
        <v>50</v>
      </c>
      <c r="B57" s="370" t="s">
        <v>1135</v>
      </c>
      <c r="C57" s="370" t="s">
        <v>1085</v>
      </c>
      <c r="D57" s="371">
        <v>1992</v>
      </c>
    </row>
    <row r="58" spans="1:4" x14ac:dyDescent="0.25">
      <c r="A58" s="370">
        <v>51</v>
      </c>
      <c r="B58" s="370" t="s">
        <v>1136</v>
      </c>
      <c r="C58" s="370" t="s">
        <v>1085</v>
      </c>
      <c r="D58" s="371">
        <v>1982</v>
      </c>
    </row>
    <row r="59" spans="1:4" x14ac:dyDescent="0.25">
      <c r="A59" s="370">
        <v>52</v>
      </c>
      <c r="B59" s="370" t="s">
        <v>1137</v>
      </c>
      <c r="C59" s="370" t="s">
        <v>1085</v>
      </c>
      <c r="D59" s="371">
        <v>1996</v>
      </c>
    </row>
    <row r="60" spans="1:4" x14ac:dyDescent="0.25">
      <c r="A60" s="370">
        <v>53</v>
      </c>
      <c r="B60" s="370" t="s">
        <v>1138</v>
      </c>
      <c r="C60" s="370" t="s">
        <v>1085</v>
      </c>
      <c r="D60" s="371">
        <v>1993</v>
      </c>
    </row>
    <row r="61" spans="1:4" x14ac:dyDescent="0.25">
      <c r="A61" s="370">
        <v>54</v>
      </c>
      <c r="B61" s="370" t="s">
        <v>1139</v>
      </c>
      <c r="C61" s="370" t="s">
        <v>1087</v>
      </c>
      <c r="D61" s="371">
        <v>1996</v>
      </c>
    </row>
    <row r="62" spans="1:4" x14ac:dyDescent="0.25">
      <c r="A62" s="370">
        <v>55</v>
      </c>
      <c r="B62" s="370" t="s">
        <v>1140</v>
      </c>
      <c r="C62" s="370" t="s">
        <v>1087</v>
      </c>
      <c r="D62" s="371">
        <v>1993</v>
      </c>
    </row>
    <row r="63" spans="1:4" x14ac:dyDescent="0.25">
      <c r="A63" s="370">
        <v>56</v>
      </c>
      <c r="B63" s="370" t="s">
        <v>1141</v>
      </c>
      <c r="C63" s="370" t="s">
        <v>1087</v>
      </c>
      <c r="D63" s="371">
        <v>1993</v>
      </c>
    </row>
    <row r="64" spans="1:4" x14ac:dyDescent="0.25">
      <c r="A64" s="370">
        <v>57</v>
      </c>
      <c r="B64" s="370" t="s">
        <v>1142</v>
      </c>
      <c r="C64" s="370" t="s">
        <v>1085</v>
      </c>
      <c r="D64" s="371">
        <v>2007</v>
      </c>
    </row>
    <row r="65" spans="1:4" x14ac:dyDescent="0.25">
      <c r="A65" s="370">
        <v>58</v>
      </c>
      <c r="B65" s="370" t="s">
        <v>1143</v>
      </c>
      <c r="C65" s="370" t="s">
        <v>1085</v>
      </c>
      <c r="D65" s="371">
        <v>2007</v>
      </c>
    </row>
    <row r="66" spans="1:4" x14ac:dyDescent="0.25">
      <c r="A66" s="370">
        <v>59</v>
      </c>
      <c r="B66" s="370" t="s">
        <v>1144</v>
      </c>
      <c r="C66" s="370" t="s">
        <v>1085</v>
      </c>
      <c r="D66" s="371">
        <v>2002</v>
      </c>
    </row>
    <row r="67" spans="1:4" x14ac:dyDescent="0.25">
      <c r="A67" s="370">
        <v>60</v>
      </c>
      <c r="B67" s="370" t="s">
        <v>1145</v>
      </c>
      <c r="C67" s="370" t="s">
        <v>1085</v>
      </c>
      <c r="D67" s="371">
        <v>2007</v>
      </c>
    </row>
    <row r="68" spans="1:4" x14ac:dyDescent="0.25">
      <c r="A68" s="370">
        <v>61</v>
      </c>
      <c r="B68" s="370" t="s">
        <v>1146</v>
      </c>
      <c r="C68" s="370" t="s">
        <v>1085</v>
      </c>
      <c r="D68" s="371">
        <v>2002</v>
      </c>
    </row>
    <row r="69" spans="1:4" x14ac:dyDescent="0.25">
      <c r="A69" s="370">
        <v>62</v>
      </c>
      <c r="B69" s="370" t="s">
        <v>1147</v>
      </c>
      <c r="C69" s="370" t="s">
        <v>1085</v>
      </c>
      <c r="D69" s="371">
        <v>1992</v>
      </c>
    </row>
    <row r="70" spans="1:4" x14ac:dyDescent="0.25">
      <c r="A70" s="370">
        <v>63</v>
      </c>
      <c r="B70" s="370" t="s">
        <v>1148</v>
      </c>
      <c r="C70" s="370" t="s">
        <v>1085</v>
      </c>
      <c r="D70" s="371">
        <v>2004</v>
      </c>
    </row>
    <row r="71" spans="1:4" x14ac:dyDescent="0.25">
      <c r="A71" s="370">
        <v>64</v>
      </c>
      <c r="B71" s="370" t="s">
        <v>1149</v>
      </c>
      <c r="C71" s="370" t="s">
        <v>1085</v>
      </c>
      <c r="D71" s="371">
        <v>2005</v>
      </c>
    </row>
    <row r="72" spans="1:4" x14ac:dyDescent="0.25">
      <c r="A72" s="370">
        <v>65</v>
      </c>
      <c r="B72" s="370" t="s">
        <v>1150</v>
      </c>
      <c r="C72" s="370" t="s">
        <v>1087</v>
      </c>
      <c r="D72" s="371">
        <v>1993</v>
      </c>
    </row>
    <row r="73" spans="1:4" x14ac:dyDescent="0.25">
      <c r="A73" s="370">
        <v>66</v>
      </c>
      <c r="B73" s="370" t="s">
        <v>1151</v>
      </c>
      <c r="C73" s="370" t="s">
        <v>1087</v>
      </c>
      <c r="D73" s="371">
        <v>1993</v>
      </c>
    </row>
    <row r="74" spans="1:4" x14ac:dyDescent="0.25">
      <c r="A74" s="370">
        <v>67</v>
      </c>
      <c r="B74" s="370" t="s">
        <v>1152</v>
      </c>
      <c r="C74" s="370" t="s">
        <v>1085</v>
      </c>
      <c r="D74" s="371">
        <v>1990</v>
      </c>
    </row>
    <row r="75" spans="1:4" x14ac:dyDescent="0.25">
      <c r="A75" s="370">
        <v>68</v>
      </c>
      <c r="B75" s="370" t="s">
        <v>1153</v>
      </c>
      <c r="C75" s="370" t="s">
        <v>1085</v>
      </c>
      <c r="D75" s="371">
        <v>2002</v>
      </c>
    </row>
    <row r="76" spans="1:4" x14ac:dyDescent="0.25">
      <c r="A76" s="370">
        <v>69</v>
      </c>
      <c r="B76" s="370" t="s">
        <v>1154</v>
      </c>
      <c r="C76" s="370" t="s">
        <v>1085</v>
      </c>
      <c r="D76" s="371">
        <v>2003</v>
      </c>
    </row>
    <row r="77" spans="1:4" x14ac:dyDescent="0.25">
      <c r="A77" s="370">
        <v>70</v>
      </c>
      <c r="B77" s="370" t="s">
        <v>1155</v>
      </c>
      <c r="C77" s="370" t="s">
        <v>1087</v>
      </c>
      <c r="D77" s="371">
        <v>2003</v>
      </c>
    </row>
    <row r="78" spans="1:4" x14ac:dyDescent="0.25">
      <c r="A78" s="370">
        <v>71</v>
      </c>
      <c r="B78" s="370" t="s">
        <v>1156</v>
      </c>
      <c r="C78" s="370" t="s">
        <v>1085</v>
      </c>
      <c r="D78" s="371">
        <v>2000</v>
      </c>
    </row>
    <row r="79" spans="1:4" x14ac:dyDescent="0.25">
      <c r="A79" s="370">
        <v>72</v>
      </c>
      <c r="B79" s="370" t="s">
        <v>1157</v>
      </c>
      <c r="C79" s="370" t="s">
        <v>1085</v>
      </c>
      <c r="D79" s="371">
        <v>2009</v>
      </c>
    </row>
    <row r="80" spans="1:4" x14ac:dyDescent="0.25">
      <c r="A80" s="370">
        <v>73</v>
      </c>
      <c r="B80" s="370" t="s">
        <v>1158</v>
      </c>
      <c r="C80" s="370" t="s">
        <v>1085</v>
      </c>
      <c r="D80" s="371">
        <v>1990</v>
      </c>
    </row>
    <row r="81" spans="1:4" x14ac:dyDescent="0.25">
      <c r="A81" s="370">
        <v>74</v>
      </c>
      <c r="B81" s="370" t="s">
        <v>1159</v>
      </c>
      <c r="C81" s="370" t="s">
        <v>1160</v>
      </c>
      <c r="D81" s="371">
        <v>2000</v>
      </c>
    </row>
    <row r="82" spans="1:4" x14ac:dyDescent="0.25">
      <c r="A82" s="370">
        <v>75</v>
      </c>
      <c r="B82" s="370" t="s">
        <v>1161</v>
      </c>
      <c r="C82" s="370" t="s">
        <v>1085</v>
      </c>
      <c r="D82" s="371">
        <v>1993</v>
      </c>
    </row>
    <row r="83" spans="1:4" x14ac:dyDescent="0.25">
      <c r="A83" s="370">
        <v>76</v>
      </c>
      <c r="B83" s="370" t="s">
        <v>1162</v>
      </c>
      <c r="C83" s="370" t="s">
        <v>1087</v>
      </c>
      <c r="D83" s="371">
        <v>1987</v>
      </c>
    </row>
    <row r="84" spans="1:4" x14ac:dyDescent="0.25">
      <c r="A84" s="370">
        <v>77</v>
      </c>
      <c r="B84" s="370" t="s">
        <v>1163</v>
      </c>
      <c r="C84" s="370" t="s">
        <v>1085</v>
      </c>
      <c r="D84" s="371">
        <v>2007</v>
      </c>
    </row>
    <row r="85" spans="1:4" x14ac:dyDescent="0.25">
      <c r="A85" s="370">
        <v>78</v>
      </c>
      <c r="B85" s="370" t="s">
        <v>1164</v>
      </c>
      <c r="C85" s="370" t="s">
        <v>1085</v>
      </c>
      <c r="D85" s="371">
        <v>2009</v>
      </c>
    </row>
    <row r="86" spans="1:4" x14ac:dyDescent="0.25">
      <c r="A86" s="370">
        <v>79</v>
      </c>
      <c r="B86" s="370" t="s">
        <v>1165</v>
      </c>
      <c r="C86" s="370" t="s">
        <v>1087</v>
      </c>
      <c r="D86" s="371">
        <v>1977</v>
      </c>
    </row>
    <row r="87" spans="1:4" x14ac:dyDescent="0.25">
      <c r="A87" s="370">
        <v>80</v>
      </c>
      <c r="B87" s="370" t="s">
        <v>1166</v>
      </c>
      <c r="C87" s="370" t="s">
        <v>1085</v>
      </c>
      <c r="D87" s="371">
        <v>2006</v>
      </c>
    </row>
    <row r="88" spans="1:4" x14ac:dyDescent="0.25">
      <c r="A88" s="370">
        <v>81</v>
      </c>
      <c r="B88" s="370" t="s">
        <v>1167</v>
      </c>
      <c r="C88" s="370" t="s">
        <v>1087</v>
      </c>
      <c r="D88" s="371">
        <v>1980</v>
      </c>
    </row>
    <row r="89" spans="1:4" x14ac:dyDescent="0.25">
      <c r="A89" s="370">
        <v>82</v>
      </c>
      <c r="B89" s="370" t="s">
        <v>1168</v>
      </c>
      <c r="C89" s="370" t="s">
        <v>1087</v>
      </c>
      <c r="D89" s="371">
        <v>1980</v>
      </c>
    </row>
    <row r="90" spans="1:4" x14ac:dyDescent="0.25">
      <c r="A90" s="370">
        <v>83</v>
      </c>
      <c r="B90" s="370" t="s">
        <v>1169</v>
      </c>
      <c r="C90" s="370" t="s">
        <v>1085</v>
      </c>
      <c r="D90" s="371">
        <v>2004</v>
      </c>
    </row>
    <row r="91" spans="1:4" x14ac:dyDescent="0.25">
      <c r="A91" s="370">
        <v>84</v>
      </c>
      <c r="B91" s="370" t="s">
        <v>1170</v>
      </c>
      <c r="C91" s="370" t="s">
        <v>1085</v>
      </c>
      <c r="D91" s="371">
        <v>1999</v>
      </c>
    </row>
    <row r="92" spans="1:4" x14ac:dyDescent="0.25">
      <c r="A92" s="370">
        <v>85</v>
      </c>
      <c r="B92" s="370" t="s">
        <v>1171</v>
      </c>
      <c r="C92" s="370" t="s">
        <v>1085</v>
      </c>
      <c r="D92" s="371">
        <v>2004</v>
      </c>
    </row>
    <row r="93" spans="1:4" x14ac:dyDescent="0.25">
      <c r="A93" s="370">
        <v>86</v>
      </c>
      <c r="B93" s="370" t="s">
        <v>1172</v>
      </c>
      <c r="C93" s="370" t="s">
        <v>1087</v>
      </c>
      <c r="D93" s="371">
        <v>1977</v>
      </c>
    </row>
    <row r="94" spans="1:4" x14ac:dyDescent="0.25">
      <c r="A94" s="370">
        <v>87</v>
      </c>
      <c r="B94" s="370" t="s">
        <v>1173</v>
      </c>
      <c r="C94" s="370" t="s">
        <v>1085</v>
      </c>
      <c r="D94" s="371">
        <v>1987</v>
      </c>
    </row>
    <row r="95" spans="1:4" x14ac:dyDescent="0.25">
      <c r="A95" s="370">
        <v>88</v>
      </c>
      <c r="B95" s="370" t="s">
        <v>1174</v>
      </c>
      <c r="C95" s="370" t="s">
        <v>1085</v>
      </c>
      <c r="D95" s="371">
        <v>2003</v>
      </c>
    </row>
    <row r="96" spans="1:4" x14ac:dyDescent="0.25">
      <c r="A96" s="370">
        <v>89</v>
      </c>
      <c r="B96" s="370" t="s">
        <v>1175</v>
      </c>
      <c r="C96" s="370" t="s">
        <v>1085</v>
      </c>
      <c r="D96" s="371">
        <v>2009</v>
      </c>
    </row>
    <row r="97" spans="1:4" x14ac:dyDescent="0.25">
      <c r="A97" s="370">
        <v>90</v>
      </c>
      <c r="B97" s="370" t="s">
        <v>1176</v>
      </c>
      <c r="C97" s="370" t="s">
        <v>1085</v>
      </c>
      <c r="D97" s="371">
        <v>1991</v>
      </c>
    </row>
    <row r="98" spans="1:4" x14ac:dyDescent="0.25">
      <c r="A98" s="370">
        <v>91</v>
      </c>
      <c r="B98" s="370" t="s">
        <v>1177</v>
      </c>
      <c r="C98" s="370" t="s">
        <v>1085</v>
      </c>
      <c r="D98" s="371">
        <v>1989</v>
      </c>
    </row>
    <row r="99" spans="1:4" x14ac:dyDescent="0.25">
      <c r="A99" s="370">
        <v>92</v>
      </c>
      <c r="B99" s="370" t="s">
        <v>1178</v>
      </c>
      <c r="C99" s="370" t="s">
        <v>1085</v>
      </c>
      <c r="D99" s="371">
        <v>2002</v>
      </c>
    </row>
    <row r="100" spans="1:4" x14ac:dyDescent="0.25">
      <c r="A100" s="370">
        <v>93</v>
      </c>
      <c r="B100" s="370" t="s">
        <v>1179</v>
      </c>
      <c r="C100" s="370" t="s">
        <v>1085</v>
      </c>
      <c r="D100" s="371">
        <v>1993</v>
      </c>
    </row>
    <row r="101" spans="1:4" x14ac:dyDescent="0.25">
      <c r="A101" s="370">
        <v>94</v>
      </c>
      <c r="B101" s="370" t="s">
        <v>1180</v>
      </c>
      <c r="C101" s="370" t="s">
        <v>1085</v>
      </c>
      <c r="D101" s="371">
        <v>1998</v>
      </c>
    </row>
    <row r="102" spans="1:4" x14ac:dyDescent="0.25">
      <c r="A102" s="370">
        <v>95</v>
      </c>
      <c r="B102" s="370" t="s">
        <v>1181</v>
      </c>
      <c r="C102" s="370" t="s">
        <v>1182</v>
      </c>
      <c r="D102" s="371">
        <v>2019</v>
      </c>
    </row>
    <row r="103" spans="1:4" x14ac:dyDescent="0.25">
      <c r="A103" s="370">
        <v>96</v>
      </c>
      <c r="B103" s="370" t="s">
        <v>1183</v>
      </c>
      <c r="C103" s="370" t="s">
        <v>1182</v>
      </c>
      <c r="D103" s="371">
        <v>2008</v>
      </c>
    </row>
    <row r="104" spans="1:4" x14ac:dyDescent="0.25">
      <c r="A104" s="370">
        <v>97</v>
      </c>
      <c r="B104" s="370" t="s">
        <v>1184</v>
      </c>
      <c r="C104" s="370" t="s">
        <v>1185</v>
      </c>
      <c r="D104" s="371">
        <v>2019</v>
      </c>
    </row>
    <row r="105" spans="1:4" x14ac:dyDescent="0.25">
      <c r="A105" s="370">
        <v>98</v>
      </c>
      <c r="B105" s="370" t="s">
        <v>1186</v>
      </c>
      <c r="C105" s="370" t="s">
        <v>1182</v>
      </c>
      <c r="D105" s="371">
        <v>2009</v>
      </c>
    </row>
    <row r="106" spans="1:4" x14ac:dyDescent="0.25">
      <c r="A106" s="370">
        <v>99</v>
      </c>
      <c r="B106" s="370" t="s">
        <v>1187</v>
      </c>
      <c r="C106" s="370" t="s">
        <v>1185</v>
      </c>
      <c r="D106" s="371">
        <v>2019</v>
      </c>
    </row>
    <row r="107" spans="1:4" x14ac:dyDescent="0.25">
      <c r="A107" s="370">
        <v>100</v>
      </c>
      <c r="B107" s="370" t="s">
        <v>1188</v>
      </c>
      <c r="C107" s="370" t="s">
        <v>1182</v>
      </c>
      <c r="D107" s="371">
        <v>2018</v>
      </c>
    </row>
    <row r="108" spans="1:4" x14ac:dyDescent="0.25">
      <c r="A108" s="370">
        <v>101</v>
      </c>
      <c r="B108" s="370" t="s">
        <v>1189</v>
      </c>
      <c r="C108" s="370" t="s">
        <v>1085</v>
      </c>
      <c r="D108" s="371">
        <v>2004</v>
      </c>
    </row>
    <row r="109" spans="1:4" x14ac:dyDescent="0.25">
      <c r="A109" s="370">
        <v>102</v>
      </c>
      <c r="B109" s="370" t="s">
        <v>1190</v>
      </c>
      <c r="C109" s="370" t="s">
        <v>1085</v>
      </c>
      <c r="D109" s="371">
        <v>2019</v>
      </c>
    </row>
    <row r="110" spans="1:4" x14ac:dyDescent="0.25">
      <c r="A110" s="370">
        <v>103</v>
      </c>
      <c r="B110" s="370" t="s">
        <v>1191</v>
      </c>
      <c r="C110" s="370" t="s">
        <v>1185</v>
      </c>
      <c r="D110" s="371">
        <v>2021</v>
      </c>
    </row>
    <row r="111" spans="1:4" x14ac:dyDescent="0.25">
      <c r="A111" s="370">
        <v>104</v>
      </c>
      <c r="B111" s="370" t="s">
        <v>1192</v>
      </c>
      <c r="C111" s="370" t="s">
        <v>1185</v>
      </c>
      <c r="D111" s="371">
        <v>2019</v>
      </c>
    </row>
    <row r="112" spans="1:4" x14ac:dyDescent="0.25">
      <c r="A112" s="370">
        <v>105</v>
      </c>
      <c r="B112" s="370" t="s">
        <v>1193</v>
      </c>
      <c r="C112" s="370" t="s">
        <v>1185</v>
      </c>
      <c r="D112" s="371">
        <v>2019</v>
      </c>
    </row>
    <row r="113" spans="1:4" x14ac:dyDescent="0.25">
      <c r="A113" s="370">
        <v>106</v>
      </c>
      <c r="B113" s="370" t="s">
        <v>1194</v>
      </c>
      <c r="C113" s="370" t="s">
        <v>1182</v>
      </c>
      <c r="D113" s="371">
        <v>2019</v>
      </c>
    </row>
    <row r="114" spans="1:4" x14ac:dyDescent="0.25">
      <c r="A114" s="370">
        <v>107</v>
      </c>
      <c r="B114" s="370" t="s">
        <v>1195</v>
      </c>
      <c r="C114" s="370" t="s">
        <v>1185</v>
      </c>
      <c r="D114" s="371">
        <v>2019</v>
      </c>
    </row>
    <row r="115" spans="1:4" x14ac:dyDescent="0.25">
      <c r="A115" s="370">
        <v>108</v>
      </c>
      <c r="B115" s="370" t="s">
        <v>1196</v>
      </c>
      <c r="C115" s="370" t="s">
        <v>1185</v>
      </c>
      <c r="D115" s="371">
        <v>2019</v>
      </c>
    </row>
    <row r="116" spans="1:4" x14ac:dyDescent="0.25">
      <c r="A116" s="370">
        <v>109</v>
      </c>
      <c r="B116" s="370" t="s">
        <v>1197</v>
      </c>
      <c r="C116" s="370" t="s">
        <v>1185</v>
      </c>
      <c r="D116" s="371">
        <v>2019</v>
      </c>
    </row>
    <row r="117" spans="1:4" x14ac:dyDescent="0.25">
      <c r="A117" s="370">
        <v>110</v>
      </c>
      <c r="B117" s="370" t="s">
        <v>1198</v>
      </c>
      <c r="C117" s="370" t="s">
        <v>1182</v>
      </c>
      <c r="D117" s="371">
        <v>2011</v>
      </c>
    </row>
    <row r="118" spans="1:4" x14ac:dyDescent="0.25">
      <c r="A118" s="370">
        <v>111</v>
      </c>
      <c r="B118" s="370" t="s">
        <v>1199</v>
      </c>
      <c r="C118" s="370" t="s">
        <v>1185</v>
      </c>
      <c r="D118" s="371">
        <v>2019</v>
      </c>
    </row>
    <row r="119" spans="1:4" x14ac:dyDescent="0.25">
      <c r="A119" s="370">
        <v>112</v>
      </c>
      <c r="B119" s="370" t="s">
        <v>1200</v>
      </c>
      <c r="C119" s="370" t="s">
        <v>1201</v>
      </c>
      <c r="D119" s="371">
        <v>2004</v>
      </c>
    </row>
    <row r="120" spans="1:4" x14ac:dyDescent="0.25">
      <c r="A120" s="370">
        <v>113</v>
      </c>
      <c r="B120" s="370" t="s">
        <v>1202</v>
      </c>
      <c r="C120" s="370" t="s">
        <v>1085</v>
      </c>
      <c r="D120" s="371">
        <v>2002</v>
      </c>
    </row>
    <row r="121" spans="1:4" x14ac:dyDescent="0.25">
      <c r="A121" s="370">
        <v>114</v>
      </c>
      <c r="B121" s="370" t="s">
        <v>1203</v>
      </c>
      <c r="C121" s="370" t="s">
        <v>1085</v>
      </c>
      <c r="D121" s="371">
        <v>1996</v>
      </c>
    </row>
    <row r="122" spans="1:4" x14ac:dyDescent="0.25">
      <c r="A122" s="370">
        <v>115</v>
      </c>
      <c r="B122" s="370" t="s">
        <v>1204</v>
      </c>
      <c r="C122" s="370" t="s">
        <v>1085</v>
      </c>
      <c r="D122" s="371">
        <v>2007</v>
      </c>
    </row>
    <row r="123" spans="1:4" x14ac:dyDescent="0.25">
      <c r="A123" s="370">
        <v>116</v>
      </c>
      <c r="B123" s="370" t="s">
        <v>1205</v>
      </c>
      <c r="C123" s="370" t="s">
        <v>1085</v>
      </c>
      <c r="D123" s="371">
        <v>2011</v>
      </c>
    </row>
    <row r="124" spans="1:4" x14ac:dyDescent="0.25">
      <c r="A124" s="370">
        <v>117</v>
      </c>
      <c r="B124" s="370" t="s">
        <v>1206</v>
      </c>
      <c r="C124" s="370" t="s">
        <v>1085</v>
      </c>
      <c r="D124" s="371">
        <v>2004</v>
      </c>
    </row>
    <row r="125" spans="1:4" x14ac:dyDescent="0.25">
      <c r="A125" s="370">
        <v>118</v>
      </c>
      <c r="B125" s="370" t="s">
        <v>1207</v>
      </c>
      <c r="C125" s="370" t="s">
        <v>1085</v>
      </c>
      <c r="D125" s="371">
        <v>2001</v>
      </c>
    </row>
    <row r="126" spans="1:4" x14ac:dyDescent="0.25">
      <c r="A126" s="370">
        <v>119</v>
      </c>
      <c r="B126" s="370" t="s">
        <v>1208</v>
      </c>
      <c r="C126" s="370" t="s">
        <v>1085</v>
      </c>
      <c r="D126" s="371">
        <v>2011</v>
      </c>
    </row>
  </sheetData>
  <sheetProtection algorithmName="SHA-512" hashValue="4Ko5CLFy0KwnheAmsR4bHr4i+um4JWf4k1T7S9GKgzrH4gSS/QPEng2+wm3R7HCoYfGuAS2BtJn2NNegh6/e0A==" saltValue="PGKI5QWwOYmTbM0GWse6Ww==" spinCount="100000" sheet="1" objects="1" scenarios="1" selectLockedCells="1" selectUnlockedCells="1"/>
  <mergeCells count="1">
    <mergeCell ref="A6:D6"/>
  </mergeCells>
  <pageMargins left="1.6929133858267718" right="0.70866141732283472"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44"/>
  <sheetViews>
    <sheetView zoomScaleNormal="100" workbookViewId="0"/>
  </sheetViews>
  <sheetFormatPr defaultColWidth="9.140625" defaultRowHeight="15.75" x14ac:dyDescent="0.25"/>
  <cols>
    <col min="1" max="1" width="9.140625" style="366"/>
    <col min="2" max="2" width="27.85546875" style="366" bestFit="1" customWidth="1"/>
    <col min="3" max="3" width="14.85546875" style="366" customWidth="1"/>
    <col min="4" max="16384" width="9.140625" style="366"/>
  </cols>
  <sheetData>
    <row r="1" spans="1:4" x14ac:dyDescent="0.25">
      <c r="A1" s="366" t="s">
        <v>891</v>
      </c>
      <c r="D1" s="574" t="s">
        <v>1348</v>
      </c>
    </row>
    <row r="2" spans="1:4" x14ac:dyDescent="0.25">
      <c r="A2" s="366" t="s">
        <v>927</v>
      </c>
    </row>
    <row r="4" spans="1:4" x14ac:dyDescent="0.25">
      <c r="A4" s="366" t="s">
        <v>1210</v>
      </c>
    </row>
    <row r="5" spans="1:4" ht="16.5" thickBot="1" x14ac:dyDescent="0.3"/>
    <row r="6" spans="1:4" ht="16.5" thickBot="1" x14ac:dyDescent="0.3">
      <c r="A6" s="374" t="s">
        <v>1011</v>
      </c>
      <c r="B6" s="375" t="s">
        <v>1081</v>
      </c>
      <c r="C6" s="375"/>
    </row>
    <row r="7" spans="1:4" ht="16.5" thickBot="1" x14ac:dyDescent="0.3">
      <c r="A7" s="376">
        <v>1</v>
      </c>
      <c r="B7" s="377" t="s">
        <v>1086</v>
      </c>
      <c r="C7" s="377" t="s">
        <v>1087</v>
      </c>
    </row>
    <row r="8" spans="1:4" ht="16.5" thickBot="1" x14ac:dyDescent="0.3">
      <c r="A8" s="376">
        <f>A7+1</f>
        <v>2</v>
      </c>
      <c r="B8" s="377" t="s">
        <v>1089</v>
      </c>
      <c r="C8" s="377" t="s">
        <v>1085</v>
      </c>
    </row>
    <row r="9" spans="1:4" ht="16.5" thickBot="1" x14ac:dyDescent="0.3">
      <c r="A9" s="376">
        <f t="shared" ref="A9:A44" si="0">A8+1</f>
        <v>3</v>
      </c>
      <c r="B9" s="377" t="s">
        <v>1092</v>
      </c>
      <c r="C9" s="377" t="s">
        <v>1085</v>
      </c>
    </row>
    <row r="10" spans="1:4" ht="16.5" thickBot="1" x14ac:dyDescent="0.3">
      <c r="A10" s="376">
        <f t="shared" si="0"/>
        <v>4</v>
      </c>
      <c r="B10" s="377" t="s">
        <v>1094</v>
      </c>
      <c r="C10" s="377" t="s">
        <v>1085</v>
      </c>
    </row>
    <row r="11" spans="1:4" ht="16.5" thickBot="1" x14ac:dyDescent="0.3">
      <c r="A11" s="376">
        <f t="shared" si="0"/>
        <v>5</v>
      </c>
      <c r="B11" s="377" t="s">
        <v>1095</v>
      </c>
      <c r="C11" s="377" t="s">
        <v>1085</v>
      </c>
    </row>
    <row r="12" spans="1:4" ht="16.5" thickBot="1" x14ac:dyDescent="0.3">
      <c r="A12" s="376">
        <f t="shared" si="0"/>
        <v>6</v>
      </c>
      <c r="B12" s="377" t="s">
        <v>1100</v>
      </c>
      <c r="C12" s="377" t="s">
        <v>1085</v>
      </c>
    </row>
    <row r="13" spans="1:4" ht="16.5" thickBot="1" x14ac:dyDescent="0.3">
      <c r="A13" s="376">
        <f t="shared" si="0"/>
        <v>7</v>
      </c>
      <c r="B13" s="377" t="s">
        <v>1101</v>
      </c>
      <c r="C13" s="377" t="s">
        <v>1087</v>
      </c>
    </row>
    <row r="14" spans="1:4" ht="16.5" thickBot="1" x14ac:dyDescent="0.3">
      <c r="A14" s="376">
        <f t="shared" si="0"/>
        <v>8</v>
      </c>
      <c r="B14" s="377" t="s">
        <v>1211</v>
      </c>
      <c r="C14" s="377" t="s">
        <v>1085</v>
      </c>
    </row>
    <row r="15" spans="1:4" ht="16.5" thickBot="1" x14ac:dyDescent="0.3">
      <c r="A15" s="376">
        <f t="shared" si="0"/>
        <v>9</v>
      </c>
      <c r="B15" s="377" t="s">
        <v>1112</v>
      </c>
      <c r="C15" s="377" t="s">
        <v>1085</v>
      </c>
    </row>
    <row r="16" spans="1:4" ht="16.5" thickBot="1" x14ac:dyDescent="0.3">
      <c r="A16" s="376">
        <f t="shared" si="0"/>
        <v>10</v>
      </c>
      <c r="B16" s="377" t="s">
        <v>1113</v>
      </c>
      <c r="C16" s="377" t="s">
        <v>1085</v>
      </c>
    </row>
    <row r="17" spans="1:3" ht="16.5" thickBot="1" x14ac:dyDescent="0.3">
      <c r="A17" s="376">
        <f t="shared" si="0"/>
        <v>11</v>
      </c>
      <c r="B17" s="377" t="s">
        <v>1115</v>
      </c>
      <c r="C17" s="377" t="s">
        <v>1085</v>
      </c>
    </row>
    <row r="18" spans="1:3" ht="16.5" thickBot="1" x14ac:dyDescent="0.3">
      <c r="A18" s="376">
        <f t="shared" si="0"/>
        <v>12</v>
      </c>
      <c r="B18" s="377" t="s">
        <v>1212</v>
      </c>
      <c r="C18" s="377" t="s">
        <v>1085</v>
      </c>
    </row>
    <row r="19" spans="1:3" ht="16.5" thickBot="1" x14ac:dyDescent="0.3">
      <c r="A19" s="376">
        <f t="shared" si="0"/>
        <v>13</v>
      </c>
      <c r="B19" s="377" t="s">
        <v>1119</v>
      </c>
      <c r="C19" s="377" t="s">
        <v>1085</v>
      </c>
    </row>
    <row r="20" spans="1:3" ht="16.5" thickBot="1" x14ac:dyDescent="0.3">
      <c r="A20" s="376">
        <f t="shared" si="0"/>
        <v>14</v>
      </c>
      <c r="B20" s="377" t="s">
        <v>1120</v>
      </c>
      <c r="C20" s="377" t="s">
        <v>1087</v>
      </c>
    </row>
    <row r="21" spans="1:3" ht="16.5" thickBot="1" x14ac:dyDescent="0.3">
      <c r="A21" s="376">
        <f t="shared" si="0"/>
        <v>15</v>
      </c>
      <c r="B21" s="377" t="s">
        <v>1122</v>
      </c>
      <c r="C21" s="377" t="s">
        <v>1085</v>
      </c>
    </row>
    <row r="22" spans="1:3" ht="16.5" thickBot="1" x14ac:dyDescent="0.3">
      <c r="A22" s="376">
        <f t="shared" si="0"/>
        <v>16</v>
      </c>
      <c r="B22" s="377" t="s">
        <v>1124</v>
      </c>
      <c r="C22" s="377" t="s">
        <v>1087</v>
      </c>
    </row>
    <row r="23" spans="1:3" ht="16.5" thickBot="1" x14ac:dyDescent="0.3">
      <c r="A23" s="376">
        <f t="shared" si="0"/>
        <v>17</v>
      </c>
      <c r="B23" s="377" t="s">
        <v>1132</v>
      </c>
      <c r="C23" s="377" t="s">
        <v>1087</v>
      </c>
    </row>
    <row r="24" spans="1:3" ht="16.5" thickBot="1" x14ac:dyDescent="0.3">
      <c r="A24" s="376">
        <f t="shared" si="0"/>
        <v>18</v>
      </c>
      <c r="B24" s="377" t="s">
        <v>1135</v>
      </c>
      <c r="C24" s="377" t="s">
        <v>1085</v>
      </c>
    </row>
    <row r="25" spans="1:3" ht="16.5" thickBot="1" x14ac:dyDescent="0.3">
      <c r="A25" s="376">
        <f t="shared" si="0"/>
        <v>19</v>
      </c>
      <c r="B25" s="377" t="s">
        <v>1136</v>
      </c>
      <c r="C25" s="377" t="s">
        <v>1085</v>
      </c>
    </row>
    <row r="26" spans="1:3" ht="16.5" thickBot="1" x14ac:dyDescent="0.3">
      <c r="A26" s="376">
        <f t="shared" si="0"/>
        <v>20</v>
      </c>
      <c r="B26" s="377" t="s">
        <v>1137</v>
      </c>
      <c r="C26" s="377" t="s">
        <v>1085</v>
      </c>
    </row>
    <row r="27" spans="1:3" ht="16.5" thickBot="1" x14ac:dyDescent="0.3">
      <c r="A27" s="376">
        <f t="shared" si="0"/>
        <v>21</v>
      </c>
      <c r="B27" s="377" t="s">
        <v>1139</v>
      </c>
      <c r="C27" s="377" t="s">
        <v>1087</v>
      </c>
    </row>
    <row r="28" spans="1:3" ht="16.5" thickBot="1" x14ac:dyDescent="0.3">
      <c r="A28" s="376">
        <f t="shared" si="0"/>
        <v>22</v>
      </c>
      <c r="B28" s="377" t="s">
        <v>1140</v>
      </c>
      <c r="C28" s="377" t="s">
        <v>1087</v>
      </c>
    </row>
    <row r="29" spans="1:3" ht="16.5" thickBot="1" x14ac:dyDescent="0.3">
      <c r="A29" s="376">
        <f t="shared" si="0"/>
        <v>23</v>
      </c>
      <c r="B29" s="377" t="s">
        <v>1150</v>
      </c>
      <c r="C29" s="377" t="s">
        <v>1087</v>
      </c>
    </row>
    <row r="30" spans="1:3" ht="16.5" thickBot="1" x14ac:dyDescent="0.3">
      <c r="A30" s="376">
        <f t="shared" si="0"/>
        <v>24</v>
      </c>
      <c r="B30" s="377" t="s">
        <v>1151</v>
      </c>
      <c r="C30" s="377" t="s">
        <v>1087</v>
      </c>
    </row>
    <row r="31" spans="1:3" ht="16.5" thickBot="1" x14ac:dyDescent="0.3">
      <c r="A31" s="376">
        <f t="shared" si="0"/>
        <v>25</v>
      </c>
      <c r="B31" s="377" t="s">
        <v>1152</v>
      </c>
      <c r="C31" s="377" t="s">
        <v>1085</v>
      </c>
    </row>
    <row r="32" spans="1:3" ht="16.5" thickBot="1" x14ac:dyDescent="0.3">
      <c r="A32" s="376">
        <f t="shared" si="0"/>
        <v>26</v>
      </c>
      <c r="B32" s="377" t="s">
        <v>1159</v>
      </c>
      <c r="C32" s="377" t="s">
        <v>1160</v>
      </c>
    </row>
    <row r="33" spans="1:3" ht="16.5" thickBot="1" x14ac:dyDescent="0.3">
      <c r="A33" s="376">
        <f t="shared" si="0"/>
        <v>27</v>
      </c>
      <c r="B33" s="377" t="s">
        <v>1161</v>
      </c>
      <c r="C33" s="377" t="s">
        <v>1085</v>
      </c>
    </row>
    <row r="34" spans="1:3" ht="16.5" thickBot="1" x14ac:dyDescent="0.3">
      <c r="A34" s="376">
        <f t="shared" si="0"/>
        <v>28</v>
      </c>
      <c r="B34" s="377" t="s">
        <v>1162</v>
      </c>
      <c r="C34" s="377" t="s">
        <v>1087</v>
      </c>
    </row>
    <row r="35" spans="1:3" ht="16.5" thickBot="1" x14ac:dyDescent="0.3">
      <c r="A35" s="376">
        <f t="shared" si="0"/>
        <v>29</v>
      </c>
      <c r="B35" s="377" t="s">
        <v>1213</v>
      </c>
      <c r="C35" s="377" t="s">
        <v>1087</v>
      </c>
    </row>
    <row r="36" spans="1:3" ht="16.5" thickBot="1" x14ac:dyDescent="0.3">
      <c r="A36" s="376">
        <f t="shared" si="0"/>
        <v>30</v>
      </c>
      <c r="B36" s="377" t="s">
        <v>1214</v>
      </c>
      <c r="C36" s="377" t="s">
        <v>1085</v>
      </c>
    </row>
    <row r="37" spans="1:3" ht="16.5" thickBot="1" x14ac:dyDescent="0.3">
      <c r="A37" s="376">
        <f t="shared" si="0"/>
        <v>31</v>
      </c>
      <c r="B37" s="377" t="s">
        <v>1168</v>
      </c>
      <c r="C37" s="377" t="s">
        <v>1087</v>
      </c>
    </row>
    <row r="38" spans="1:3" ht="16.5" thickBot="1" x14ac:dyDescent="0.3">
      <c r="A38" s="376">
        <f t="shared" si="0"/>
        <v>32</v>
      </c>
      <c r="B38" s="377" t="s">
        <v>1171</v>
      </c>
      <c r="C38" s="377" t="s">
        <v>1085</v>
      </c>
    </row>
    <row r="39" spans="1:3" ht="16.5" thickBot="1" x14ac:dyDescent="0.3">
      <c r="A39" s="376">
        <f t="shared" si="0"/>
        <v>33</v>
      </c>
      <c r="B39" s="377" t="s">
        <v>1175</v>
      </c>
      <c r="C39" s="377" t="s">
        <v>1085</v>
      </c>
    </row>
    <row r="40" spans="1:3" ht="16.5" thickBot="1" x14ac:dyDescent="0.3">
      <c r="A40" s="376">
        <f t="shared" si="0"/>
        <v>34</v>
      </c>
      <c r="B40" s="377" t="s">
        <v>1176</v>
      </c>
      <c r="C40" s="377" t="s">
        <v>1085</v>
      </c>
    </row>
    <row r="41" spans="1:3" ht="16.5" thickBot="1" x14ac:dyDescent="0.3">
      <c r="A41" s="376">
        <f t="shared" si="0"/>
        <v>35</v>
      </c>
      <c r="B41" s="377" t="s">
        <v>1177</v>
      </c>
      <c r="C41" s="377" t="s">
        <v>1085</v>
      </c>
    </row>
    <row r="42" spans="1:3" ht="16.5" thickBot="1" x14ac:dyDescent="0.3">
      <c r="A42" s="376">
        <f t="shared" si="0"/>
        <v>36</v>
      </c>
      <c r="B42" s="377" t="s">
        <v>1215</v>
      </c>
      <c r="C42" s="377" t="s">
        <v>1085</v>
      </c>
    </row>
    <row r="43" spans="1:3" ht="16.5" thickBot="1" x14ac:dyDescent="0.3">
      <c r="A43" s="376">
        <f t="shared" si="0"/>
        <v>37</v>
      </c>
      <c r="B43" s="377" t="s">
        <v>1180</v>
      </c>
      <c r="C43" s="377" t="s">
        <v>1085</v>
      </c>
    </row>
    <row r="44" spans="1:3" ht="16.5" thickBot="1" x14ac:dyDescent="0.3">
      <c r="A44" s="376">
        <f t="shared" si="0"/>
        <v>38</v>
      </c>
      <c r="B44" s="377" t="s">
        <v>1208</v>
      </c>
      <c r="C44" s="377" t="s">
        <v>1085</v>
      </c>
    </row>
  </sheetData>
  <sheetProtection algorithmName="SHA-512" hashValue="DbOIYmM0+rpcxitwVYxUOw014YChqxjzIYsX9XvKwuz5zgB45cgABIPVR34+yaM2SIexNjFeFPXxl1hBP2sAxw==" saltValue="YFacjOnAkSEc840HkJK5vg==" spinCount="100000" sheet="1" objects="1" scenarios="1" selectLockedCells="1" selectUnlockedCells="1"/>
  <pageMargins left="1.54" right="0.7" top="0.38" bottom="0.45" header="0.3" footer="0.3"/>
  <pageSetup orientation="portrait" horizontalDpi="360" verticalDpi="36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38"/>
  <sheetViews>
    <sheetView zoomScaleNormal="100" workbookViewId="0"/>
  </sheetViews>
  <sheetFormatPr defaultRowHeight="15" x14ac:dyDescent="0.25"/>
  <cols>
    <col min="1" max="1" width="9.140625" style="472"/>
    <col min="2" max="2" width="40.140625" style="472" hidden="1" customWidth="1"/>
    <col min="3" max="9" width="9.140625" style="475"/>
    <col min="10" max="14" width="9.140625" style="472"/>
  </cols>
  <sheetData>
    <row r="1" spans="2:9" x14ac:dyDescent="0.25">
      <c r="C1" s="476" t="s">
        <v>1366</v>
      </c>
    </row>
    <row r="2" spans="2:9" x14ac:dyDescent="0.25">
      <c r="C2" s="476" t="s">
        <v>1349</v>
      </c>
    </row>
    <row r="3" spans="2:9" x14ac:dyDescent="0.25">
      <c r="B3" s="474"/>
    </row>
    <row r="4" spans="2:9" x14ac:dyDescent="0.25">
      <c r="B4" s="473" t="s">
        <v>1350</v>
      </c>
      <c r="C4" s="475" t="s">
        <v>1351</v>
      </c>
    </row>
    <row r="5" spans="2:9" x14ac:dyDescent="0.25">
      <c r="B5" s="473" t="s">
        <v>1352</v>
      </c>
    </row>
    <row r="6" spans="2:9" x14ac:dyDescent="0.25">
      <c r="B6" s="473" t="s">
        <v>1353</v>
      </c>
    </row>
    <row r="7" spans="2:9" x14ac:dyDescent="0.25">
      <c r="B7" s="473" t="s">
        <v>1354</v>
      </c>
    </row>
    <row r="8" spans="2:9" ht="30" x14ac:dyDescent="0.25">
      <c r="B8" s="473" t="s">
        <v>1355</v>
      </c>
    </row>
    <row r="9" spans="2:9" x14ac:dyDescent="0.25">
      <c r="B9" s="473" t="s">
        <v>1356</v>
      </c>
    </row>
    <row r="10" spans="2:9" x14ac:dyDescent="0.25">
      <c r="B10" s="473" t="s">
        <v>1357</v>
      </c>
    </row>
    <row r="11" spans="2:9" s="472" customFormat="1" x14ac:dyDescent="0.25">
      <c r="B11" s="473"/>
      <c r="C11" s="475"/>
      <c r="D11" s="475"/>
      <c r="E11" s="475"/>
      <c r="F11" s="475"/>
      <c r="G11" s="475"/>
      <c r="H11" s="475"/>
      <c r="I11" s="475"/>
    </row>
    <row r="12" spans="2:9" s="472" customFormat="1" x14ac:dyDescent="0.25">
      <c r="B12" s="473"/>
      <c r="C12" s="475"/>
      <c r="D12" s="475"/>
      <c r="E12" s="475"/>
      <c r="F12" s="475"/>
      <c r="G12" s="475"/>
      <c r="H12" s="475"/>
      <c r="I12" s="475"/>
    </row>
    <row r="13" spans="2:9" x14ac:dyDescent="0.25">
      <c r="B13" s="473" t="s">
        <v>1358</v>
      </c>
      <c r="C13" s="475" t="s">
        <v>1359</v>
      </c>
    </row>
    <row r="14" spans="2:9" x14ac:dyDescent="0.25">
      <c r="B14" s="473" t="s">
        <v>1360</v>
      </c>
    </row>
    <row r="15" spans="2:9" x14ac:dyDescent="0.25">
      <c r="B15" s="473" t="s">
        <v>1361</v>
      </c>
    </row>
    <row r="16" spans="2:9" x14ac:dyDescent="0.25">
      <c r="B16" s="473" t="s">
        <v>1362</v>
      </c>
    </row>
    <row r="21" spans="3:3" x14ac:dyDescent="0.25">
      <c r="C21" s="475" t="s">
        <v>1363</v>
      </c>
    </row>
    <row r="30" spans="3:3" x14ac:dyDescent="0.25">
      <c r="C30" s="475" t="s">
        <v>1364</v>
      </c>
    </row>
    <row r="38" spans="3:3" x14ac:dyDescent="0.25">
      <c r="C38" s="475" t="s">
        <v>1365</v>
      </c>
    </row>
  </sheetData>
  <sheetProtection algorithmName="SHA-512" hashValue="M32k2KeZS1uN+K5jyGbgTXSN/qJF3T5y9mYzJoF5bv/zTW7QsUyVXvcAZOOaDd8m2CLZIyI4E2ltJf3xtmYiAA==" saltValue="b+hfiNKW3VTEysPipxW57Q==" spinCount="100000" sheet="1" objects="1" scenarios="1" selectLockedCells="1" selectUnlockedCells="1"/>
  <pageMargins left="1.21"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22</vt:i4>
      </vt:variant>
    </vt:vector>
  </HeadingPairs>
  <TitlesOfParts>
    <vt:vector size="35" baseType="lpstr">
      <vt:lpstr>A</vt:lpstr>
      <vt:lpstr>B</vt:lpstr>
      <vt:lpstr>C</vt:lpstr>
      <vt:lpstr>D</vt:lpstr>
      <vt:lpstr>E</vt:lpstr>
      <vt:lpstr>F</vt:lpstr>
      <vt:lpstr>G</vt:lpstr>
      <vt:lpstr>H</vt:lpstr>
      <vt:lpstr>I</vt:lpstr>
      <vt:lpstr>J</vt:lpstr>
      <vt:lpstr>K</vt:lpstr>
      <vt:lpstr>L</vt:lpstr>
      <vt:lpstr>M</vt:lpstr>
      <vt:lpstr>A!Print_Area</vt:lpstr>
      <vt:lpstr>B!Print_Area</vt:lpstr>
      <vt:lpstr>'C'!Print_Area</vt:lpstr>
      <vt:lpstr>D!Print_Area</vt:lpstr>
      <vt:lpstr>E!Print_Area</vt:lpstr>
      <vt:lpstr>F!Print_Area</vt:lpstr>
      <vt:lpstr>G!Print_Area</vt:lpstr>
      <vt:lpstr>H!Print_Area</vt:lpstr>
      <vt:lpstr>I!Print_Area</vt:lpstr>
      <vt:lpstr>J!Print_Area</vt:lpstr>
      <vt:lpstr>K!Print_Area</vt:lpstr>
      <vt:lpstr>L!Print_Area</vt:lpstr>
      <vt:lpstr>M!Print_Area</vt:lpstr>
      <vt:lpstr>A!Print_Titles</vt:lpstr>
      <vt:lpstr>B!Print_Titles</vt:lpstr>
      <vt:lpstr>D!Print_Titles</vt:lpstr>
      <vt:lpstr>E!Print_Titles</vt:lpstr>
      <vt:lpstr>G!Print_Titles</vt:lpstr>
      <vt:lpstr>H!Print_Titles</vt:lpstr>
      <vt:lpstr>I!Print_Titles</vt:lpstr>
      <vt:lpstr>J!Print_Titles</vt:lpstr>
      <vt:lpstr>K!Print_Titles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Annexes</dc:title>
  <dc:creator>COA - City of Panabo, Davao del Norte</dc:creator>
  <cp:lastModifiedBy>Riziel C. Garcia</cp:lastModifiedBy>
  <cp:lastPrinted>2022-06-28T10:03:55Z</cp:lastPrinted>
  <dcterms:created xsi:type="dcterms:W3CDTF">2018-01-10T09:38:30Z</dcterms:created>
  <dcterms:modified xsi:type="dcterms:W3CDTF">2022-06-28T10:04:51Z</dcterms:modified>
</cp:coreProperties>
</file>