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9"/>
  <workbookPr updateLinks="never" defaultThemeVersion="166925"/>
  <mc:AlternateContent xmlns:mc="http://schemas.openxmlformats.org/markup-compatibility/2006">
    <mc:Choice Requires="x15">
      <x15ac:absPath xmlns:x15ac="http://schemas.microsoft.com/office/spreadsheetml/2010/11/ac" url="Y:\Files WADAS\AARS\Ben\AARs\2022\AAR2022\Region-11\3rd Batch\3rd Batch\16. eAAR_CY2022_City of Panabo\PanaboCity2022_aar\"/>
    </mc:Choice>
  </mc:AlternateContent>
  <xr:revisionPtr revIDLastSave="0" documentId="13_ncr:1_{B404D35D-4642-4118-B208-74B68F813B15}" xr6:coauthVersionLast="36" xr6:coauthVersionMax="47" xr10:uidLastSave="{00000000-0000-0000-0000-000000000000}"/>
  <bookViews>
    <workbookView xWindow="0" yWindow="0" windowWidth="23040" windowHeight="8940" tabRatio="944" xr2:uid="{00000000-000D-0000-FFFF-FFFF00000000}"/>
  </bookViews>
  <sheets>
    <sheet name="Annex A.1 GF-SFPO" sheetId="23" r:id="rId1"/>
    <sheet name="Annex A.2 GF-SFPER" sheetId="28" r:id="rId2"/>
    <sheet name="Annex A.3 GF-SCNAE" sheetId="29" r:id="rId3"/>
    <sheet name="Annex A.4 GF-SCF" sheetId="22" r:id="rId4"/>
    <sheet name="Annex A.5 GF-SCBAA" sheetId="27" r:id="rId5"/>
    <sheet name="Annex B.1 SEF-SFPO" sheetId="24" r:id="rId6"/>
    <sheet name="Annex B.2 SEF-SFPER" sheetId="25" r:id="rId7"/>
    <sheet name="Annex B.3 SEF-SCNAE" sheetId="26" r:id="rId8"/>
    <sheet name="Annex B.4 SEF-SCF" sheetId="21" r:id="rId9"/>
    <sheet name="Annex B.5 SEF-SCBAA" sheetId="30" r:id="rId10"/>
    <sheet name="Annex C.1 TF-SFPO" sheetId="31" r:id="rId11"/>
    <sheet name="Annex C.2 TF-SFPER" sheetId="32" r:id="rId12"/>
    <sheet name="Annex C.3 TF-SCNAE" sheetId="33" r:id="rId13"/>
    <sheet name="Annex C.4 TF-SCF" sheetId="34" r:id="rId14"/>
    <sheet name="Annex D" sheetId="5" r:id="rId15"/>
    <sheet name="Annex E" sheetId="10" r:id="rId16"/>
    <sheet name="Annex F" sheetId="7" r:id="rId17"/>
    <sheet name="Annex G" sheetId="8" r:id="rId18"/>
    <sheet name="Annex H" sheetId="9" r:id="rId19"/>
    <sheet name="Annex I" sheetId="4" r:id="rId20"/>
    <sheet name="Annex J" sheetId="14" r:id="rId21"/>
    <sheet name="Annex K" sheetId="15" r:id="rId22"/>
    <sheet name="Annex L" sheetId="16" r:id="rId23"/>
    <sheet name="Annex M" sheetId="11" r:id="rId24"/>
    <sheet name="Annex N" sheetId="6" r:id="rId25"/>
    <sheet name="Annex O" sheetId="13" r:id="rId26"/>
    <sheet name="Annex P" sheetId="12" r:id="rId27"/>
    <sheet name="Annex Q" sheetId="18" r:id="rId28"/>
    <sheet name="Annex R" sheetId="20" r:id="rId29"/>
    <sheet name="Annex S" sheetId="19" r:id="rId30"/>
    <sheet name="Annex T" sheetId="17" r:id="rId31"/>
  </sheets>
  <externalReferences>
    <externalReference r:id="rId32"/>
    <externalReference r:id="rId33"/>
    <externalReference r:id="rId34"/>
  </externalReferences>
  <definedNames>
    <definedName name="_xlnm._FilterDatabase" localSheetId="15" hidden="1">'Annex E'!$B$7:$H$47</definedName>
    <definedName name="_xlnm._FilterDatabase" localSheetId="19" hidden="1">'Annex I'!$A$6:$K$354</definedName>
    <definedName name="_xlnm._FilterDatabase" localSheetId="23" hidden="1">'Annex M'!$A$8:$M$220</definedName>
    <definedName name="_xlnm._FilterDatabase" localSheetId="29" hidden="1">'Annex S'!$A$6:$G$24</definedName>
    <definedName name="_xlnm._FilterDatabase" localSheetId="30" hidden="1">'Annex T'!$A$5:$N$131</definedName>
    <definedName name="_xlnm.Print_Area" localSheetId="0">'Annex A.1 GF-SFPO'!$A$1:$E$46</definedName>
    <definedName name="_xlnm.Print_Area" localSheetId="1">'Annex A.2 GF-SFPER'!$A$1:$E$31</definedName>
    <definedName name="_xlnm.Print_Area" localSheetId="2">'Annex A.3 GF-SCNAE'!$A$1:$D$19</definedName>
    <definedName name="_xlnm.Print_Area" localSheetId="3">'Annex A.4 GF-SCF'!$A$1:$D$49</definedName>
    <definedName name="_xlnm.Print_Area" localSheetId="4">'Annex A.5 GF-SCBAA'!$A$1:$N$111</definedName>
    <definedName name="_xlnm.Print_Area" localSheetId="5">'Annex B.1 SEF-SFPO'!$A$1:$E$46</definedName>
    <definedName name="_xlnm.Print_Area" localSheetId="6">'Annex B.2 SEF-SFPER'!$A$1:$D$31</definedName>
    <definedName name="_xlnm.Print_Area" localSheetId="7">'Annex B.3 SEF-SCNAE'!$A$1:$D$19</definedName>
    <definedName name="_xlnm.Print_Area" localSheetId="8">'Annex B.4 SEF-SCF'!$A$1:$D$49</definedName>
    <definedName name="_xlnm.Print_Area" localSheetId="9">'Annex B.5 SEF-SCBAA'!$A$1:$N$33</definedName>
    <definedName name="_xlnm.Print_Area" localSheetId="10">'Annex C.1 TF-SFPO'!$A$1:$E$46</definedName>
    <definedName name="_xlnm.Print_Area" localSheetId="11">'Annex C.2 TF-SFPER'!$A$1:$D$31</definedName>
    <definedName name="_xlnm.Print_Area" localSheetId="12">'Annex C.3 TF-SCNAE'!$A$1:$D$19</definedName>
    <definedName name="_xlnm.Print_Area" localSheetId="13">'Annex C.4 TF-SCF'!$A$1:$D$49</definedName>
    <definedName name="_xlnm.Print_Area" localSheetId="14">'Annex D'!$A$1:$C$27</definedName>
    <definedName name="_xlnm.Print_Area" localSheetId="15">'Annex E'!$A$1:$H$50</definedName>
    <definedName name="_xlnm.Print_Area" localSheetId="16">'Annex F'!$A$1:$J$170</definedName>
    <definedName name="_xlnm.Print_Area" localSheetId="17">'Annex G'!$A$1:$L$34</definedName>
    <definedName name="_xlnm.Print_Area" localSheetId="18">'Annex H'!$A$1:$J$175</definedName>
    <definedName name="_xlnm.Print_Area" localSheetId="19">'Annex I'!$A$1:$K$355</definedName>
    <definedName name="_xlnm.Print_Area" localSheetId="20">'Annex J'!$A$1:$H$75</definedName>
    <definedName name="_xlnm.Print_Area" localSheetId="21">'Annex K'!$A$1:$M$70</definedName>
    <definedName name="_xlnm.Print_Area" localSheetId="22">'Annex L'!$A$1:$G$15</definedName>
    <definedName name="_xlnm.Print_Area" localSheetId="23">'Annex M'!$A$1:$M$220</definedName>
    <definedName name="_xlnm.Print_Area" localSheetId="24">'Annex N'!$A$1:$G$78</definedName>
    <definedName name="_xlnm.Print_Area" localSheetId="25">'Annex O'!$A$1:$H$45</definedName>
    <definedName name="_xlnm.Print_Area" localSheetId="26">'Annex P'!$A$1:$F$264</definedName>
    <definedName name="_xlnm.Print_Area" localSheetId="27">'Annex Q'!$A$1:$F$131</definedName>
    <definedName name="_xlnm.Print_Area" localSheetId="28">'Annex R'!$A$1:$G$80</definedName>
    <definedName name="_xlnm.Print_Area" localSheetId="29">'Annex S'!$A$1:$E$142</definedName>
    <definedName name="_xlnm.Print_Area" localSheetId="30">'Annex T'!$A$1:$N$131</definedName>
    <definedName name="_xlnm.Print_Titles" localSheetId="4">'Annex A.5 GF-SCBAA'!$1:$8</definedName>
    <definedName name="_xlnm.Print_Titles" localSheetId="15">'Annex E'!$7:$7</definedName>
    <definedName name="_xlnm.Print_Titles" localSheetId="16">'Annex F'!$6:$7</definedName>
    <definedName name="_xlnm.Print_Titles" localSheetId="17">'Annex G'!$5:$6</definedName>
    <definedName name="_xlnm.Print_Titles" localSheetId="18">'Annex H'!$7:$7</definedName>
    <definedName name="_xlnm.Print_Titles" localSheetId="19">'Annex I'!$6:$6</definedName>
    <definedName name="_xlnm.Print_Titles" localSheetId="20">'Annex J'!$6:$6</definedName>
    <definedName name="_xlnm.Print_Titles" localSheetId="21">'Annex K'!$6:$6</definedName>
    <definedName name="_xlnm.Print_Titles" localSheetId="23">'Annex M'!$6:$8</definedName>
    <definedName name="_xlnm.Print_Titles" localSheetId="24">'Annex N'!$5:$7</definedName>
    <definedName name="_xlnm.Print_Titles" localSheetId="25">'Annex O'!$4:$7</definedName>
    <definedName name="_xlnm.Print_Titles" localSheetId="26">'Annex P'!$8:$8</definedName>
    <definedName name="_xlnm.Print_Titles" localSheetId="27">'Annex Q'!$4:$5</definedName>
    <definedName name="_xlnm.Print_Titles" localSheetId="28">'Annex R'!$4:$5</definedName>
    <definedName name="_xlnm.Print_Titles" localSheetId="29">'Annex S'!$4:$5</definedName>
    <definedName name="_xlnm.Print_Titles" localSheetId="30">'Annex T'!$4:$6</definedName>
  </definedNames>
  <calcPr calcId="191029"/>
</workbook>
</file>

<file path=xl/calcChain.xml><?xml version="1.0" encoding="utf-8"?>
<calcChain xmlns="http://schemas.openxmlformats.org/spreadsheetml/2006/main">
  <c r="N16" i="30" l="1"/>
  <c r="J16" i="30"/>
  <c r="J14" i="30"/>
  <c r="J13" i="30"/>
  <c r="D14" i="26"/>
  <c r="D16" i="26"/>
  <c r="D17" i="26" s="1"/>
  <c r="J48" i="27"/>
  <c r="J49" i="27"/>
  <c r="D18" i="26" l="1"/>
  <c r="D42" i="34"/>
  <c r="B42" i="34"/>
  <c r="D39" i="34"/>
  <c r="B39" i="34"/>
  <c r="D33" i="34"/>
  <c r="B33" i="34"/>
  <c r="D30" i="34"/>
  <c r="B30" i="34"/>
  <c r="B34" i="34" s="1"/>
  <c r="D24" i="34"/>
  <c r="B24" i="34"/>
  <c r="D17" i="34"/>
  <c r="D25" i="34" s="1"/>
  <c r="B17" i="34"/>
  <c r="D16" i="33"/>
  <c r="G16" i="33" s="1"/>
  <c r="B16" i="33"/>
  <c r="F16" i="33" s="1"/>
  <c r="D14" i="33"/>
  <c r="G13" i="33"/>
  <c r="F13" i="33"/>
  <c r="G12" i="33"/>
  <c r="G10" i="33"/>
  <c r="G29" i="32"/>
  <c r="E29" i="32"/>
  <c r="G28" i="32"/>
  <c r="E28" i="32"/>
  <c r="G27" i="32"/>
  <c r="E27" i="32"/>
  <c r="D23" i="32"/>
  <c r="G23" i="32" s="1"/>
  <c r="B23" i="32"/>
  <c r="E23" i="32" s="1"/>
  <c r="G22" i="32"/>
  <c r="E22" i="32"/>
  <c r="G21" i="32"/>
  <c r="E21" i="32"/>
  <c r="G20" i="32"/>
  <c r="E20" i="32"/>
  <c r="G19" i="32"/>
  <c r="E19" i="32"/>
  <c r="D16" i="32"/>
  <c r="B16" i="32"/>
  <c r="G15" i="32"/>
  <c r="E15" i="32"/>
  <c r="G14" i="32"/>
  <c r="E14" i="32"/>
  <c r="G13" i="32"/>
  <c r="E13" i="32"/>
  <c r="G12" i="32"/>
  <c r="E12" i="32"/>
  <c r="G11" i="32"/>
  <c r="E11" i="32"/>
  <c r="G44" i="31"/>
  <c r="B44" i="31"/>
  <c r="F44" i="31" s="1"/>
  <c r="D40" i="31"/>
  <c r="G40" i="31" s="1"/>
  <c r="B40" i="31"/>
  <c r="F40" i="31" s="1"/>
  <c r="G39" i="31"/>
  <c r="F39" i="31"/>
  <c r="G38" i="31"/>
  <c r="F38" i="31"/>
  <c r="D35" i="31"/>
  <c r="B35" i="31"/>
  <c r="F35" i="31" s="1"/>
  <c r="G34" i="31"/>
  <c r="F34" i="31"/>
  <c r="G33" i="31"/>
  <c r="F33" i="31"/>
  <c r="G32" i="31"/>
  <c r="F32" i="31"/>
  <c r="G31" i="31"/>
  <c r="F31" i="31"/>
  <c r="G30" i="31"/>
  <c r="F30" i="31"/>
  <c r="G29" i="31"/>
  <c r="F29" i="31"/>
  <c r="G28" i="31"/>
  <c r="F28" i="31"/>
  <c r="D23" i="31"/>
  <c r="G23" i="31" s="1"/>
  <c r="B23" i="31"/>
  <c r="F23" i="31" s="1"/>
  <c r="G22" i="31"/>
  <c r="F22" i="31"/>
  <c r="G21" i="31"/>
  <c r="F21" i="31"/>
  <c r="G20" i="31"/>
  <c r="F20" i="31"/>
  <c r="D17" i="31"/>
  <c r="G17" i="31" s="1"/>
  <c r="B17" i="31"/>
  <c r="F17" i="31" s="1"/>
  <c r="G16" i="31"/>
  <c r="F16" i="31"/>
  <c r="G15" i="31"/>
  <c r="F15" i="31"/>
  <c r="G14" i="31"/>
  <c r="F14" i="31"/>
  <c r="G13" i="31"/>
  <c r="F13" i="31"/>
  <c r="G12" i="31"/>
  <c r="F12" i="31"/>
  <c r="D34" i="34" l="1"/>
  <c r="B43" i="34"/>
  <c r="D25" i="32"/>
  <c r="D30" i="32" s="1"/>
  <c r="G30" i="32" s="1"/>
  <c r="B25" i="32"/>
  <c r="B30" i="32" s="1"/>
  <c r="E30" i="32" s="1"/>
  <c r="B25" i="34"/>
  <c r="B46" i="34" s="1"/>
  <c r="D43" i="34"/>
  <c r="D46" i="34" s="1"/>
  <c r="D48" i="34" s="1"/>
  <c r="B17" i="33"/>
  <c r="D17" i="33"/>
  <c r="D18" i="33"/>
  <c r="B10" i="33" s="1"/>
  <c r="B14" i="33" s="1"/>
  <c r="B24" i="31"/>
  <c r="F24" i="31" s="1"/>
  <c r="D41" i="31"/>
  <c r="G41" i="31" s="1"/>
  <c r="D24" i="31"/>
  <c r="G24" i="31" s="1"/>
  <c r="G14" i="33"/>
  <c r="B41" i="31"/>
  <c r="G25" i="32" l="1"/>
  <c r="E25" i="32"/>
  <c r="F10" i="33"/>
  <c r="D45" i="31"/>
  <c r="G45" i="31" s="1"/>
  <c r="D54" i="34"/>
  <c r="B47" i="34"/>
  <c r="B48" i="34"/>
  <c r="B54" i="34" s="1"/>
  <c r="B18" i="33"/>
  <c r="F14" i="33"/>
  <c r="F41" i="31"/>
  <c r="B45" i="31"/>
  <c r="F45" i="31" l="1"/>
  <c r="B49" i="31"/>
  <c r="M30" i="30" l="1"/>
  <c r="L30" i="30"/>
  <c r="I30" i="30"/>
  <c r="H30" i="30"/>
  <c r="G30" i="30"/>
  <c r="F30" i="30"/>
  <c r="N29" i="30"/>
  <c r="N30" i="30" s="1"/>
  <c r="K29" i="30"/>
  <c r="K30" i="30" s="1"/>
  <c r="J29" i="30"/>
  <c r="J30" i="30" s="1"/>
  <c r="M26" i="30"/>
  <c r="L26" i="30"/>
  <c r="L31" i="30" s="1"/>
  <c r="I26" i="30"/>
  <c r="H26" i="30"/>
  <c r="G26" i="30"/>
  <c r="F26" i="30"/>
  <c r="N25" i="30"/>
  <c r="K25" i="30"/>
  <c r="J25" i="30"/>
  <c r="N24" i="30"/>
  <c r="K24" i="30"/>
  <c r="J24" i="30"/>
  <c r="N23" i="30"/>
  <c r="K23" i="30"/>
  <c r="J23" i="30"/>
  <c r="M19" i="30"/>
  <c r="L19" i="30"/>
  <c r="I19" i="30"/>
  <c r="H19" i="30"/>
  <c r="G19" i="30"/>
  <c r="F19" i="30"/>
  <c r="N18" i="30"/>
  <c r="K18" i="30"/>
  <c r="J18" i="30"/>
  <c r="N17" i="30"/>
  <c r="K17" i="30"/>
  <c r="J17" i="30"/>
  <c r="N14" i="30"/>
  <c r="N13" i="30"/>
  <c r="N12" i="30"/>
  <c r="K12" i="30"/>
  <c r="J12" i="30"/>
  <c r="D42" i="21"/>
  <c r="B42" i="21"/>
  <c r="D39" i="21"/>
  <c r="B39" i="21"/>
  <c r="D33" i="21"/>
  <c r="B33" i="21"/>
  <c r="D30" i="21"/>
  <c r="B30" i="21"/>
  <c r="D24" i="21"/>
  <c r="B24" i="21"/>
  <c r="D17" i="21"/>
  <c r="B17" i="21"/>
  <c r="G16" i="26"/>
  <c r="B16" i="26"/>
  <c r="F16" i="26" s="1"/>
  <c r="G14" i="26"/>
  <c r="G13" i="26"/>
  <c r="F13" i="26"/>
  <c r="G12" i="26"/>
  <c r="G10" i="26"/>
  <c r="G29" i="25"/>
  <c r="E29" i="25"/>
  <c r="G28" i="25"/>
  <c r="E28" i="25"/>
  <c r="G27" i="25"/>
  <c r="E27" i="25"/>
  <c r="D23" i="25"/>
  <c r="G23" i="25" s="1"/>
  <c r="B23" i="25"/>
  <c r="E23" i="25" s="1"/>
  <c r="G22" i="25"/>
  <c r="E22" i="25"/>
  <c r="G21" i="25"/>
  <c r="E21" i="25"/>
  <c r="G20" i="25"/>
  <c r="E20" i="25"/>
  <c r="G19" i="25"/>
  <c r="E19" i="25"/>
  <c r="D16" i="25"/>
  <c r="B16" i="25"/>
  <c r="G15" i="25"/>
  <c r="E15" i="25"/>
  <c r="G14" i="25"/>
  <c r="E14" i="25"/>
  <c r="G13" i="25"/>
  <c r="E13" i="25"/>
  <c r="G12" i="25"/>
  <c r="E12" i="25"/>
  <c r="G11" i="25"/>
  <c r="E11" i="25"/>
  <c r="G44" i="24"/>
  <c r="B44" i="24"/>
  <c r="F44" i="24" s="1"/>
  <c r="D40" i="24"/>
  <c r="G40" i="24" s="1"/>
  <c r="B40" i="24"/>
  <c r="F40" i="24" s="1"/>
  <c r="G39" i="24"/>
  <c r="F39" i="24"/>
  <c r="G38" i="24"/>
  <c r="F38" i="24"/>
  <c r="D35" i="24"/>
  <c r="B35" i="24"/>
  <c r="F35" i="24" s="1"/>
  <c r="G34" i="24"/>
  <c r="F34" i="24"/>
  <c r="G33" i="24"/>
  <c r="F33" i="24"/>
  <c r="G32" i="24"/>
  <c r="F32" i="24"/>
  <c r="G31" i="24"/>
  <c r="F31" i="24"/>
  <c r="G30" i="24"/>
  <c r="F30" i="24"/>
  <c r="G29" i="24"/>
  <c r="F29" i="24"/>
  <c r="G28" i="24"/>
  <c r="F28" i="24"/>
  <c r="D23" i="24"/>
  <c r="G23" i="24" s="1"/>
  <c r="B23" i="24"/>
  <c r="F23" i="24" s="1"/>
  <c r="G22" i="24"/>
  <c r="F22" i="24"/>
  <c r="G21" i="24"/>
  <c r="F21" i="24"/>
  <c r="G20" i="24"/>
  <c r="F20" i="24"/>
  <c r="D17" i="24"/>
  <c r="G17" i="24" s="1"/>
  <c r="B17" i="24"/>
  <c r="F17" i="24" s="1"/>
  <c r="G16" i="24"/>
  <c r="F16" i="24"/>
  <c r="G15" i="24"/>
  <c r="F15" i="24"/>
  <c r="G14" i="24"/>
  <c r="F14" i="24"/>
  <c r="G13" i="24"/>
  <c r="F13" i="24"/>
  <c r="G12" i="24"/>
  <c r="F12" i="24"/>
  <c r="D41" i="24" l="1"/>
  <c r="G41" i="24" s="1"/>
  <c r="L32" i="30"/>
  <c r="G31" i="30"/>
  <c r="I31" i="30"/>
  <c r="F31" i="30"/>
  <c r="F32" i="30" s="1"/>
  <c r="M31" i="30"/>
  <c r="N26" i="30"/>
  <c r="N31" i="30" s="1"/>
  <c r="H31" i="30"/>
  <c r="H32" i="30" s="1"/>
  <c r="B25" i="21"/>
  <c r="D25" i="21"/>
  <c r="B34" i="21"/>
  <c r="D34" i="21"/>
  <c r="D43" i="21"/>
  <c r="B25" i="25"/>
  <c r="B30" i="25" s="1"/>
  <c r="E30" i="25" s="1"/>
  <c r="D25" i="25"/>
  <c r="D30" i="25" s="1"/>
  <c r="G30" i="25" s="1"/>
  <c r="J19" i="30"/>
  <c r="K19" i="30"/>
  <c r="N19" i="30"/>
  <c r="K26" i="30"/>
  <c r="K31" i="30" s="1"/>
  <c r="J26" i="30"/>
  <c r="J31" i="30" s="1"/>
  <c r="B43" i="21"/>
  <c r="B10" i="26"/>
  <c r="F10" i="26" s="1"/>
  <c r="D24" i="24"/>
  <c r="G24" i="24" s="1"/>
  <c r="B24" i="24"/>
  <c r="F24" i="24" s="1"/>
  <c r="B17" i="26"/>
  <c r="D45" i="24"/>
  <c r="G45" i="24" s="1"/>
  <c r="B41" i="24"/>
  <c r="G25" i="25" l="1"/>
  <c r="D46" i="21"/>
  <c r="D48" i="21" s="1"/>
  <c r="D54" i="21" s="1"/>
  <c r="N32" i="30"/>
  <c r="J32" i="30"/>
  <c r="B46" i="21"/>
  <c r="B47" i="21"/>
  <c r="B48" i="21" s="1"/>
  <c r="B54" i="21" s="1"/>
  <c r="E25" i="25"/>
  <c r="B14" i="26"/>
  <c r="F14" i="26" s="1"/>
  <c r="F41" i="24"/>
  <c r="B45" i="24"/>
  <c r="B18" i="26" l="1"/>
  <c r="F45" i="24"/>
  <c r="B49" i="24"/>
  <c r="M108" i="27" l="1"/>
  <c r="L108" i="27"/>
  <c r="I108" i="27"/>
  <c r="H108" i="27"/>
  <c r="G108" i="27"/>
  <c r="F108" i="27"/>
  <c r="N107" i="27"/>
  <c r="K107" i="27"/>
  <c r="J107" i="27"/>
  <c r="N105" i="27"/>
  <c r="K105" i="27"/>
  <c r="J105" i="27"/>
  <c r="N103" i="27"/>
  <c r="K103" i="27"/>
  <c r="J103" i="27"/>
  <c r="N101" i="27"/>
  <c r="K101" i="27"/>
  <c r="J101" i="27"/>
  <c r="N99" i="27"/>
  <c r="K99" i="27"/>
  <c r="J99" i="27"/>
  <c r="N97" i="27"/>
  <c r="K97" i="27"/>
  <c r="J97" i="27"/>
  <c r="N95" i="27"/>
  <c r="K95" i="27"/>
  <c r="J95" i="27"/>
  <c r="N93" i="27"/>
  <c r="K93" i="27"/>
  <c r="J93" i="27"/>
  <c r="M90" i="27"/>
  <c r="L90" i="27"/>
  <c r="L109" i="27" s="1"/>
  <c r="I90" i="27"/>
  <c r="I109" i="27" s="1"/>
  <c r="H90" i="27"/>
  <c r="G90" i="27"/>
  <c r="F90" i="27"/>
  <c r="F109" i="27" s="1"/>
  <c r="N89" i="27"/>
  <c r="K89" i="27"/>
  <c r="J89" i="27"/>
  <c r="N88" i="27"/>
  <c r="K88" i="27"/>
  <c r="J88" i="27"/>
  <c r="N87" i="27"/>
  <c r="K87" i="27"/>
  <c r="J87" i="27"/>
  <c r="N85" i="27"/>
  <c r="K85" i="27"/>
  <c r="J85" i="27"/>
  <c r="N84" i="27"/>
  <c r="K84" i="27"/>
  <c r="J84" i="27"/>
  <c r="N82" i="27"/>
  <c r="K82" i="27"/>
  <c r="J82" i="27"/>
  <c r="N81" i="27"/>
  <c r="K81" i="27"/>
  <c r="J81" i="27"/>
  <c r="N79" i="27"/>
  <c r="K79" i="27"/>
  <c r="J79" i="27"/>
  <c r="N78" i="27"/>
  <c r="K78" i="27"/>
  <c r="J78" i="27"/>
  <c r="N76" i="27"/>
  <c r="K76" i="27"/>
  <c r="J76" i="27"/>
  <c r="N75" i="27"/>
  <c r="K75" i="27"/>
  <c r="J75" i="27"/>
  <c r="N73" i="27"/>
  <c r="K73" i="27"/>
  <c r="J73" i="27"/>
  <c r="N72" i="27"/>
  <c r="K72" i="27"/>
  <c r="J72" i="27"/>
  <c r="N69" i="27"/>
  <c r="K69" i="27"/>
  <c r="J69" i="27"/>
  <c r="N68" i="27"/>
  <c r="K68" i="27"/>
  <c r="J68" i="27"/>
  <c r="N67" i="27"/>
  <c r="K67" i="27"/>
  <c r="J67" i="27"/>
  <c r="N65" i="27"/>
  <c r="K65" i="27"/>
  <c r="J65" i="27"/>
  <c r="N64" i="27"/>
  <c r="K64" i="27"/>
  <c r="J64" i="27"/>
  <c r="N63" i="27"/>
  <c r="K63" i="27"/>
  <c r="J63" i="27"/>
  <c r="N61" i="27"/>
  <c r="K61" i="27"/>
  <c r="J61" i="27"/>
  <c r="N60" i="27"/>
  <c r="K60" i="27"/>
  <c r="J60" i="27"/>
  <c r="N59" i="27"/>
  <c r="K59" i="27"/>
  <c r="J59" i="27"/>
  <c r="N57" i="27"/>
  <c r="K57" i="27"/>
  <c r="J57" i="27"/>
  <c r="N56" i="27"/>
  <c r="K56" i="27"/>
  <c r="J56" i="27"/>
  <c r="N55" i="27"/>
  <c r="K55" i="27"/>
  <c r="J55" i="27"/>
  <c r="N53" i="27"/>
  <c r="K53" i="27"/>
  <c r="J53" i="27"/>
  <c r="N52" i="27"/>
  <c r="K52" i="27"/>
  <c r="J52" i="27"/>
  <c r="N51" i="27"/>
  <c r="K51" i="27"/>
  <c r="J51" i="27"/>
  <c r="N49" i="27"/>
  <c r="N48" i="27"/>
  <c r="N47" i="27"/>
  <c r="K47" i="27"/>
  <c r="J47" i="27"/>
  <c r="N45" i="27"/>
  <c r="K45" i="27"/>
  <c r="J45" i="27"/>
  <c r="N44" i="27"/>
  <c r="K44" i="27"/>
  <c r="J44" i="27"/>
  <c r="N43" i="27"/>
  <c r="K43" i="27"/>
  <c r="J43" i="27"/>
  <c r="N38" i="27"/>
  <c r="K38" i="27"/>
  <c r="J38" i="27"/>
  <c r="N37" i="27"/>
  <c r="K37" i="27"/>
  <c r="J37" i="27"/>
  <c r="N36" i="27"/>
  <c r="K36" i="27"/>
  <c r="J36" i="27"/>
  <c r="N35" i="27"/>
  <c r="K35" i="27"/>
  <c r="J35" i="27"/>
  <c r="N33" i="27"/>
  <c r="K33" i="27"/>
  <c r="J33" i="27"/>
  <c r="N32" i="27"/>
  <c r="K32" i="27"/>
  <c r="J32" i="27"/>
  <c r="N31" i="27"/>
  <c r="K31" i="27"/>
  <c r="J31" i="27"/>
  <c r="N29" i="27"/>
  <c r="K29" i="27"/>
  <c r="J29" i="27"/>
  <c r="N28" i="27"/>
  <c r="K28" i="27"/>
  <c r="J28" i="27"/>
  <c r="N27" i="27"/>
  <c r="K27" i="27"/>
  <c r="J27" i="27"/>
  <c r="N26" i="27"/>
  <c r="K26" i="27"/>
  <c r="J26" i="27"/>
  <c r="N24" i="27"/>
  <c r="K24" i="27"/>
  <c r="J24" i="27"/>
  <c r="N23" i="27"/>
  <c r="K23" i="27"/>
  <c r="J23" i="27"/>
  <c r="M21" i="27"/>
  <c r="L21" i="27"/>
  <c r="I21" i="27"/>
  <c r="H21" i="27"/>
  <c r="G21" i="27"/>
  <c r="G39" i="27" s="1"/>
  <c r="F21" i="27"/>
  <c r="F39" i="27" s="1"/>
  <c r="N20" i="27"/>
  <c r="K20" i="27"/>
  <c r="J20" i="27"/>
  <c r="N19" i="27"/>
  <c r="K19" i="27"/>
  <c r="J19" i="27"/>
  <c r="N18" i="27"/>
  <c r="K18" i="27"/>
  <c r="J18" i="27"/>
  <c r="M16" i="27"/>
  <c r="L16" i="27"/>
  <c r="I16" i="27"/>
  <c r="H16" i="27"/>
  <c r="H39" i="27" s="1"/>
  <c r="G16" i="27"/>
  <c r="F16" i="27"/>
  <c r="N15" i="27"/>
  <c r="K15" i="27"/>
  <c r="J15" i="27"/>
  <c r="N14" i="27"/>
  <c r="K14" i="27"/>
  <c r="J14" i="27"/>
  <c r="N13" i="27"/>
  <c r="K13" i="27"/>
  <c r="J13" i="27"/>
  <c r="D42" i="22"/>
  <c r="B42" i="22"/>
  <c r="D39" i="22"/>
  <c r="B39" i="22"/>
  <c r="B43" i="22" s="1"/>
  <c r="D33" i="22"/>
  <c r="B33" i="22"/>
  <c r="D30" i="22"/>
  <c r="B30" i="22"/>
  <c r="D24" i="22"/>
  <c r="B24" i="22"/>
  <c r="D17" i="22"/>
  <c r="B17" i="22"/>
  <c r="B25" i="22" s="1"/>
  <c r="D16" i="29"/>
  <c r="G16" i="29" s="1"/>
  <c r="B16" i="29"/>
  <c r="B17" i="29" s="1"/>
  <c r="D14" i="29"/>
  <c r="G13" i="29"/>
  <c r="F13" i="29"/>
  <c r="G12" i="29"/>
  <c r="G10" i="29"/>
  <c r="H29" i="28"/>
  <c r="F29" i="28"/>
  <c r="H28" i="28"/>
  <c r="F28" i="28"/>
  <c r="H27" i="28"/>
  <c r="F27" i="28"/>
  <c r="E23" i="28"/>
  <c r="H23" i="28" s="1"/>
  <c r="H22" i="28"/>
  <c r="F22" i="28"/>
  <c r="H21" i="28"/>
  <c r="F21" i="28"/>
  <c r="H20" i="28"/>
  <c r="C20" i="28"/>
  <c r="F20" i="28" s="1"/>
  <c r="H19" i="28"/>
  <c r="F19" i="28"/>
  <c r="E16" i="28"/>
  <c r="C16" i="28"/>
  <c r="H15" i="28"/>
  <c r="F15" i="28"/>
  <c r="H14" i="28"/>
  <c r="F14" i="28"/>
  <c r="H13" i="28"/>
  <c r="F13" i="28"/>
  <c r="H12" i="28"/>
  <c r="F12" i="28"/>
  <c r="H11" i="28"/>
  <c r="F11" i="28"/>
  <c r="G44" i="23"/>
  <c r="B44" i="23"/>
  <c r="D40" i="23"/>
  <c r="G40" i="23" s="1"/>
  <c r="B40" i="23"/>
  <c r="F40" i="23" s="1"/>
  <c r="G39" i="23"/>
  <c r="F39" i="23"/>
  <c r="G38" i="23"/>
  <c r="F38" i="23"/>
  <c r="D35" i="23"/>
  <c r="B35" i="23"/>
  <c r="F35" i="23" s="1"/>
  <c r="G34" i="23"/>
  <c r="F34" i="23"/>
  <c r="G33" i="23"/>
  <c r="F33" i="23"/>
  <c r="G32" i="23"/>
  <c r="F32" i="23"/>
  <c r="G31" i="23"/>
  <c r="F31" i="23"/>
  <c r="G30" i="23"/>
  <c r="F30" i="23"/>
  <c r="G29" i="23"/>
  <c r="F29" i="23"/>
  <c r="G28" i="23"/>
  <c r="F28" i="23"/>
  <c r="D23" i="23"/>
  <c r="G23" i="23" s="1"/>
  <c r="B23" i="23"/>
  <c r="G22" i="23"/>
  <c r="F22" i="23"/>
  <c r="G21" i="23"/>
  <c r="F21" i="23"/>
  <c r="G20" i="23"/>
  <c r="F20" i="23"/>
  <c r="D17" i="23"/>
  <c r="G17" i="23" s="1"/>
  <c r="B17" i="23"/>
  <c r="F17" i="23" s="1"/>
  <c r="G16" i="23"/>
  <c r="F16" i="23"/>
  <c r="G15" i="23"/>
  <c r="F15" i="23"/>
  <c r="G14" i="23"/>
  <c r="F14" i="23"/>
  <c r="G13" i="23"/>
  <c r="F13" i="23"/>
  <c r="G12" i="23"/>
  <c r="F12" i="23"/>
  <c r="D41" i="23" l="1"/>
  <c r="B34" i="22"/>
  <c r="C23" i="28"/>
  <c r="F23" i="28" s="1"/>
  <c r="D43" i="22"/>
  <c r="L39" i="27"/>
  <c r="G109" i="27"/>
  <c r="M39" i="27"/>
  <c r="N16" i="27"/>
  <c r="D34" i="22"/>
  <c r="D25" i="22"/>
  <c r="D46" i="22" s="1"/>
  <c r="D48" i="22" s="1"/>
  <c r="D18" i="29"/>
  <c r="B10" i="29" s="1"/>
  <c r="B14" i="29" s="1"/>
  <c r="N108" i="27"/>
  <c r="N90" i="27"/>
  <c r="J21" i="27"/>
  <c r="H109" i="27"/>
  <c r="H110" i="27" s="1"/>
  <c r="K21" i="27"/>
  <c r="N21" i="27"/>
  <c r="I39" i="27"/>
  <c r="J16" i="27"/>
  <c r="J108" i="27"/>
  <c r="K16" i="27"/>
  <c r="K108" i="27"/>
  <c r="E25" i="28"/>
  <c r="E30" i="28" s="1"/>
  <c r="H30" i="28" s="1"/>
  <c r="G41" i="23"/>
  <c r="D45" i="23"/>
  <c r="G45" i="23" s="1"/>
  <c r="B24" i="23"/>
  <c r="B41" i="23"/>
  <c r="F41" i="23" s="1"/>
  <c r="K90" i="27"/>
  <c r="J90" i="27"/>
  <c r="M109" i="27"/>
  <c r="D17" i="29"/>
  <c r="F110" i="27"/>
  <c r="L110" i="27"/>
  <c r="B46" i="22"/>
  <c r="G14" i="29"/>
  <c r="F16" i="29"/>
  <c r="F44" i="23"/>
  <c r="F23" i="23"/>
  <c r="D24" i="23"/>
  <c r="G24" i="23" s="1"/>
  <c r="J109" i="27" l="1"/>
  <c r="F10" i="29"/>
  <c r="H25" i="28"/>
  <c r="N109" i="27"/>
  <c r="C25" i="28"/>
  <c r="N39" i="27"/>
  <c r="N110" i="27" s="1"/>
  <c r="K39" i="27"/>
  <c r="K109" i="27"/>
  <c r="J39" i="27"/>
  <c r="J110" i="27" s="1"/>
  <c r="F24" i="23"/>
  <c r="B45" i="23"/>
  <c r="F45" i="23" s="1"/>
  <c r="B47" i="22"/>
  <c r="B48" i="22" s="1"/>
  <c r="B54" i="22" s="1"/>
  <c r="D54" i="22"/>
  <c r="B18" i="29"/>
  <c r="F14" i="29"/>
  <c r="C30" i="28" l="1"/>
  <c r="F30" i="28" s="1"/>
  <c r="F25" i="28"/>
  <c r="B49" i="23"/>
  <c r="F116" i="20" l="1"/>
  <c r="K89" i="20"/>
  <c r="J89" i="20"/>
  <c r="G77" i="20"/>
  <c r="G78" i="20" s="1"/>
  <c r="F77" i="20"/>
  <c r="F78" i="20" s="1"/>
  <c r="E77" i="20"/>
  <c r="E78" i="20" s="1"/>
  <c r="G73" i="20"/>
  <c r="F73" i="20"/>
  <c r="E73" i="20"/>
  <c r="G70" i="20"/>
  <c r="F70" i="20"/>
  <c r="E70" i="20"/>
  <c r="G66" i="20"/>
  <c r="F66" i="20"/>
  <c r="E66" i="20"/>
  <c r="G62" i="20"/>
  <c r="F62" i="20"/>
  <c r="E62" i="20"/>
  <c r="G60" i="20"/>
  <c r="F60" i="20"/>
  <c r="E60" i="20"/>
  <c r="G49" i="20"/>
  <c r="F49" i="20"/>
  <c r="E49" i="20"/>
  <c r="G47" i="20"/>
  <c r="F47" i="20"/>
  <c r="E47" i="20"/>
  <c r="F36" i="20"/>
  <c r="E36" i="20"/>
  <c r="G35" i="20"/>
  <c r="G34" i="20"/>
  <c r="F33" i="20"/>
  <c r="E33" i="20"/>
  <c r="G32" i="20"/>
  <c r="G33" i="20" s="1"/>
  <c r="F31" i="20"/>
  <c r="E31" i="20"/>
  <c r="G30" i="20"/>
  <c r="G29" i="20"/>
  <c r="G28" i="20"/>
  <c r="G27" i="20"/>
  <c r="G26" i="20"/>
  <c r="G25" i="20"/>
  <c r="G24" i="20"/>
  <c r="F23" i="20"/>
  <c r="E23" i="20"/>
  <c r="G22" i="20"/>
  <c r="G21" i="20"/>
  <c r="G20" i="20"/>
  <c r="G19" i="20"/>
  <c r="G18" i="20"/>
  <c r="G17" i="20"/>
  <c r="G16" i="20"/>
  <c r="G15" i="20"/>
  <c r="G13" i="20"/>
  <c r="F13" i="20"/>
  <c r="E13" i="20"/>
  <c r="G9" i="20"/>
  <c r="F9" i="20"/>
  <c r="E9" i="20"/>
  <c r="E139" i="19"/>
  <c r="D139" i="19"/>
  <c r="E137" i="19"/>
  <c r="D137" i="19"/>
  <c r="E135" i="19"/>
  <c r="D135" i="19"/>
  <c r="E131" i="19"/>
  <c r="D131" i="19"/>
  <c r="E123" i="19"/>
  <c r="D123" i="19"/>
  <c r="E121" i="19"/>
  <c r="D121" i="19"/>
  <c r="E119" i="19"/>
  <c r="D119" i="19"/>
  <c r="E117" i="19"/>
  <c r="D117" i="19"/>
  <c r="E114" i="19"/>
  <c r="D114" i="19"/>
  <c r="E111" i="19"/>
  <c r="D111" i="19"/>
  <c r="E108" i="19"/>
  <c r="D108" i="19"/>
  <c r="E99" i="19"/>
  <c r="D99" i="19"/>
  <c r="E97" i="19"/>
  <c r="D97" i="19"/>
  <c r="E95" i="19"/>
  <c r="D95" i="19"/>
  <c r="E92" i="19"/>
  <c r="D92" i="19"/>
  <c r="E90" i="19"/>
  <c r="D90" i="19"/>
  <c r="E88" i="19"/>
  <c r="D88" i="19"/>
  <c r="E85" i="19"/>
  <c r="D85" i="19"/>
  <c r="E83" i="19"/>
  <c r="D83" i="19"/>
  <c r="E81" i="19"/>
  <c r="D81" i="19"/>
  <c r="E78" i="19"/>
  <c r="D78" i="19"/>
  <c r="E71" i="19"/>
  <c r="D71" i="19"/>
  <c r="E63" i="19"/>
  <c r="D63" i="19"/>
  <c r="E58" i="19"/>
  <c r="D58" i="19"/>
  <c r="E53" i="19"/>
  <c r="D53" i="19"/>
  <c r="E51" i="19"/>
  <c r="D51" i="19"/>
  <c r="E45" i="19"/>
  <c r="D45" i="19"/>
  <c r="E37" i="19"/>
  <c r="D37" i="19"/>
  <c r="E35" i="19"/>
  <c r="D35" i="19"/>
  <c r="E32" i="19"/>
  <c r="D32" i="19"/>
  <c r="E29" i="19"/>
  <c r="D29" i="19"/>
  <c r="E26" i="19"/>
  <c r="D26" i="19"/>
  <c r="E18" i="19"/>
  <c r="D18" i="19"/>
  <c r="E15" i="19"/>
  <c r="D15" i="19"/>
  <c r="E13" i="19"/>
  <c r="D13" i="19"/>
  <c r="E11" i="19"/>
  <c r="D11" i="19"/>
  <c r="E7" i="19"/>
  <c r="D7" i="19"/>
  <c r="F128" i="18"/>
  <c r="E128" i="18"/>
  <c r="F124" i="18"/>
  <c r="E124" i="18"/>
  <c r="F121" i="18"/>
  <c r="F122" i="18" s="1"/>
  <c r="E121" i="18"/>
  <c r="E122" i="18" s="1"/>
  <c r="F118" i="18"/>
  <c r="E118" i="18"/>
  <c r="F116" i="18"/>
  <c r="E116" i="18"/>
  <c r="F109" i="18"/>
  <c r="E109" i="18"/>
  <c r="F105" i="18"/>
  <c r="E105" i="18"/>
  <c r="F103" i="18"/>
  <c r="E103" i="18"/>
  <c r="F95" i="18"/>
  <c r="E95" i="18"/>
  <c r="F90" i="18"/>
  <c r="E90" i="18"/>
  <c r="F88" i="18"/>
  <c r="E88" i="18"/>
  <c r="F82" i="18"/>
  <c r="E82" i="18"/>
  <c r="F51" i="18"/>
  <c r="E51" i="18"/>
  <c r="F35" i="18"/>
  <c r="E35" i="18"/>
  <c r="D112" i="19" l="1"/>
  <c r="E93" i="19"/>
  <c r="E112" i="19"/>
  <c r="E83" i="18"/>
  <c r="D79" i="19"/>
  <c r="D140" i="19"/>
  <c r="E132" i="19"/>
  <c r="F14" i="20"/>
  <c r="E46" i="19"/>
  <c r="F96" i="18"/>
  <c r="F74" i="20"/>
  <c r="E119" i="18"/>
  <c r="G23" i="20"/>
  <c r="E79" i="19"/>
  <c r="E140" i="19"/>
  <c r="D132" i="19"/>
  <c r="E129" i="18"/>
  <c r="D46" i="19"/>
  <c r="D93" i="19"/>
  <c r="G14" i="20"/>
  <c r="G31" i="20"/>
  <c r="F37" i="20"/>
  <c r="E37" i="20"/>
  <c r="E63" i="20"/>
  <c r="F63" i="20"/>
  <c r="G63" i="20"/>
  <c r="E14" i="20"/>
  <c r="G36" i="20"/>
  <c r="E74" i="20"/>
  <c r="G74" i="20"/>
  <c r="F83" i="18"/>
  <c r="F119" i="18"/>
  <c r="E106" i="18"/>
  <c r="F106" i="18"/>
  <c r="F129" i="18"/>
  <c r="E96" i="18"/>
  <c r="G37" i="20" l="1"/>
  <c r="G79" i="20"/>
  <c r="F79" i="20"/>
  <c r="D141" i="19"/>
  <c r="E141" i="19"/>
  <c r="E79" i="20"/>
  <c r="E130" i="18"/>
  <c r="F130" i="18"/>
  <c r="O131" i="17"/>
  <c r="P129" i="17"/>
  <c r="K128" i="17"/>
  <c r="I128" i="17"/>
  <c r="L127" i="17"/>
  <c r="M127" i="17" s="1"/>
  <c r="J127" i="17"/>
  <c r="G127" i="17"/>
  <c r="L126" i="17"/>
  <c r="M126" i="17" s="1"/>
  <c r="J126" i="17"/>
  <c r="G126" i="17"/>
  <c r="L125" i="17"/>
  <c r="M125" i="17" s="1"/>
  <c r="J125" i="17"/>
  <c r="G125" i="17"/>
  <c r="L124" i="17"/>
  <c r="M124" i="17" s="1"/>
  <c r="J124" i="17"/>
  <c r="G124" i="17"/>
  <c r="L123" i="17"/>
  <c r="M123" i="17" s="1"/>
  <c r="J123" i="17"/>
  <c r="G123" i="17"/>
  <c r="L122" i="17"/>
  <c r="M122" i="17" s="1"/>
  <c r="J122" i="17"/>
  <c r="G122" i="17"/>
  <c r="L121" i="17"/>
  <c r="M121" i="17" s="1"/>
  <c r="J121" i="17"/>
  <c r="G121" i="17"/>
  <c r="L120" i="17"/>
  <c r="M120" i="17" s="1"/>
  <c r="J120" i="17"/>
  <c r="G120" i="17"/>
  <c r="L119" i="17"/>
  <c r="M119" i="17" s="1"/>
  <c r="J119" i="17"/>
  <c r="G119" i="17"/>
  <c r="L118" i="17"/>
  <c r="M118" i="17" s="1"/>
  <c r="J118" i="17"/>
  <c r="G118" i="17"/>
  <c r="L117" i="17"/>
  <c r="M117" i="17" s="1"/>
  <c r="J117" i="17"/>
  <c r="G117" i="17"/>
  <c r="L116" i="17"/>
  <c r="M116" i="17" s="1"/>
  <c r="J116" i="17"/>
  <c r="G116" i="17"/>
  <c r="L115" i="17"/>
  <c r="M115" i="17" s="1"/>
  <c r="J115" i="17"/>
  <c r="G115" i="17"/>
  <c r="L114" i="17"/>
  <c r="M114" i="17" s="1"/>
  <c r="J114" i="17"/>
  <c r="G114" i="17"/>
  <c r="L113" i="17"/>
  <c r="M113" i="17" s="1"/>
  <c r="J113" i="17"/>
  <c r="G113" i="17"/>
  <c r="H112" i="17"/>
  <c r="J112" i="17" s="1"/>
  <c r="F112" i="17"/>
  <c r="F128" i="17" s="1"/>
  <c r="E112" i="17"/>
  <c r="K110" i="17"/>
  <c r="I110" i="17"/>
  <c r="L109" i="17"/>
  <c r="M109" i="17" s="1"/>
  <c r="J109" i="17"/>
  <c r="G109" i="17"/>
  <c r="L108" i="17"/>
  <c r="M108" i="17" s="1"/>
  <c r="J108" i="17"/>
  <c r="G108" i="17"/>
  <c r="L107" i="17"/>
  <c r="M107" i="17" s="1"/>
  <c r="J107" i="17"/>
  <c r="G107" i="17"/>
  <c r="L106" i="17"/>
  <c r="M106" i="17" s="1"/>
  <c r="J106" i="17"/>
  <c r="G106" i="17"/>
  <c r="L105" i="17"/>
  <c r="M105" i="17" s="1"/>
  <c r="J105" i="17"/>
  <c r="G105" i="17"/>
  <c r="L104" i="17"/>
  <c r="M104" i="17" s="1"/>
  <c r="J104" i="17"/>
  <c r="G104" i="17"/>
  <c r="H103" i="17"/>
  <c r="J103" i="17" s="1"/>
  <c r="F103" i="17"/>
  <c r="F110" i="17" s="1"/>
  <c r="E103" i="17"/>
  <c r="K101" i="17"/>
  <c r="L100" i="17"/>
  <c r="M100" i="17" s="1"/>
  <c r="J100" i="17"/>
  <c r="G100" i="17"/>
  <c r="L99" i="17"/>
  <c r="M99" i="17" s="1"/>
  <c r="J99" i="17"/>
  <c r="G99" i="17"/>
  <c r="L98" i="17"/>
  <c r="M98" i="17" s="1"/>
  <c r="J98" i="17"/>
  <c r="G98" i="17"/>
  <c r="H97" i="17"/>
  <c r="J97" i="17" s="1"/>
  <c r="G97" i="17"/>
  <c r="I96" i="17"/>
  <c r="I101" i="17" s="1"/>
  <c r="H96" i="17"/>
  <c r="F96" i="17"/>
  <c r="F101" i="17" s="1"/>
  <c r="E96" i="17"/>
  <c r="G96" i="17" s="1"/>
  <c r="K94" i="17"/>
  <c r="F94" i="17"/>
  <c r="E94" i="17"/>
  <c r="L93" i="17"/>
  <c r="M93" i="17" s="1"/>
  <c r="J93" i="17"/>
  <c r="G93" i="17"/>
  <c r="I92" i="17"/>
  <c r="I94" i="17" s="1"/>
  <c r="H92" i="17"/>
  <c r="G92" i="17"/>
  <c r="L90" i="17"/>
  <c r="K90" i="17"/>
  <c r="H90" i="17"/>
  <c r="F90" i="17"/>
  <c r="E90" i="17"/>
  <c r="M89" i="17"/>
  <c r="I89" i="17"/>
  <c r="I90" i="17" s="1"/>
  <c r="G89" i="17"/>
  <c r="P86" i="17"/>
  <c r="K85" i="17"/>
  <c r="I85" i="17"/>
  <c r="H85" i="17"/>
  <c r="F85" i="17"/>
  <c r="E85" i="17"/>
  <c r="L84" i="17"/>
  <c r="M84" i="17" s="1"/>
  <c r="J84" i="17"/>
  <c r="G84" i="17"/>
  <c r="L83" i="17"/>
  <c r="M83" i="17" s="1"/>
  <c r="J83" i="17"/>
  <c r="G83" i="17"/>
  <c r="L82" i="17"/>
  <c r="M82" i="17" s="1"/>
  <c r="J82" i="17"/>
  <c r="G82" i="17"/>
  <c r="L81" i="17"/>
  <c r="M81" i="17" s="1"/>
  <c r="J81" i="17"/>
  <c r="G81" i="17"/>
  <c r="L80" i="17"/>
  <c r="M80" i="17" s="1"/>
  <c r="J80" i="17"/>
  <c r="G80" i="17"/>
  <c r="L79" i="17"/>
  <c r="M79" i="17" s="1"/>
  <c r="J79" i="17"/>
  <c r="G79" i="17"/>
  <c r="L78" i="17"/>
  <c r="M78" i="17" s="1"/>
  <c r="J78" i="17"/>
  <c r="G78" i="17"/>
  <c r="L77" i="17"/>
  <c r="M77" i="17" s="1"/>
  <c r="J77" i="17"/>
  <c r="G77" i="17"/>
  <c r="L76" i="17"/>
  <c r="M76" i="17" s="1"/>
  <c r="J76" i="17"/>
  <c r="G76" i="17"/>
  <c r="L75" i="17"/>
  <c r="M75" i="17" s="1"/>
  <c r="J75" i="17"/>
  <c r="G75" i="17"/>
  <c r="L74" i="17"/>
  <c r="M74" i="17" s="1"/>
  <c r="J74" i="17"/>
  <c r="G74" i="17"/>
  <c r="L73" i="17"/>
  <c r="M73" i="17" s="1"/>
  <c r="J73" i="17"/>
  <c r="G73" i="17"/>
  <c r="L72" i="17"/>
  <c r="M72" i="17" s="1"/>
  <c r="J72" i="17"/>
  <c r="G72" i="17"/>
  <c r="L71" i="17"/>
  <c r="M71" i="17" s="1"/>
  <c r="J71" i="17"/>
  <c r="G71" i="17"/>
  <c r="K69" i="17"/>
  <c r="I69" i="17"/>
  <c r="H69" i="17"/>
  <c r="F69" i="17"/>
  <c r="E69" i="17"/>
  <c r="L68" i="17"/>
  <c r="M68" i="17" s="1"/>
  <c r="J68" i="17"/>
  <c r="G68" i="17"/>
  <c r="L67" i="17"/>
  <c r="M67" i="17" s="1"/>
  <c r="J67" i="17"/>
  <c r="G67" i="17"/>
  <c r="L66" i="17"/>
  <c r="J66" i="17"/>
  <c r="G66" i="17"/>
  <c r="K64" i="17"/>
  <c r="I64" i="17"/>
  <c r="H64" i="17"/>
  <c r="F64" i="17"/>
  <c r="E64" i="17"/>
  <c r="L63" i="17"/>
  <c r="L64" i="17" s="1"/>
  <c r="J63" i="17"/>
  <c r="G63" i="17"/>
  <c r="K61" i="17"/>
  <c r="I61" i="17"/>
  <c r="H61" i="17"/>
  <c r="F61" i="17"/>
  <c r="E61" i="17"/>
  <c r="L60" i="17"/>
  <c r="L61" i="17" s="1"/>
  <c r="J60" i="17"/>
  <c r="G60" i="17"/>
  <c r="K58" i="17"/>
  <c r="I58" i="17"/>
  <c r="H58" i="17"/>
  <c r="F58" i="17"/>
  <c r="E58" i="17"/>
  <c r="L57" i="17"/>
  <c r="L58" i="17" s="1"/>
  <c r="J57" i="17"/>
  <c r="G57" i="17"/>
  <c r="P54" i="17"/>
  <c r="I53" i="17"/>
  <c r="F53" i="17"/>
  <c r="E53" i="17"/>
  <c r="L52" i="17"/>
  <c r="M52" i="17" s="1"/>
  <c r="J52" i="17"/>
  <c r="G52" i="17"/>
  <c r="K51" i="17"/>
  <c r="M51" i="17" s="1"/>
  <c r="J51" i="17"/>
  <c r="G51" i="17"/>
  <c r="L50" i="17"/>
  <c r="L53" i="17" s="1"/>
  <c r="J50" i="17"/>
  <c r="G50" i="17"/>
  <c r="H49" i="17"/>
  <c r="J49" i="17" s="1"/>
  <c r="G49" i="17"/>
  <c r="L47" i="17"/>
  <c r="I47" i="17"/>
  <c r="F47" i="17"/>
  <c r="E47" i="17"/>
  <c r="K46" i="17"/>
  <c r="M46" i="17" s="1"/>
  <c r="J46" i="17"/>
  <c r="G46" i="17"/>
  <c r="K45" i="17"/>
  <c r="M45" i="17" s="1"/>
  <c r="J45" i="17"/>
  <c r="G45" i="17"/>
  <c r="K44" i="17"/>
  <c r="M44" i="17" s="1"/>
  <c r="J44" i="17"/>
  <c r="G44" i="17"/>
  <c r="K43" i="17"/>
  <c r="M43" i="17" s="1"/>
  <c r="J43" i="17"/>
  <c r="G43" i="17"/>
  <c r="K42" i="17"/>
  <c r="M42" i="17" s="1"/>
  <c r="J42" i="17"/>
  <c r="G42" i="17"/>
  <c r="K41" i="17"/>
  <c r="M41" i="17" s="1"/>
  <c r="J41" i="17"/>
  <c r="G41" i="17"/>
  <c r="H40" i="17"/>
  <c r="K40" i="17" s="1"/>
  <c r="M40" i="17" s="1"/>
  <c r="G40" i="17"/>
  <c r="H39" i="17"/>
  <c r="J39" i="17" s="1"/>
  <c r="G39" i="17"/>
  <c r="M38" i="17"/>
  <c r="J38" i="17"/>
  <c r="G38" i="17"/>
  <c r="H37" i="17"/>
  <c r="G37" i="17"/>
  <c r="K35" i="17"/>
  <c r="I35" i="17"/>
  <c r="H35" i="17"/>
  <c r="F35" i="17"/>
  <c r="E35" i="17"/>
  <c r="L34" i="17"/>
  <c r="M34" i="17" s="1"/>
  <c r="J34" i="17"/>
  <c r="G34" i="17"/>
  <c r="L33" i="17"/>
  <c r="M33" i="17" s="1"/>
  <c r="J33" i="17"/>
  <c r="G33" i="17"/>
  <c r="L32" i="17"/>
  <c r="M32" i="17" s="1"/>
  <c r="J32" i="17"/>
  <c r="G32" i="17"/>
  <c r="L31" i="17"/>
  <c r="M31" i="17" s="1"/>
  <c r="J31" i="17"/>
  <c r="G31" i="17"/>
  <c r="L30" i="17"/>
  <c r="M30" i="17" s="1"/>
  <c r="J30" i="17"/>
  <c r="G30" i="17"/>
  <c r="L29" i="17"/>
  <c r="M29" i="17" s="1"/>
  <c r="J29" i="17"/>
  <c r="G29" i="17"/>
  <c r="L28" i="17"/>
  <c r="M28" i="17" s="1"/>
  <c r="J28" i="17"/>
  <c r="G28" i="17"/>
  <c r="L27" i="17"/>
  <c r="M27" i="17" s="1"/>
  <c r="J27" i="17"/>
  <c r="G27" i="17"/>
  <c r="L26" i="17"/>
  <c r="J26" i="17"/>
  <c r="G26" i="17"/>
  <c r="I24" i="17"/>
  <c r="K23" i="17"/>
  <c r="J23" i="17"/>
  <c r="G23" i="17"/>
  <c r="H22" i="17"/>
  <c r="J22" i="17" s="1"/>
  <c r="J21" i="17"/>
  <c r="K21" i="17"/>
  <c r="M21" i="17" s="1"/>
  <c r="J20" i="17"/>
  <c r="L20" i="17" s="1"/>
  <c r="M20" i="17" s="1"/>
  <c r="G20" i="17"/>
  <c r="J19" i="17"/>
  <c r="K19" i="17"/>
  <c r="M19" i="17" s="1"/>
  <c r="L18" i="17"/>
  <c r="M18" i="17" s="1"/>
  <c r="J18" i="17"/>
  <c r="G18" i="17"/>
  <c r="J17" i="17"/>
  <c r="J16" i="17"/>
  <c r="K16" i="17"/>
  <c r="M16" i="17" s="1"/>
  <c r="H15" i="17"/>
  <c r="K15" i="17" s="1"/>
  <c r="M15" i="17" s="1"/>
  <c r="G15" i="17"/>
  <c r="H14" i="17"/>
  <c r="J14" i="17" s="1"/>
  <c r="M13" i="17"/>
  <c r="J13" i="17"/>
  <c r="G13" i="17"/>
  <c r="J12" i="17"/>
  <c r="G12" i="17"/>
  <c r="L12" i="17"/>
  <c r="M12" i="17" s="1"/>
  <c r="L11" i="17"/>
  <c r="J11" i="17"/>
  <c r="L10" i="17"/>
  <c r="M10" i="17" s="1"/>
  <c r="J10" i="17"/>
  <c r="G10" i="17"/>
  <c r="J9" i="17"/>
  <c r="F24" i="17"/>
  <c r="H47" i="17" l="1"/>
  <c r="J47" i="17" s="1"/>
  <c r="G94" i="17"/>
  <c r="I54" i="17"/>
  <c r="J61" i="17"/>
  <c r="J90" i="17"/>
  <c r="G90" i="17"/>
  <c r="K14" i="17"/>
  <c r="M14" i="17" s="1"/>
  <c r="K86" i="17"/>
  <c r="M90" i="17"/>
  <c r="J58" i="17"/>
  <c r="G112" i="17"/>
  <c r="M58" i="17"/>
  <c r="P131" i="17"/>
  <c r="J40" i="17"/>
  <c r="G64" i="17"/>
  <c r="F86" i="17"/>
  <c r="M64" i="17"/>
  <c r="G35" i="17"/>
  <c r="G61" i="17"/>
  <c r="K129" i="17"/>
  <c r="L85" i="17"/>
  <c r="M69" i="17"/>
  <c r="H24" i="17"/>
  <c r="J24" i="17" s="1"/>
  <c r="J89" i="17"/>
  <c r="L103" i="17"/>
  <c r="E110" i="17"/>
  <c r="G110" i="17" s="1"/>
  <c r="L97" i="17"/>
  <c r="M97" i="17" s="1"/>
  <c r="L35" i="17"/>
  <c r="M35" i="17" s="1"/>
  <c r="G47" i="17"/>
  <c r="G58" i="17"/>
  <c r="L69" i="17"/>
  <c r="G69" i="17"/>
  <c r="E128" i="17"/>
  <c r="G128" i="17" s="1"/>
  <c r="L23" i="17"/>
  <c r="J15" i="17"/>
  <c r="E24" i="17"/>
  <c r="H53" i="17"/>
  <c r="K49" i="17"/>
  <c r="L96" i="17"/>
  <c r="J96" i="17"/>
  <c r="J92" i="17"/>
  <c r="H94" i="17"/>
  <c r="J94" i="17" s="1"/>
  <c r="L92" i="17"/>
  <c r="G9" i="17"/>
  <c r="L9" i="17" s="1"/>
  <c r="G14" i="17"/>
  <c r="L17" i="17"/>
  <c r="M17" i="17" s="1"/>
  <c r="G17" i="17"/>
  <c r="J35" i="17"/>
  <c r="G53" i="17"/>
  <c r="M61" i="17"/>
  <c r="H101" i="17"/>
  <c r="J101" i="17" s="1"/>
  <c r="I129" i="17"/>
  <c r="E86" i="17"/>
  <c r="G85" i="17"/>
  <c r="J69" i="17"/>
  <c r="H86" i="17"/>
  <c r="K22" i="17"/>
  <c r="M22" i="17" s="1"/>
  <c r="G22" i="17"/>
  <c r="I86" i="17"/>
  <c r="M23" i="17"/>
  <c r="F54" i="17"/>
  <c r="J64" i="17"/>
  <c r="H128" i="17"/>
  <c r="L112" i="17"/>
  <c r="F129" i="17"/>
  <c r="J37" i="17"/>
  <c r="G19" i="17"/>
  <c r="M26" i="17"/>
  <c r="K37" i="17"/>
  <c r="K39" i="17"/>
  <c r="M39" i="17" s="1"/>
  <c r="M57" i="17"/>
  <c r="M60" i="17"/>
  <c r="M63" i="17"/>
  <c r="M66" i="17"/>
  <c r="G103" i="17"/>
  <c r="H110" i="17"/>
  <c r="J110" i="17" s="1"/>
  <c r="J85" i="17"/>
  <c r="E101" i="17"/>
  <c r="G11" i="17"/>
  <c r="K11" i="17"/>
  <c r="G16" i="17"/>
  <c r="G21" i="17"/>
  <c r="M50" i="17"/>
  <c r="G86" i="17" l="1"/>
  <c r="M85" i="17"/>
  <c r="L86" i="17"/>
  <c r="M86" i="17" s="1"/>
  <c r="M103" i="17"/>
  <c r="L110" i="17"/>
  <c r="M110" i="17" s="1"/>
  <c r="J86" i="17"/>
  <c r="J128" i="17"/>
  <c r="J129" i="17" s="1"/>
  <c r="H129" i="17"/>
  <c r="J53" i="17"/>
  <c r="H54" i="17"/>
  <c r="J54" i="17" s="1"/>
  <c r="E129" i="17"/>
  <c r="G101" i="17"/>
  <c r="G129" i="17" s="1"/>
  <c r="L101" i="17"/>
  <c r="M101" i="17" s="1"/>
  <c r="M96" i="17"/>
  <c r="K53" i="17"/>
  <c r="M49" i="17"/>
  <c r="F130" i="17"/>
  <c r="I130" i="17"/>
  <c r="L24" i="17"/>
  <c r="L54" i="17" s="1"/>
  <c r="M9" i="17"/>
  <c r="G24" i="17"/>
  <c r="E54" i="17"/>
  <c r="G54" i="17" s="1"/>
  <c r="M37" i="17"/>
  <c r="K47" i="17"/>
  <c r="M47" i="17" s="1"/>
  <c r="M11" i="17"/>
  <c r="K24" i="17"/>
  <c r="L128" i="17"/>
  <c r="M112" i="17"/>
  <c r="M92" i="17"/>
  <c r="L94" i="17"/>
  <c r="M94" i="17" s="1"/>
  <c r="J130" i="17" l="1"/>
  <c r="M128" i="17"/>
  <c r="M129" i="17" s="1"/>
  <c r="L129" i="17"/>
  <c r="L130" i="17" s="1"/>
  <c r="M24" i="17"/>
  <c r="G130" i="17"/>
  <c r="J131" i="17" s="1"/>
  <c r="E130" i="17"/>
  <c r="H130" i="17"/>
  <c r="K54" i="17"/>
  <c r="M53" i="17"/>
  <c r="M54" i="17" l="1"/>
  <c r="M130" i="17" s="1"/>
  <c r="M131" i="17" s="1"/>
  <c r="K130" i="17"/>
  <c r="F15" i="16"/>
  <c r="J65" i="15"/>
  <c r="K64" i="15"/>
  <c r="L64" i="15" s="1"/>
  <c r="L65" i="15" s="1"/>
  <c r="J63" i="15"/>
  <c r="K62" i="15"/>
  <c r="L62" i="15" s="1"/>
  <c r="L63" i="15" s="1"/>
  <c r="L61" i="15"/>
  <c r="J61" i="15"/>
  <c r="K60" i="15"/>
  <c r="K61" i="15" s="1"/>
  <c r="J59" i="15"/>
  <c r="K58" i="15"/>
  <c r="L58" i="15" s="1"/>
  <c r="K57" i="15"/>
  <c r="L57" i="15" s="1"/>
  <c r="K56" i="15"/>
  <c r="L56" i="15" s="1"/>
  <c r="J55" i="15"/>
  <c r="K54" i="15"/>
  <c r="K55" i="15" s="1"/>
  <c r="L52" i="15"/>
  <c r="K52" i="15"/>
  <c r="J52" i="15"/>
  <c r="L47" i="15"/>
  <c r="K47" i="15"/>
  <c r="J47" i="15"/>
  <c r="L41" i="15"/>
  <c r="K41" i="15"/>
  <c r="J41" i="15"/>
  <c r="L38" i="15"/>
  <c r="K38" i="15"/>
  <c r="J38" i="15"/>
  <c r="L27" i="15"/>
  <c r="K27" i="15"/>
  <c r="J27" i="15"/>
  <c r="J23" i="15"/>
  <c r="K22" i="15"/>
  <c r="K23" i="15" s="1"/>
  <c r="K21" i="15"/>
  <c r="J21" i="15"/>
  <c r="L20" i="15"/>
  <c r="L21" i="15" s="1"/>
  <c r="K20" i="15"/>
  <c r="J19" i="15"/>
  <c r="K18" i="15"/>
  <c r="L18" i="15" s="1"/>
  <c r="K17" i="15"/>
  <c r="K16" i="15"/>
  <c r="L16" i="15" s="1"/>
  <c r="J15" i="15"/>
  <c r="K14" i="15"/>
  <c r="L14" i="15" s="1"/>
  <c r="K13" i="15"/>
  <c r="L13" i="15" s="1"/>
  <c r="K12" i="15"/>
  <c r="L12" i="15" s="1"/>
  <c r="J11" i="15"/>
  <c r="J28" i="15" s="1"/>
  <c r="K10" i="15"/>
  <c r="L10" i="15" s="1"/>
  <c r="K9" i="15"/>
  <c r="L9" i="15" s="1"/>
  <c r="K8" i="15"/>
  <c r="L8" i="15" s="1"/>
  <c r="K7" i="15"/>
  <c r="H7" i="15"/>
  <c r="F73" i="14"/>
  <c r="F70" i="14"/>
  <c r="F68" i="14"/>
  <c r="F66" i="14"/>
  <c r="F62" i="14"/>
  <c r="F59" i="14"/>
  <c r="F51" i="14"/>
  <c r="F44" i="14"/>
  <c r="F41" i="14"/>
  <c r="F28" i="14"/>
  <c r="F24" i="14"/>
  <c r="F22" i="14"/>
  <c r="F19" i="14"/>
  <c r="F15" i="14"/>
  <c r="F11" i="14"/>
  <c r="F60" i="14" l="1"/>
  <c r="J66" i="15"/>
  <c r="L59" i="15"/>
  <c r="K53" i="15"/>
  <c r="K19" i="15"/>
  <c r="L54" i="15"/>
  <c r="L55" i="15" s="1"/>
  <c r="L66" i="15" s="1"/>
  <c r="F74" i="14"/>
  <c r="K59" i="15"/>
  <c r="K65" i="15"/>
  <c r="J53" i="15"/>
  <c r="J67" i="15" s="1"/>
  <c r="F29" i="14"/>
  <c r="F75" i="14" s="1"/>
  <c r="K11" i="15"/>
  <c r="K28" i="15" s="1"/>
  <c r="L53" i="15"/>
  <c r="L15" i="15"/>
  <c r="L7" i="15"/>
  <c r="L11" i="15" s="1"/>
  <c r="K63" i="15"/>
  <c r="L17" i="15"/>
  <c r="L19" i="15" s="1"/>
  <c r="K15" i="15"/>
  <c r="L22" i="15"/>
  <c r="L23" i="15" s="1"/>
  <c r="K66" i="15" l="1"/>
  <c r="L28" i="15"/>
  <c r="L67" i="15" s="1"/>
  <c r="K67" i="15"/>
  <c r="E264" i="12" l="1"/>
  <c r="D264" i="12"/>
  <c r="A25" i="12"/>
  <c r="A43" i="12" s="1"/>
  <c r="A60" i="12" s="1"/>
  <c r="A75" i="12" s="1"/>
  <c r="A89" i="12" s="1"/>
  <c r="A105" i="12" s="1"/>
  <c r="A118" i="12" s="1"/>
  <c r="A130" i="12" s="1"/>
  <c r="A148" i="12" s="1"/>
  <c r="A171" i="12" s="1"/>
  <c r="A186" i="12" s="1"/>
  <c r="A202" i="12" s="1"/>
  <c r="A219" i="12" s="1"/>
  <c r="A233" i="12" s="1"/>
  <c r="A249" i="12" s="1"/>
  <c r="L220" i="11" l="1"/>
  <c r="K220" i="11"/>
  <c r="J220" i="11"/>
  <c r="I220" i="11"/>
  <c r="H220" i="11"/>
  <c r="G220" i="11"/>
  <c r="F220" i="11"/>
  <c r="E220" i="11"/>
  <c r="D220" i="11"/>
  <c r="C220" i="11"/>
  <c r="B220" i="11"/>
  <c r="J174" i="9"/>
  <c r="I174" i="9"/>
  <c r="H174" i="9"/>
  <c r="J171" i="9"/>
  <c r="I171" i="9"/>
  <c r="H171" i="9"/>
  <c r="J153" i="9"/>
  <c r="I153" i="9"/>
  <c r="H153" i="9"/>
  <c r="J60" i="9"/>
  <c r="I60" i="9"/>
  <c r="H60" i="9"/>
  <c r="J57" i="9"/>
  <c r="I57" i="9"/>
  <c r="H57" i="9"/>
  <c r="J54" i="9"/>
  <c r="I54" i="9"/>
  <c r="H54" i="9"/>
  <c r="J47" i="9"/>
  <c r="I47" i="9"/>
  <c r="H47" i="9"/>
  <c r="J11" i="9"/>
  <c r="I11" i="9"/>
  <c r="H11" i="9"/>
  <c r="L33" i="8"/>
  <c r="K33" i="8"/>
  <c r="J33" i="8"/>
  <c r="L17" i="8"/>
  <c r="K17" i="8"/>
  <c r="J17" i="8"/>
  <c r="J169" i="7"/>
  <c r="I169" i="7"/>
  <c r="H169" i="7"/>
  <c r="J161" i="7"/>
  <c r="I161" i="7"/>
  <c r="H161" i="7"/>
  <c r="J157" i="7"/>
  <c r="I157" i="7"/>
  <c r="H157" i="7"/>
  <c r="J154" i="7"/>
  <c r="I154" i="7"/>
  <c r="H154" i="7"/>
  <c r="J132" i="7"/>
  <c r="I132" i="7"/>
  <c r="H132" i="7"/>
  <c r="J118" i="7"/>
  <c r="I118" i="7"/>
  <c r="H118" i="7"/>
  <c r="J115" i="7"/>
  <c r="I115" i="7"/>
  <c r="H115" i="7"/>
  <c r="L34" i="8" l="1"/>
  <c r="I175" i="9"/>
  <c r="J175" i="9"/>
  <c r="K34" i="8"/>
  <c r="H175" i="9"/>
  <c r="J34" i="8"/>
  <c r="I170" i="7"/>
  <c r="J170" i="7"/>
  <c r="H170" i="7"/>
  <c r="C26" i="5"/>
  <c r="C14" i="5"/>
  <c r="C27" i="5" l="1"/>
  <c r="J353" i="4"/>
  <c r="I353" i="4"/>
  <c r="H353" i="4"/>
  <c r="J350" i="4"/>
  <c r="I350" i="4"/>
  <c r="H350" i="4"/>
  <c r="J332" i="4"/>
  <c r="J354" i="4" s="1"/>
  <c r="I332" i="4"/>
  <c r="H332" i="4"/>
  <c r="J327" i="4"/>
  <c r="I327" i="4"/>
  <c r="H327" i="4"/>
  <c r="J285" i="4"/>
  <c r="I285" i="4"/>
  <c r="H285" i="4"/>
  <c r="J275" i="4"/>
  <c r="I275" i="4"/>
  <c r="H275" i="4"/>
  <c r="J272" i="4"/>
  <c r="I272" i="4"/>
  <c r="H272" i="4"/>
  <c r="J240" i="4"/>
  <c r="I240" i="4"/>
  <c r="H240" i="4"/>
  <c r="J203" i="4"/>
  <c r="I203" i="4"/>
  <c r="H203" i="4"/>
  <c r="J181" i="4"/>
  <c r="I181" i="4"/>
  <c r="H181" i="4"/>
  <c r="J113" i="4"/>
  <c r="I113" i="4"/>
  <c r="H113" i="4"/>
  <c r="J108" i="4"/>
  <c r="I108" i="4"/>
  <c r="H108" i="4"/>
  <c r="J102" i="4"/>
  <c r="I102" i="4"/>
  <c r="H102" i="4"/>
  <c r="J99" i="4"/>
  <c r="I99" i="4"/>
  <c r="H99" i="4"/>
  <c r="J29" i="4"/>
  <c r="I29" i="4"/>
  <c r="H29" i="4"/>
  <c r="I328" i="4" l="1"/>
  <c r="H328" i="4"/>
  <c r="I109" i="4"/>
  <c r="H109" i="4"/>
  <c r="J109" i="4"/>
  <c r="J328" i="4"/>
  <c r="H354" i="4"/>
  <c r="I354" i="4"/>
  <c r="I355" i="4" s="1"/>
  <c r="J355" i="4"/>
  <c r="H355" i="4" l="1"/>
</calcChain>
</file>

<file path=xl/sharedStrings.xml><?xml version="1.0" encoding="utf-8"?>
<sst xmlns="http://schemas.openxmlformats.org/spreadsheetml/2006/main" count="6848" uniqueCount="2541">
  <si>
    <t>City Government of Panabo</t>
  </si>
  <si>
    <t>Particulars</t>
  </si>
  <si>
    <t>Amount</t>
  </si>
  <si>
    <t>Davao del Norte Province</t>
  </si>
  <si>
    <t>List of PPE Used/Utilized by Other Government Agencies</t>
  </si>
  <si>
    <t>As at December 31, 2022</t>
  </si>
  <si>
    <t>Group Name</t>
  </si>
  <si>
    <t>Property Number</t>
  </si>
  <si>
    <t>Description</t>
  </si>
  <si>
    <t xml:space="preserve">Acquisition Date </t>
  </si>
  <si>
    <t>Est. Life</t>
  </si>
  <si>
    <t>Responsibility Center</t>
  </si>
  <si>
    <t>End-User</t>
  </si>
  <si>
    <t>Acquisition Cost</t>
  </si>
  <si>
    <t>Accumulated Depreciation</t>
  </si>
  <si>
    <t>Carrying Amount</t>
  </si>
  <si>
    <t>GENERAL FUND</t>
  </si>
  <si>
    <t>Communication Equipment</t>
  </si>
  <si>
    <t>10705070-04   General Fund Proper</t>
  </si>
  <si>
    <t>10705070-04-099CEGFP</t>
  </si>
  <si>
    <t>1 Set Satelitte, 1 unit 29" Kolin TV SR# 04560608-11228(New Kaputian Elem. School)416-001-0002-000009</t>
  </si>
  <si>
    <t>City Mayors Office</t>
  </si>
  <si>
    <t>Department of Education</t>
  </si>
  <si>
    <t>10705070-04-098CEGFP</t>
  </si>
  <si>
    <t>1 Set Satelitte, 1 unit 29" Kolin TV SR#045606-07-11062(Aumbay Elem. School)416-001-0002-000009</t>
  </si>
  <si>
    <t>10705070-04-068CEGFP</t>
  </si>
  <si>
    <t>1 Set Satelitte, 1 unit 29" Kolin TV SR#04560607-11216(Malativas Elem. School)416-001-0002-000009</t>
  </si>
  <si>
    <t>10705070-04-021CEGFP</t>
  </si>
  <si>
    <t>1 Set Satellite, 1 unit 29" Kolin TV SR#04560607-11000(Balet Elem. School)416-001-0002-000009</t>
  </si>
  <si>
    <t>10705070-04-070CEGFP</t>
  </si>
  <si>
    <t>1 Set Satellite, 1 unit 29" Kolin TV SR#04560607-11024(San Antonio Elem. School)416-001-0002-000009</t>
  </si>
  <si>
    <t>10705070-04-022CEGFP</t>
  </si>
  <si>
    <t>1 Set Satellite, 1 unit 29" Kolin TV SR#04560607-11028(Libertad Elem. School)416-001-0002-000009</t>
  </si>
  <si>
    <t>10705070-04-020CEGFP</t>
  </si>
  <si>
    <t>1 Set Satellite, 1 unit 29" Kolin TV SR#04560607-11231(Tubod Elem. School)416-001-0002-000009</t>
  </si>
  <si>
    <t>10705070-04-069CEGFP</t>
  </si>
  <si>
    <t>1 Set Satellite, 1 unit 29" Kolin TV(Tanglaw Elem. School)416-001-0002-000009</t>
  </si>
  <si>
    <t>10705070-04-040CEGFP</t>
  </si>
  <si>
    <t>1 Set Satellite, 1 unit Kolin TV SR#04560607-11065(Limao Elem. School)416-001-0002-000009</t>
  </si>
  <si>
    <t>10705070-04-016CEGFP</t>
  </si>
  <si>
    <t>1 set Satellite,1unit 29" Kolin TV SR#04560601-10652(Buenavista Elem. Schl.)</t>
  </si>
  <si>
    <t>10705070-04-097CEGFP</t>
  </si>
  <si>
    <t>1set Satellite, 1 unit 29" Kolin TV SR#04560607-11223(Narciso Galapin Elem. School)416-001-0002-000009</t>
  </si>
  <si>
    <t>10705070-04-064CEGFP</t>
  </si>
  <si>
    <t>1set Satellite, 1unit 29" Kolin TV SR#04560601-10683(Tagbitanag Elem. Schl.)</t>
  </si>
  <si>
    <t>10705070-04-015CEGFP</t>
  </si>
  <si>
    <t>1set Satellite, 1unit 29" Kolin TV SR#04560601-10750(Don Esteban Elem, School)</t>
  </si>
  <si>
    <t>10705070-04-091CEGFP</t>
  </si>
  <si>
    <t>1set Satellite, 1unit 29" Kolin TV SR#04560601-10854(San Jose Elem. Schl.)</t>
  </si>
  <si>
    <t>10705070-04-037CEGFP</t>
  </si>
  <si>
    <t>1set Satellite,1unit 29"  Kolin TV SR#04560601-(Mabunao Elem. Schl.)</t>
  </si>
  <si>
    <t>10705070-04-094CEGFP</t>
  </si>
  <si>
    <t>1set Satellite,1unit 29"  Kolin TV SR#04560601-10674(Anonang Elem. Schl.)</t>
  </si>
  <si>
    <t>10705070-04-092CEGFP</t>
  </si>
  <si>
    <t>1set Satellite,1unit 29"  Kolin TV SR#04560601-10707(Mabuhay Elem. Schl.)</t>
  </si>
  <si>
    <t>10705070-04-017CEGFP</t>
  </si>
  <si>
    <t>1set Satellite,1unit 29"  Kolin TV SR#04560601-10713(Tulalian Elem. Schl.)</t>
  </si>
  <si>
    <t>10705070-04-093CEGFP</t>
  </si>
  <si>
    <t>1set Satellite,1unit 29"  Kolin TV SR#04560601-10766(Cabayangan Elem. Schl.)</t>
  </si>
  <si>
    <t>10705070-04-018CEGFP</t>
  </si>
  <si>
    <t>1set Satellite,1unit 29"  Kolin TV SR#04560601-10809(San Roque Elem. Schl.)</t>
  </si>
  <si>
    <t>Subtotal - Communication Equipment  (GF)</t>
  </si>
  <si>
    <t>Other Infrastructure Assets</t>
  </si>
  <si>
    <t>10703990-01   20% Development Fund</t>
  </si>
  <si>
    <t>10703990-01-OIA20DF010</t>
  </si>
  <si>
    <t>14x30 linear of Multi-Purpose Gym  Phase5, brgy. Maduao-POW#2017-02-075)</t>
  </si>
  <si>
    <t>City Engineering Office</t>
  </si>
  <si>
    <t>Brgy. Maduao</t>
  </si>
  <si>
    <t>/</t>
  </si>
  <si>
    <t>10703990-01-OIA20DF001</t>
  </si>
  <si>
    <t>Completion of Health Center, Brgy.  Consolacion_POW#2015-10-564)</t>
  </si>
  <si>
    <t>Brgy. Consolacion</t>
  </si>
  <si>
    <t>10703990-01-OIA20DF002</t>
  </si>
  <si>
    <t>COMPLETION OF MULTI PURPOSE  BUILDING, BRGY. MABUNAO, PANABO CITY_POW#2015-03-170)</t>
  </si>
  <si>
    <t>Brgy. Mabunao</t>
  </si>
  <si>
    <t>10703990-01-OIA20DF003</t>
  </si>
  <si>
    <t>COMPLETION OF MULTI-PURPOSE  GYM &amp; PAVEMENT, BRGY. KIOTOY_POW # 2015-10-567_2014-02-101)</t>
  </si>
  <si>
    <t>Brgy. Kiotoy</t>
  </si>
  <si>
    <t>10703990-01-OIA20DF036</t>
  </si>
  <si>
    <t>Construction of Covered Court,Prk  Ramihan, Datu Abdul)</t>
  </si>
  <si>
    <t>Brgy. Datu Abdul</t>
  </si>
  <si>
    <t>10703990-01-OIA20DF031</t>
  </si>
  <si>
    <t>COnstruction of Gym -Mabunao</t>
  </si>
  <si>
    <t>10703990-01-OIA20DF037</t>
  </si>
  <si>
    <t>COVERED COURT , NEW VISAYAS)</t>
  </si>
  <si>
    <t>Brgy. New Visayas</t>
  </si>
  <si>
    <t>10703990-01-OIA20DF011</t>
  </si>
  <si>
    <t>Mini-Gym @ Bgry. Southern  Davao_POW#2017-05-437)</t>
  </si>
  <si>
    <t>Brgy. Southern Davao</t>
  </si>
  <si>
    <t>10703990-01-OIA20DF008</t>
  </si>
  <si>
    <t>Multi- Purpose Gym @ Tagpore_POW #  2017-01-074)</t>
  </si>
  <si>
    <t>Brgy. Tagpore</t>
  </si>
  <si>
    <t>10703990-01-OIA20DF032</t>
  </si>
  <si>
    <t>MULTI PURPOSE HALL FOR OUT OF  SCHOOL YOUT -CAGANGOHAN, PANABO CITY)</t>
  </si>
  <si>
    <t>Brgy. Cagangohan</t>
  </si>
  <si>
    <t>10703990-01-OIA20DF012</t>
  </si>
  <si>
    <t>Multi-Purpose Building @ Brgy.   Tagpore_POW#2016-07-363)</t>
  </si>
  <si>
    <t>10703990-01-OIA20DF016</t>
  </si>
  <si>
    <t>MULTI-PURPOSE GYM - BRGY. LITTLE   PANAY_POW#2015-07-354)</t>
  </si>
  <si>
    <t>Brgy. Little Panay</t>
  </si>
  <si>
    <t>10703990-01-OIA20DF013</t>
  </si>
  <si>
    <t>MULTI-PURPOSE GYM (PHASE 2) @  Brgy. San Roque_POW#2016-01-027)</t>
  </si>
  <si>
    <t>Brgy. San Roque</t>
  </si>
  <si>
    <t>10703990-01-OIA20DF014</t>
  </si>
  <si>
    <t>MULTI-PURPOSE GYM (PHASE II) @  Bgry. Little Panay_POW#2016-01-063)</t>
  </si>
  <si>
    <t>10703990-01-OIA20DF015</t>
  </si>
  <si>
    <t>MULTI-PURPOSE GYM (PHASE II),  Brgy. Upper Licanan_POW#2016-01-028)</t>
  </si>
  <si>
    <t>Brgy. Upper Licanan</t>
  </si>
  <si>
    <t>10703990-01-OIA20DF017</t>
  </si>
  <si>
    <t>MULTI-PURPOSE GYM, BRGY.   MADUAO_POW#2016-02-120)</t>
  </si>
  <si>
    <t>10703990-01-OIA20DF054</t>
  </si>
  <si>
    <t>MULTI-PURPOSE GYM, BRGY.  KATUALAN_POW#2016-01-056)</t>
  </si>
  <si>
    <t>Brgy. Katualan</t>
  </si>
  <si>
    <t>10703990-01-OIA20DF018</t>
  </si>
  <si>
    <t>MULTI-PURPOSE GYM, BRGY. SAN   ROQUE_POW#2015-06-313)</t>
  </si>
  <si>
    <t>Brgy. Roque</t>
  </si>
  <si>
    <t>10703990-01-OIA20DF020</t>
  </si>
  <si>
    <t>MULTI-PURPOSE GYM, BRGY.,  WATERFALL_POW#2016-02-099)</t>
  </si>
  <si>
    <t>Brgy. Waterfall</t>
  </si>
  <si>
    <t>10703990-01-OIA20DF005</t>
  </si>
  <si>
    <t>MULTI-PURPOSE GYM-BRGY.  CONSOLACION_POW # 2015-08-459)</t>
  </si>
  <si>
    <t>10703990-01-OIA20DF004</t>
  </si>
  <si>
    <t>Multi-Purpose Gym-Brgy. San  Nicolas_POW#2015-04-249)</t>
  </si>
  <si>
    <t>Brgy. San Nicolas</t>
  </si>
  <si>
    <t>10703990-01-OIA20DF033</t>
  </si>
  <si>
    <t>MULTI-PURPOSE GYM-BUENAVISTA  (2 SPAN), BRGY. BUENAVISTA_POW # 2015-08-417)</t>
  </si>
  <si>
    <t>Brgy. Buenavista</t>
  </si>
  <si>
    <t>10703990-01-OIA20DF021</t>
  </si>
  <si>
    <t>MULTI-PURPOSE HALL PRK.3 , BRGY.  TIBUNGOL_POW#2015-07-358)</t>
  </si>
  <si>
    <t>Brgy. Tibungol</t>
  </si>
  <si>
    <t>10703990-01-OIA20DF022</t>
  </si>
  <si>
    <t>MULTI-PURPOSE HALL(PHASE II),  BRGY. TIBUNGOL_POW#2016-01-064)</t>
  </si>
  <si>
    <t>10703990-01-OIA20DF039</t>
  </si>
  <si>
    <t>POW # 2014-10-494_Brgy.  Tibungol Multi- Purpose Hall)</t>
  </si>
  <si>
    <t>10703990-01-OIA20DF052</t>
  </si>
  <si>
    <t>POW # 2015-10-526_Brgy.  Maduao Multi- purpose Hall)</t>
  </si>
  <si>
    <t>10703990-01-OIA20DF043</t>
  </si>
  <si>
    <t>POW # 2016-06-303_Brgy.  Mabunao Multi- purpose Hall)</t>
  </si>
  <si>
    <t>10703990-01-OIA20DF059</t>
  </si>
  <si>
    <t xml:space="preserve">POW 2015-06-348-COMPLETION OF MULTI-PURPOSE GYM, PUROK RAMIHAN, BRGY. DATU ABDUL  </t>
  </si>
  <si>
    <t>10703990-01-OIA20DF056</t>
  </si>
  <si>
    <t>POW #  2014-08-410_FLOODLIGHT @ PRK. MACOPA, BRGY. DATU ABDUL)</t>
  </si>
  <si>
    <t>10703990-01-OIA20DF038</t>
  </si>
  <si>
    <t>POW#  2014-08-4108_FLOODLIGHT AT PRK. GULAYAN, DATU ABDUL)</t>
  </si>
  <si>
    <t>10703990-01-OIA20DF041</t>
  </si>
  <si>
    <t>POW# 2012-11-687_MULTI  PURPOSE PAVEMENT - JOESIL VILLAGE 3, CAGANGOHAN)</t>
  </si>
  <si>
    <t>10703990-01-OIA20DF040</t>
  </si>
  <si>
    <t>POW# 2013-02-098_Brgy.  Manay Health Center)</t>
  </si>
  <si>
    <t>Brgy. Manay</t>
  </si>
  <si>
    <t>10703990-01-OIA20DF026</t>
  </si>
  <si>
    <t>POW#2013-04-300_Multi-Purpose Hall,  Brgy. San Nicolas,)</t>
  </si>
  <si>
    <t>10703990-01-OIA20DF053</t>
  </si>
  <si>
    <t>POW#2015-07-391_Brgy.  Manay Health Center)</t>
  </si>
  <si>
    <t>10703990-01-OIA20DF034</t>
  </si>
  <si>
    <t>POW#2018-02-049_Manpower  Development Center for Out of School Youths and Adults, Kiotoy)</t>
  </si>
  <si>
    <t>10703990-01-OIA20DF035</t>
  </si>
  <si>
    <t>POW#2018-02-050_Manpower  Development Center for Out of School Youth and Adults, Mabunao)</t>
  </si>
  <si>
    <t>10703990-01-OIA20DF044</t>
  </si>
  <si>
    <t>POW#2018-02-062_Brgy.  Dapco Health Station)</t>
  </si>
  <si>
    <t>Brgy. Dapco</t>
  </si>
  <si>
    <t>10703990-01-OIA20DF048</t>
  </si>
  <si>
    <t>POW#2018-11-460_Brgy.  Tagpore Health Station)</t>
  </si>
  <si>
    <t>10703990-01-OIA20DF055</t>
  </si>
  <si>
    <t>POW#2019-04-166_Multi-Purpose  Hall-Phase-2, Brgy. New Visayas</t>
  </si>
  <si>
    <t>10703990-01-OIA20DF060</t>
  </si>
  <si>
    <t xml:space="preserve">POW-2015-06-306-CONSTRUCTION OF WOMEN'S CRISIS CENTER @ BRGY. DATU ABDUL  </t>
  </si>
  <si>
    <t>10703990-01-OIA20DF062</t>
  </si>
  <si>
    <t xml:space="preserve">POW-2016-02-130-CONSTRUCTION OF SOLAR DRYER, BRGY. MABUNAO  </t>
  </si>
  <si>
    <t>10703990-04   General Fund Proper</t>
  </si>
  <si>
    <t>10703990-04-2015-03-211</t>
  </si>
  <si>
    <t>BALAY PAGLAUM FOR INDIGENEOUS  PEOPLE (IP) @ ROXAS ES, BRGY. LOWER PANAGA_POW#2015-03-211</t>
  </si>
  <si>
    <t>Brgy. Lower Panaga</t>
  </si>
  <si>
    <t>10703990-04-2012-01-012/2013-07-057</t>
  </si>
  <si>
    <t>BARANGAY INFRASTRUCTURE   (POW#2012-01-012/2013-07-057_Bleachers at Brgy. New Visayas)</t>
  </si>
  <si>
    <t>10703990-04-015OIAGFP</t>
  </si>
  <si>
    <t>BARANGAY INFRASTRUCTURE  (BLEACHERS PHASE 1 SAN VICENTE)</t>
  </si>
  <si>
    <t>Brgy. San Vicente</t>
  </si>
  <si>
    <t>10703990-04-016OIAGFP</t>
  </si>
  <si>
    <t>BARANGAY INFRASTRUCTURE  (BRGY GYM - DATU ABDUL)</t>
  </si>
  <si>
    <t>10703990-04-014OIAGFP</t>
  </si>
  <si>
    <t>BARANGAY INFRASTRUCTURE  (MINI GYM BARANGAY MANAY)</t>
  </si>
  <si>
    <t>10703990-04-2016-02-099</t>
  </si>
  <si>
    <t>BARANGAY INFRASTRUCTURE  (MULTI-PURPOSE GYM, BRGY.,  WATERFALL_POW#2016-02-099)</t>
  </si>
  <si>
    <t>10703990-04-2010-11-690</t>
  </si>
  <si>
    <t>BARANGAY INFRASTRUCTURE  (POW#2010-11-690_Should be:  Basketball Court loacted @ P-4, Brgy. Salvacion)</t>
  </si>
  <si>
    <t>Brgy. Salvacion</t>
  </si>
  <si>
    <t>10703990-04-2013-09-606</t>
  </si>
  <si>
    <t>BARANGAY INFRASTRUCTURE  (POW#2013-09-606_Multi-Pirpose Hall ,  Brgy. New Visayas)</t>
  </si>
  <si>
    <t>10703990-04-2016-04-233</t>
  </si>
  <si>
    <t>BARANGAY INFRASTRUCTURE  (POW#2016-04-233_Fence with Gate for  CICL &amp; Women Center_Brgy. Datu Abdul)</t>
  </si>
  <si>
    <t>10703990-04-  2016-09-517</t>
  </si>
  <si>
    <t>Bulwagan_New Pandan_POW#  2016-09-517</t>
  </si>
  <si>
    <t>Brgy. New Pandan</t>
  </si>
  <si>
    <t>10703990-04-001OIAGFP</t>
  </si>
  <si>
    <t>Bureau of Fire Protection Sub-station @  Brgy. Nanyo</t>
  </si>
  <si>
    <t>Bureau of Fire Protection</t>
  </si>
  <si>
    <t>10703990-04-2018-07-329</t>
  </si>
  <si>
    <t>CoC -03-08-19 - Pow#2018-07-329_Construction  Of Community Skills Training Center Phase 3 @Brgy. Datu Abdul)</t>
  </si>
  <si>
    <t>10703990-04- 2018-05-223</t>
  </si>
  <si>
    <t>CoC-12-27-18 - Pow # 2018-05-223_Construction  Of Multi-Purpose Gym(Stage W/ Bleacher), Brgy. San Roque, Panabo City)</t>
  </si>
  <si>
    <t>10703990-04-006OIAGFP</t>
  </si>
  <si>
    <t>Completion of Covered Court -  Buenavista</t>
  </si>
  <si>
    <t>10703990-04-010OIAGFP</t>
  </si>
  <si>
    <t>Completion of Senior Citizen Bldg.-Brgy.  Cagangohan</t>
  </si>
  <si>
    <t>10703990-04-008OIAGFP</t>
  </si>
  <si>
    <t>Const. of Covered Court, Brgy. Sindaton</t>
  </si>
  <si>
    <t>Brgy. Sindaton</t>
  </si>
  <si>
    <t>10703990-04-007OIAGFP</t>
  </si>
  <si>
    <t>Const. of Health Center, Brgy. San  Francisco, Panabo City</t>
  </si>
  <si>
    <t>Brgy. San Francisco</t>
  </si>
  <si>
    <t>10703990-04-011OIAGFP</t>
  </si>
  <si>
    <t>Construction of brgy stage - JP Laurel)</t>
  </si>
  <si>
    <t>Brgy. JP Laurel</t>
  </si>
  <si>
    <t>10703990-04-012OIAGFP</t>
  </si>
  <si>
    <t>Construction of Covered Court ( Dapco )</t>
  </si>
  <si>
    <t>10703990-04-009OIAGFP</t>
  </si>
  <si>
    <t>Construction of Covered Court,Prk  Ramihan, Datu Abdul</t>
  </si>
  <si>
    <t>10703990-04-013OIAGFP</t>
  </si>
  <si>
    <t>DAY CARE CENTER PRK 3 -PHASE 1 -  TIBUNGOL</t>
  </si>
  <si>
    <t>10703990-04-005OIAGFP</t>
  </si>
  <si>
    <t>Day Care Center with Instructional  Materials @ Brgy. Salvacion_PDAF Sen. Cayetano</t>
  </si>
  <si>
    <t>10703990-04-2014-11-563</t>
  </si>
  <si>
    <t>MULTI-PURPOSE EVACUATION CENTER @  BRGY. JP LAUREL_POW#2014-11-563</t>
  </si>
  <si>
    <t>10703990-04-2018-09-384</t>
  </si>
  <si>
    <t>POW#2018-09-384_Construction of Covered Court with  Multi-Purpose Pavement at Dacudao-J.P Laurel)</t>
  </si>
  <si>
    <t>10703990-04-2018-11-487</t>
  </si>
  <si>
    <t>POW#2018-11-487_REHABILITATION AND  CONVERSION OF MULTI PURPOSE BUILDING INTO A 2 STOREY  BARANGAY HALL BUILDING)</t>
  </si>
  <si>
    <t>Barangay</t>
  </si>
  <si>
    <t>10703990-04-2019-08-298</t>
  </si>
  <si>
    <t>POW#2019-08-298_CONSTRUCTION OF BARANGAY  STAGE-SAN PEDRO</t>
  </si>
  <si>
    <t>Brgy. San Pedro</t>
  </si>
  <si>
    <t xml:space="preserve">10703990-04-2021-12-445  </t>
  </si>
  <si>
    <t xml:space="preserve">POW-2021-12-445-Completion of Day Care Center-Aklan, Brgy Kasilak,Panabo City  </t>
  </si>
  <si>
    <t>Brgy. Kasilak</t>
  </si>
  <si>
    <t>Subtotal - Other Infrastructure Assets  (GF)</t>
  </si>
  <si>
    <t>Other Structures</t>
  </si>
  <si>
    <t xml:space="preserve"> 10704990-08   General Fund Proper</t>
  </si>
  <si>
    <t>10704990-08-036OSGFP</t>
  </si>
  <si>
    <t>Female Cell Building, Brgy. Salvacion, Panabo City</t>
  </si>
  <si>
    <t>Subtotal - Other Structures  (GF)</t>
  </si>
  <si>
    <t>School Buildings</t>
  </si>
  <si>
    <t>10704020-01   Completed School Buildings</t>
  </si>
  <si>
    <t>10704020-01-SB002</t>
  </si>
  <si>
    <t>SCHOOL BUILDING - 3 CLASSROOMS ANNEX HIGH SCHOOL-SAN VICENTE</t>
  </si>
  <si>
    <t>10704020-01-SB003</t>
  </si>
  <si>
    <t>SCHOOL BUILDING - ELEMENTARY SCHOOL SINDATON</t>
  </si>
  <si>
    <t>10704020-01-SB001</t>
  </si>
  <si>
    <t>School Building - Lower Panaga Elem. School</t>
  </si>
  <si>
    <t>General Service Office</t>
  </si>
  <si>
    <t>10704020-01-SB004</t>
  </si>
  <si>
    <t>SCHOOL BUILDING - NEW VISAYAS ELEM SCHOOL</t>
  </si>
  <si>
    <t>Subtotal - School Buildings  (GF)</t>
  </si>
  <si>
    <t>Total - General Fund</t>
  </si>
  <si>
    <t>SPECIAL EDUCATION FUND</t>
  </si>
  <si>
    <t>Furniture and Fixtures</t>
  </si>
  <si>
    <t>10707010-05   SEF</t>
  </si>
  <si>
    <t>10707010-05-FFSEF001</t>
  </si>
  <si>
    <t>ICS 2022-09-03-1 set-sofa set received by:Renante A. Solitario</t>
  </si>
  <si>
    <t>Elementary Education</t>
  </si>
  <si>
    <t>Subtotal - Furniture and Fixtures (SEF)</t>
  </si>
  <si>
    <t>Information and Communication Technology  Equipment</t>
  </si>
  <si>
    <t>10705030-08-001   Computers, Laptops, Tabs</t>
  </si>
  <si>
    <t>10705030-08-001-SEFICT001</t>
  </si>
  <si>
    <t>ARE#2020-11-03_1 unit RISO CONCOLOR FW 1230 with high speed Ink jet printer, automatic back to back, oil based pigment ink (black), memory capacity: at least 4 GB, LINUX operating system_LSB Received</t>
  </si>
  <si>
    <t>10705030-08-001-SEFICT002</t>
  </si>
  <si>
    <t>ARE-2016-11-008-Computer Desktop Acer Aspire TC-710 AVR Icon 500 watts with accessories,USB&amp; Keyboard- DTB15SP006624058AC3000 ,MMT0MSS004625073AF2412 -Received By: Maya Flaminda Juanich -OIC SO DepEd</t>
  </si>
  <si>
    <t>10705030-08-001-SEFICT012</t>
  </si>
  <si>
    <t>ARE-2016-11-008-Computer Desktop Acer Aspire TC-710 AVR Icon 500 watts with accessories,USB&amp; Keyboard-DTB15SP006624058943000, MMT0MSS004625073AE2412-Received By: Maya Flaminda Juanich -OIC SO DepEd</t>
  </si>
  <si>
    <t>10705030-08-001-SEFICT011</t>
  </si>
  <si>
    <t>ARE-2016-11-008-Computer Desktop Acer Aspire TC-710 AVR Icon 500 watts with accessories,USB&amp; Keyboard-DTB15SP006624058A03000, MMT0MSS004625073C02412-Received By: Maya Flaminda Juanich -OIC SO DepEd</t>
  </si>
  <si>
    <t>10705030-08-001-SEFICT008</t>
  </si>
  <si>
    <t>ARE-2016-11-008-Computer Desktop Acer Aspire TC-710 AVR Icon 500 watts with accessories,USB&amp; Keyboard-DTB15SP006624058A33000,  MMT0MSS004625073E22412-Received By: Maya Flaminda Juanich -OIC SO DepEd</t>
  </si>
  <si>
    <t>10705030-08-001-SEFICT010</t>
  </si>
  <si>
    <t>ARE-2016-11-008-Computer Desktop Acer Aspire TC-710 AVR Icon 500 watts with accessories,USB&amp; Keyboard-DTB15SP006624058A43000, MMT0MSS004625073E82412-Received By: Maya Flaminda Juanich -OIC SO DepEd</t>
  </si>
  <si>
    <t>10705030-08-001-SEFICT017</t>
  </si>
  <si>
    <t>ARE-2016-11-008-Computer Desktop Acer Aspire TC-710 AVR Icon 500 watts with accessories,USB&amp; Keyboard-DTB15SP006624058A73000 ,MMT0MSS004625073B82412 -Received By: Maya Flaminda Juanich -OIC SO DepEd</t>
  </si>
  <si>
    <t>10705030-08-001-SEFICT015</t>
  </si>
  <si>
    <t>ARE-2016-11-008-Computer Desktop Acer Aspire TC-710 AVR Icon 500 watts with accessories,USB&amp; Keyboard-DTB15SP006624058AD3000, MMT0MSS004625073E12412-Received By: Maya Flaminda Juanich -OIC SO DepEd</t>
  </si>
  <si>
    <t>10705030-08-001-SEFICT009</t>
  </si>
  <si>
    <t>ARE-2016-11-008-Computer Desktop Acer Aspire TC-710 AVR Icon 500 watts with accessories,USB&amp; Keyboard-DTB15SP006624058AE3000, MMT0MSS004625073B23412-Received By: Maya Flaminda Juanich -OIC SO DepEd</t>
  </si>
  <si>
    <t>10705030-08-001-SEFICT013</t>
  </si>
  <si>
    <t>ARE-2016-11-008-Computer Desktop Acer Aspire TC-710 AVR Icon 500 watts with accessories,USB&amp; Keyboard-DTB15SP006624058B13000,  MMT0MSS004625073BD2412-Received By: Maya Flaminda Juanich -OIC SO DepEd</t>
  </si>
  <si>
    <t>10705030-08-001-SEFICT005</t>
  </si>
  <si>
    <t>ARE-2016-11-008-Computer Desktop Acer Aspire TC-710 AVR Icon 500 watts with accessories,USB&amp; Keyboard-DTB15SP006624058D63000, MMT0MSS004625073D92412-Received By: Maya Flaminda Juanich -OIC SO DepEd</t>
  </si>
  <si>
    <t>10705030-08-001-SEFICT007</t>
  </si>
  <si>
    <t>ARE-2016-11-008-Computer Desktop Acer Aspire TC-710 AVR Icon 500 watts with accessories,USB&amp; Keyboard-DTB15SP006624058D83000,  MMT0MSS004625073B02412-Received By: Maya Flaminda Juanich -OIC SO DepEd</t>
  </si>
  <si>
    <t>10705030-08-001-SEFICT004</t>
  </si>
  <si>
    <t>ARE-2016-11-008-Computer Desktop Acer Aspire TC-710 AVR Icon 500 watts with accessories,USB&amp; Keyboard-DTB15SP006624058E23000 , MMT0MSS004625074172412 -Received By: Maya Flaminda Juanich -OIC SO DepEd</t>
  </si>
  <si>
    <t>10705030-08-001-SEFICT016</t>
  </si>
  <si>
    <t>ARE-2016-11-008-Computer Desktop Acer Aspire TC-710 AVR Icon 500 watts with accessories,USB&amp; Keyboard-DTB15SPO06624058A63000, MMT0MSS004625073AB2412-Received By: Maya Flaminda Juanich -OIC SO DepEd</t>
  </si>
  <si>
    <t>10705030-08-001-SEFICT006</t>
  </si>
  <si>
    <t>ARE-2016-11-008-Computer Desktop Acer Aspire TC-710 AVR Icon 500 watts with accessories,USB&amp; Keyboard-DTB15SPO06624058AF3000,  MMT0MSS004625073E02412-Received By: Maya Flaminda Juanich -OIC SO DepEd</t>
  </si>
  <si>
    <t>10705030-08-001-SEFICT014</t>
  </si>
  <si>
    <t>ARE-2016-11-008-Computer Desktop Acer Aspire TC-710 AVR Icon 500 watts with accessories,USB&amp; Keyboard-DTB15SPO06624058D53000, MMT0MSS004625073BE2412-Received By: Maya Flaminda Juanich -OIC SO DepEd</t>
  </si>
  <si>
    <t>10705030-08-001-SEFICT003</t>
  </si>
  <si>
    <t>ARE-2016-11-008-Computer Desktop Acer Aspire TC-710 AVR Icon 500 watts with accessories,USB&amp; Keyboard-DTB1SSP006624158A83000 ,MMT0MSS004625074002412 -Received By: Maya Flaminda Juanich -OIC SO DepEd</t>
  </si>
  <si>
    <t>10705030-08-001-SEFICT063</t>
  </si>
  <si>
    <t>ICS 2022-11-02-1 unit-airconditioner 2 HP inverter model;KV18WM-ARF21C2/indoor sn:340C62233031510030148 OUTDORR MODELKV1800-ARF21C2 sn:340C622330418140120398</t>
  </si>
  <si>
    <t>10705030-08-001-SEFICT062</t>
  </si>
  <si>
    <t>ICS 2022-11-02-1 unit-airconditioner 2 HP inverter model;KV18WM-ARF21C2/indoor sn:340C62233031510030611 OUTDORR MODELKV1800-ARF21C2 sn:340C622330418140120396</t>
  </si>
  <si>
    <t>10705030-08-001-SEFICT065</t>
  </si>
  <si>
    <t>ICS 2022-11-02-1 unit-airconditioner 2 HP inverter model;KV18WM-ARF21C2/indoor sn:340C62233031510030617 OUTDORR MODELKV1800-ARF21C2 sn:340C622330418140120490</t>
  </si>
  <si>
    <t>10705030-08-001-SEFICT061</t>
  </si>
  <si>
    <t>ICS 2022-11-02-1 unit-airconditioner 2 HP inverter model;KV18WM-ARF21C2/indoor sn:340C62233031510030814 OUTDORR MODELKV1800-ARF21C2 sn:340C622330418140120513</t>
  </si>
  <si>
    <t>10705030-08-001-SEFICT064</t>
  </si>
  <si>
    <t>ICS 2022-11-02-1 unit-airconditioner 2 HP inverter model;KV18WM-ARF21C2/indoor sn:340C62233031510030815 OUTDORR MODELKV1800-ARF21C2 sn:340C622330418140120412</t>
  </si>
  <si>
    <t>10705030-08-001-SEFICT066</t>
  </si>
  <si>
    <t>ICS 2022-11-02-1 unit-airconditioner 2 HP inverter Window type model:KV09WR ARF 31 sn:340C62065016130150127</t>
  </si>
  <si>
    <t>10705030-08-001-SEFICT022</t>
  </si>
  <si>
    <t>PAR 2022-09-07-1 unit-laptop brand/mode; HP Victus NB 15-FA sn:5CD2195RJD</t>
  </si>
  <si>
    <t>10705030-08-001-SEFICT023</t>
  </si>
  <si>
    <t>PAR 2022-09-07-1 unit-laptop brand/mode; HP Victus NB 15-FA sn:5CD2195RJP</t>
  </si>
  <si>
    <t>10705030-08-001-SEFICT024</t>
  </si>
  <si>
    <t>PAR 2022-09-07-1 unit-laptop brand/mode; HP Victus NB 15-FA sn:5CD2195RJQ</t>
  </si>
  <si>
    <t>10705030-08-001-SEFICT025</t>
  </si>
  <si>
    <t>PAR 2022-09-07-1 unit-laptop brand/mode; HP Victus NB 15-FA sn:5CD2195RJY</t>
  </si>
  <si>
    <t>10705030-08-001-SEFICT026</t>
  </si>
  <si>
    <t>PAR 2022-09-07-1 unit-laptop brand/mode; HP Victus NB 15-FA sn:5CD2195RK3</t>
  </si>
  <si>
    <t>10705030-08-001-SEFICT027</t>
  </si>
  <si>
    <t>PAR 2022-09-07-1 unit-laptop brand/mode; HP Victus NB 15-FA sn:5CD2195RK6</t>
  </si>
  <si>
    <t>10705030-08-001-SEFICT060</t>
  </si>
  <si>
    <t>PAR 2022-11-09-1 unit-airconditioner 3TR floor mounted koppel inverter model:KV36FM-ARF21C2/indoor sn:540F964900124260810005 model:KV3600U-ARF21C/outdoor sn:540F95865012428015008</t>
  </si>
  <si>
    <t>10705030-08-001-SEFICT059</t>
  </si>
  <si>
    <t>PAR 2022-11-09-1 unit-airconditioner 3TR floor mounted koppel inverter model:KV36FM-ARF21C2/indoor sn:540F964900124260810025 model:KV3600U-ARF21C/outdoor sn:540F958650124280150054</t>
  </si>
  <si>
    <t>10705030-08-001-SEFICT018</t>
  </si>
  <si>
    <t>PAR-2022-08-04-1 unit-laptop brand/model:ASUS TUP Gaming F15 SN:N3NRCX10507812B</t>
  </si>
  <si>
    <t>10705030-08-001-SEFICT021</t>
  </si>
  <si>
    <t>PAR-2022-08-04-1 unit-laptop brand/model:ASUS TUP Gaming F15 SN:N3NRCX105101129</t>
  </si>
  <si>
    <t>10705030-08-001-SEFICT019</t>
  </si>
  <si>
    <t>PAR-2022-08-04-1 unit-laptop brand/model:ASUS TUP Gaming F15 SN:N3NRCX105147127</t>
  </si>
  <si>
    <t>10705030-08-001-SEFICT020</t>
  </si>
  <si>
    <t>PAR-2022-08-04-1 unit-laptop brand/model:ASUS TUP Gaming F15 SN:N3NRCX105160128</t>
  </si>
  <si>
    <t>10705030-08-001-SEFICT032</t>
  </si>
  <si>
    <t>PAR-2022-09-05-1 unit-computer desktop 36,998 ACER Veriton CPU Sn:DTVQWSP38A94105C5D3000 MONI SN:MMLXLSS02002123C2F4252</t>
  </si>
  <si>
    <t>10705030-08-001-SEFICT034</t>
  </si>
  <si>
    <t>PAR-2022-09-05-1 unit-computer desktop 36,998 ACER Veriton CPU Sn:DTVQWSP38A94105C673000 MONI SN:MMLXLSS020026173B74252</t>
  </si>
  <si>
    <t>10705030-08-001-SEFICT043</t>
  </si>
  <si>
    <t>PAR-2022-09-05-1 unit-computer desktop 36,998 ACER Veriton CPU Sn:DTVQWSP38A94105C6C3000 MONI SN:MMLXLSS02002123BCB4252</t>
  </si>
  <si>
    <t>10705030-08-001-SEFICT054</t>
  </si>
  <si>
    <t>PAR-2022-09-05-1 unit-computer desktop 36,998 ACER Veriton CPU Sn:DTVQWSP38A94105C6D3000 MONI SN:MMLXLSS02001716ABB4252</t>
  </si>
  <si>
    <t>10705030-08-001-SEFICT040</t>
  </si>
  <si>
    <t>PAR-2022-09-05-1 unit-computer desktop 36,998 ACER Veriton CPU Sn:DTVQWSP38A94105C703000 MONI SN:MMLXLSS020026173B94252</t>
  </si>
  <si>
    <t>10705030-08-001-SEFICT049</t>
  </si>
  <si>
    <t>PAR-2022-09-05-1 unit-computer desktop 36,998 ACER Veriton CPU Sn:DTVQWSP38A94105C723000 MONI SN:MMLXLSS02001716ABC4252</t>
  </si>
  <si>
    <t>10705030-08-001-SEFICT036</t>
  </si>
  <si>
    <t>PAR-2022-09-05-1 unit-computer desktop 36,998 ACER Veriton CPU Sn:DTVQWSP38A94105C783000 MONI SN:MMLXLSS020026173954252</t>
  </si>
  <si>
    <t>10705030-08-001-SEFICT053</t>
  </si>
  <si>
    <t>PAR-2022-09-05-1 unit-computer desktop 36,998 ACER Veriton CPU Sn:DTVQWSP38A94105C923000 MONI SN:MMLXLSS020026173934252</t>
  </si>
  <si>
    <t>10705030-08-001-SEFICT055</t>
  </si>
  <si>
    <t>PAR-2022-09-05-1 unit-computer desktop 36,998 ACER Veriton CPU Sn:DTVQWSP38A94105C983000 MONI SN:MMLXLSS020026173D44252</t>
  </si>
  <si>
    <t>10705030-08-001-SEFICT045</t>
  </si>
  <si>
    <t>PAR-2022-09-05-1 unit-computer desktop 36,998 ACER Veriton CPU Sn:DTVQWSP38A94105C9D3000 MONI SN:MMLXLSS02002123D3B452</t>
  </si>
  <si>
    <t>10705030-08-001-SEFICT052</t>
  </si>
  <si>
    <t>PAR-2022-09-05-1 unit-computer desktop 36,998 ACER Veriton CPU Sn:DTVQWSP38A94105CA23000 MONI SN:MMLXLSS020026173BA4252</t>
  </si>
  <si>
    <t>10705030-08-001-SEFICT035</t>
  </si>
  <si>
    <t>PAR-2022-09-05-1 unit-computer desktop 36,998 ACER Veriton CPU Sn:DTVQWSP38A94105CA33000 MONI SN:MMLXLSS02002123D024252</t>
  </si>
  <si>
    <t>10705030-08-001-SEFICT058</t>
  </si>
  <si>
    <t>PAR-2022-09-05-1 unit-computer desktop 36,998 ACER Veriton CPU Sn:DTVQWSP38A94105CA43000 MONI SN:MMLXLSS0200261716BC24252</t>
  </si>
  <si>
    <t>10705030-08-001-SEFICT033</t>
  </si>
  <si>
    <t>PAR-2022-09-05-1 unit-computer desktop 36,998 ACER Veriton CPU Sn:DTVQWSP38A94105CA93000 MONI SN:MMLXLSS020026173604252</t>
  </si>
  <si>
    <t>10705030-08-001-SEFICT051</t>
  </si>
  <si>
    <t>PAR-2022-09-05-1 unit-computer desktop 36,998 ACER Veriton CPU Sn:DTVQWSP38A94105CAB3000 MONI SN:MMLXLSS020026173BB4252</t>
  </si>
  <si>
    <t>10705030-08-001-SEFICT047</t>
  </si>
  <si>
    <t>PAR-2022-09-05-1 unit-computer desktop 36,998 ACER Veriton CPU Sn:DTVQWSP38A94105CBA3000 MONI SN:MMLXLSS02002123BCA4252</t>
  </si>
  <si>
    <t>10705030-08-001-SEFICT056</t>
  </si>
  <si>
    <t>PAR-2022-09-05-1 unit-computer desktop 36,998 ACER Veriton CPU Sn:DTVQWSP38A94105CC23000 MONI SN:MMLXLSS020026173D14252</t>
  </si>
  <si>
    <t>10705030-08-001-SEFICT041</t>
  </si>
  <si>
    <t>PAR-2022-09-05-1 unit-computer desktop 36,998 ACER Veriton CPU Sn:DTVQWSP38A94105CD03000 MONI SN:MMLXLSS02002123C444252</t>
  </si>
  <si>
    <t>10705030-08-001-SEFICT038</t>
  </si>
  <si>
    <t>PAR-2022-09-05-1 unit-computer desktop 36,998 ACER Veriton CPU Sn:DTVQWSP38A94105CD33000 MONI SN:MMLXLSS020026173B84252</t>
  </si>
  <si>
    <t>10705030-08-001-SEFICT057</t>
  </si>
  <si>
    <t>PAR-2022-09-05-1 unit-computer desktop 36,998 ACER Veriton CPU Sn:DTVQWSP38A94105CDD3000 MONI SN:MMLXLSS020026173B44252</t>
  </si>
  <si>
    <t>10705030-08-001-SEFICT044</t>
  </si>
  <si>
    <t>PAR-2022-09-05-1 unit-computer desktop 36,998 ACER Veriton CPU Sn:DTVQWSP38A94105CDF3000 MONI SN:MMLXLSS02002617BE4252</t>
  </si>
  <si>
    <t>10705030-08-001-SEFICT039</t>
  </si>
  <si>
    <t>PAR-2022-09-05-1 unit-computer desktop 36,998 ACER Veriton CPU Sn:DTVQWSP38A94105CE23000 MONI SN:MMLXLSS020026173924252</t>
  </si>
  <si>
    <t>10705030-08-001-SEFICT042</t>
  </si>
  <si>
    <t>PAR-2022-09-05-1 unit-computer desktop 36,998 ACER Veriton CPU Sn:DTVQWSP38A94105CEA3000 MONI SN:MMLXLSS020026173964252</t>
  </si>
  <si>
    <t>10705030-08-001-SEFICT031</t>
  </si>
  <si>
    <t>PAR-2022-09-05-1 unit-computer desktop 36,998 ACER Veriton CPU Sn:DTVQWSP38A94105CECV3000 MONI SN:MMLXLSS02002123C434252</t>
  </si>
  <si>
    <t>10705030-08-001-SEFICT048</t>
  </si>
  <si>
    <t>PAR-2022-09-05-1 unit-computer desktop 36,998 ACER Veriton CPU Sn:DTVQWSP38A94105CF03000 MONI SN:MMLXLSS02002617B54252</t>
  </si>
  <si>
    <t>10705030-08-001-SEFICT037</t>
  </si>
  <si>
    <t>PAR-2022-09-05-1 unit-computer desktop 36,998 ACER Veriton CPU Sn:DTVQWSP38A94105CFC3000 MONI SN:MMLXLSS02002123BD64252</t>
  </si>
  <si>
    <t>10705030-08-001-SEFICT046</t>
  </si>
  <si>
    <t>PAR-2022-09-05-1 unit-computer desktop 36,998 ACER Veriton CPU Sn:DTVQWSP38A94105D023000 MONI SN:MMLXLSS020026173D24252</t>
  </si>
  <si>
    <t>10705030-08-001-SEFICT050</t>
  </si>
  <si>
    <t>PAR-2022-09-05-1 unit-computer desktop 36,998 ACER Veriton CPU Sn:DTVQWSP38A94106CAB3000 MONI SN:MMLXLSS020026173944252</t>
  </si>
  <si>
    <t>10705030-08-001-SEFICT028</t>
  </si>
  <si>
    <t>PAR-2022-09-05-1 unit-laptop 44,298-brand/,odel:ACER travelmate sn.NXVPXSP03C204020AB7600</t>
  </si>
  <si>
    <t>10705030-08-001-SEFICT029</t>
  </si>
  <si>
    <t>PAR-2022-09-05-1 unit-laptop 44,298-brand/,odel:ACER travelmate sn.NXVPXSP03C204020AD7600</t>
  </si>
  <si>
    <t>10705030-08-001-SEFICT030</t>
  </si>
  <si>
    <t>PAR-2022-09-05-1 unit-laptop 44,298-brand/,odel:ACER travelmate sn.NXVPXSP03C2040236A7600</t>
  </si>
  <si>
    <t>Subtotal - Information and Communication Technology  Equipment (SEF)</t>
  </si>
  <si>
    <t>Office Equipment</t>
  </si>
  <si>
    <t>10705020-07   SEF-Special Education Fund</t>
  </si>
  <si>
    <t>10705020-07-OESEF001</t>
  </si>
  <si>
    <t>ARE#2020-10-01_1 unit_Koppel/KV36FM-KV360UV//ARF21C2; 3-tonner, floormounted inverter; SN: indoor: 01022-00089; outoor:LM26377@Salvacion ES_LSB (Reynante Solitario)</t>
  </si>
  <si>
    <t>10705020-07-OESEF005</t>
  </si>
  <si>
    <t>ARE#2020-10-01_1 unit_Koppel/KV36FM-KV360UV//ARF21C2; 3-tonner, floormounted inverter; SN: indoor: 20102200073; outoor:LM623097@Quezon NHS_LSB (Reynante Solitario)</t>
  </si>
  <si>
    <t>10705020-07-OESEF002</t>
  </si>
  <si>
    <t>ARE#2020-10-01_1 unit_Koppel/KV36FM-KV360UV//ARF21C2; 3-tonner, floormounted inverter; SN: indoor: 20102200084; outoor:201022-00437@Manay NHS_LSB (Reynante Solitario)</t>
  </si>
  <si>
    <t>10705020-07-OESEF003</t>
  </si>
  <si>
    <t>ARE#2020-10-01_1 unit_Koppel/KV36FM-KV360UV//ARF21C2; 3-tonner, floormounted inverter; SN: indoor: 20102200111; outoor:LM623078@Malativas NHS_LSB (Reynante Solitario)</t>
  </si>
  <si>
    <t>10705020-07-OESEF004</t>
  </si>
  <si>
    <t>ARE#2020-10-01_1 unit_Koppel/KV36FM-KV360UV//ARF21C2; 3-tonner, floormounted inverter; SN: indoor: 34A241750107220850012; outoor:34A2417520507210880005@San Vicente NHS_LSB (Reynante Solitario)</t>
  </si>
  <si>
    <t>10705020-07-OESEF007</t>
  </si>
  <si>
    <t>PAR#2021-08-01_1 unit_Risograph SF5130; Heavy duty high speed digital duplicator; SN #:44210849; w/ electronic stapler- SN#:E20K00305; w/ complete accessories_PO#2021-08-2002_Salvacion ES Received by</t>
  </si>
  <si>
    <t>10705020-07-OESEF006</t>
  </si>
  <si>
    <t>PAR#2021-08-01_1 unit_Risograph SF5130; Heavy duty high speed digital duplicator; SN #:44210860; w/ electronic stapler- SN#:E20K00306; w/ complete accessories_PO#2021-08-2002_Salvacion ES Received by</t>
  </si>
  <si>
    <t>10705020-07-OESEF010</t>
  </si>
  <si>
    <t>PAR-2022-02-01-1 unit-aircon brand/model:koppel 4.0 HP floor mounted inverter model:KV36FMI-ARF 21C2 indoor sn:340D727120118260810016 outdoor sn:3406054760486170160165-recived by:Renante A. Solitario,</t>
  </si>
  <si>
    <t>10705020-07-OESEF014</t>
  </si>
  <si>
    <t>PAR-2022-02-01-1 unit-aircon brand/model:koppel 4.0 HP floor mounted inverter model:KV36FMI-ARF 21C2 indoor sn:340D727120118260810030 outdoor sn:340D727580118180870092-recived by:Renante A. Solitario,</t>
  </si>
  <si>
    <t>10705020-07-OESEF013</t>
  </si>
  <si>
    <t>PAR-2022-02-01-1 unit-aircon brand/model:koppel 4.0 HP floor mounted inverter model:KV36FMI-ARF 21C2 indoor sn:340D727120118260810033 outdoor sn:340C852250216130870013-recived by:Renante A. Solitario,</t>
  </si>
  <si>
    <t>10705020-07-OESEF009</t>
  </si>
  <si>
    <t>PAR-2022-02-01-1 unit-aircon brand/model:koppel 4.0 HP floor mounted inverter model:KV36FMI-ARF 21C2 indoor sn:340D727120118260810035 outdoor sn:340D727580118180870096-recived by:Renante A. Solitario,</t>
  </si>
  <si>
    <t>10705020-07-OESEF011</t>
  </si>
  <si>
    <t>PAR-2022-02-01-1 unit-aircon brand/model:koppel 4.0 HP floor mounted inverter model:KV36FMI-ARF 21C2 indoor sn:340D727120118260810073 outdoor sn:340C852250216130870051-recived by:Renante A. Solitario,</t>
  </si>
  <si>
    <t>10705020-07-OESEF012</t>
  </si>
  <si>
    <t>PAR-2022-02-01-1 unit-aircon brand/model:koppel 4.0 HP floor mounted inverter model:KV36FMI-ARF 21C2 indoor sn:340D727120118260810078 outdoor sn:340D727580118180870093-recived by:Renante A. Solitario,</t>
  </si>
  <si>
    <t>10705020-07-OESEF008</t>
  </si>
  <si>
    <t>PAR-2022-02-01-1 unit-aircon brand/model:koppel 4.0 HP floor mounted inverter model:KV36FMI-ARF 21C2 indoor sn:340D727120118260810083 outdoor sn:340D727580118180870099-recived by:Renante A. Solitario,</t>
  </si>
  <si>
    <t>10705020-07-OESEF019</t>
  </si>
  <si>
    <t>PAR-2022-08-03-1 unit-photocopier brand/model:HP laserjet M42623n sn:CNB1P6203Jrecived by:Renante A. Solitario CESO VI</t>
  </si>
  <si>
    <t>10705020-07-OESEF018</t>
  </si>
  <si>
    <t>PAR-2022-08-03-1 unit-photocopier brand/model:HP laserjet M42623n sn:CNB1P6206Jrecived by:Renante A. Solitario CESO VI</t>
  </si>
  <si>
    <t>10705020-07-OESEF017</t>
  </si>
  <si>
    <t>PAR-2022-08-03-1 unit-photocopier brand/model:HP laserjet M42623n sn:CNB1P6207Mrecived by:Renante A. Solitario CESO VI</t>
  </si>
  <si>
    <t>10705020-07-OESEF016</t>
  </si>
  <si>
    <t>PAR-2022-08-03-1 unit-photocopier brand/model:HP laserjet M42623n sn:CNB1PD92ZP-recived by:Renante A. Solitario CESO VI</t>
  </si>
  <si>
    <t>10705020-07-OESEF020</t>
  </si>
  <si>
    <t>PAR-2022-08-03-1 unit-photocopier brand/model:HP laserjet M42623n sn:CNB1PDD4SNrecived by:Renante A. Solitario CESO VI</t>
  </si>
  <si>
    <t>10705020-07-OESEF021</t>
  </si>
  <si>
    <t>PAR-2022-09-06-1 UNIT-DUPLICATING MACHINE-BRAND/ MODEL: RISOGRAPH/SF5130-SERIAL NO:44211665SEF-received by: Reynante A. Solitario-Special Education Fund-</t>
  </si>
  <si>
    <t>Subtotal - Office Equipment  (SEF)</t>
  </si>
  <si>
    <t xml:space="preserve"> 10703990-06   Special Education Fund</t>
  </si>
  <si>
    <t>10703990-06-SEFOIA027</t>
  </si>
  <si>
    <t>(2 seater w/ PWD sink) Manay NHS Ext. Dalisay HS</t>
  </si>
  <si>
    <t>City Division Office</t>
  </si>
  <si>
    <t>10703990-06-SEFOIA009</t>
  </si>
  <si>
    <t>Comfort Room @  Kiotoy ES</t>
  </si>
  <si>
    <t>10703990-06-SEFOIA011</t>
  </si>
  <si>
    <t>Comfort Room @  SPED-PNHS, Brgy. New Visayas</t>
  </si>
  <si>
    <t>10703990-06-SEFOIA010</t>
  </si>
  <si>
    <t>Comfort Room w/  Lavatory @ P. Changco ES, Brgy. Tibungol</t>
  </si>
  <si>
    <t>10703990-06-SEFOIA002</t>
  </si>
  <si>
    <t>Construction of Mini-Gym,  Southern Davao Elementary School)</t>
  </si>
  <si>
    <t>10703990-06-SEFOIA019</t>
  </si>
  <si>
    <t>DEPED PANABO CITY LIBRARY HUB, PANABO CES</t>
  </si>
  <si>
    <t>10703990-06-SEFOIA004</t>
  </si>
  <si>
    <t>Perimeter  Fence Phase 2 @ JP Laurel ES</t>
  </si>
  <si>
    <t>10703990-06-SEFOIA025</t>
  </si>
  <si>
    <t>PERIMETER FENCE - A.O FLOREINDO ELEMENTARY SCHOOL II</t>
  </si>
  <si>
    <t>10703990-06-SEFOIA014</t>
  </si>
  <si>
    <t>Perimeter Fence @  Cacao ES</t>
  </si>
  <si>
    <t>10703990-06-SEFOIA005</t>
  </si>
  <si>
    <t>Perimeter Fence @  Gredu ES</t>
  </si>
  <si>
    <t>10703990-06-SEFOIA007</t>
  </si>
  <si>
    <t>Perimeter Fence @  JP Laurel ES</t>
  </si>
  <si>
    <t>10703990-06-SEFOIA006</t>
  </si>
  <si>
    <t>Perimeter Fence @  Licanan ES</t>
  </si>
  <si>
    <t>10703990-06-SEFOIA016</t>
  </si>
  <si>
    <t>Perimeter Fence @  Little Panay NHS</t>
  </si>
  <si>
    <t>10703990-06-SEFOIA013</t>
  </si>
  <si>
    <t>Perimeter Fence @  Mabunao ES</t>
  </si>
  <si>
    <t>10703990-06-SEFOIA015</t>
  </si>
  <si>
    <t>Perimeter Fence @  Poblacion Day Care Center, Brgy. New Visayas</t>
  </si>
  <si>
    <t>10703990-06-SEFOIA017</t>
  </si>
  <si>
    <t>Perimeter Fence @  Rizal ES, Brgy. San Francisco</t>
  </si>
  <si>
    <t>10703990-06-SEFOIA012</t>
  </si>
  <si>
    <t>Perimeter Fence @  Sto. Niño ES</t>
  </si>
  <si>
    <t>10703990-06-SEFOIA001</t>
  </si>
  <si>
    <t>Perimeter fence @ Concordia Sison E/S-Brgy. Sindaton (BARANGAY PROJECT)</t>
  </si>
  <si>
    <t>10703990-06-SEFOIA003</t>
  </si>
  <si>
    <t>Perimeter Fence P-2  @ Mabunao ES</t>
  </si>
  <si>
    <t>10703990-06-SEFOIA022</t>
  </si>
  <si>
    <t>Perimeter fence Panabo Central ES@Brgy. San Francisco</t>
  </si>
  <si>
    <t>10703990-06-SEFOIA024</t>
  </si>
  <si>
    <t>PERIMETER FENCE PHASE 2 -KAUSWAGAN  NHS</t>
  </si>
  <si>
    <t>10703990-06-SEFOIA028</t>
  </si>
  <si>
    <t>Perimeter Fence Phase 2, Sto. Niño ES</t>
  </si>
  <si>
    <t>10703990-06-SEFOIA026</t>
  </si>
  <si>
    <t>Perimeter fence, Malativas NHS</t>
  </si>
  <si>
    <t>10703990-06-SEFOIA018</t>
  </si>
  <si>
    <t>PERIMETER FENCE, PHASE 2, RIZAL ES</t>
  </si>
  <si>
    <t>10703990-06-2021-03-118</t>
  </si>
  <si>
    <t>POW#2021-03-118_Water and Sanitation Facilities (2 Seater w/ PWD and Sink),  Consolacion ES @Brgy. C</t>
  </si>
  <si>
    <t>10703990-06-2021-04-155</t>
  </si>
  <si>
    <t>POW#2021-04-155_Water and Sanitation Facilities (2 Seater w/ PWD and Sink) at Datu Abdul ES @Brgy. D</t>
  </si>
  <si>
    <t>10703990-06-2021-04-157</t>
  </si>
  <si>
    <t>POW#2021-04-157_Water and Sanitation Facilities (2 Seater w/ PWD and Sink), Kauswagan NHS @Brgy. Kau</t>
  </si>
  <si>
    <t>10703990-06-2021-05-163</t>
  </si>
  <si>
    <t>POW#2021-05-163_Construction fo Water &amp; Sanitation Facilities (2 Seater w/ PWD and Sink), Namuag ES</t>
  </si>
  <si>
    <t>10703990-06-2021-05-173</t>
  </si>
  <si>
    <t>POW#2021-05-173_Water and sanitation facilities (2 seater w/ PWD sink) at Dalisay ES, Brgy. Dalisay</t>
  </si>
  <si>
    <t>10703990-06-2021-03-116</t>
  </si>
  <si>
    <t>POW-2021-03-116(COC-10/22/2021)-School Mini Gym Phase 2, Panabo City SHS;</t>
  </si>
  <si>
    <t>10703990-06-2021-09-333</t>
  </si>
  <si>
    <t>POW-2021-09-333-Construciton of Home Economics Buidling Narciso Galapin ES</t>
  </si>
  <si>
    <t>10703990-06-SEFOIA023</t>
  </si>
  <si>
    <t>School Mini-Gym, Licanan ES@Upper Licanan</t>
  </si>
  <si>
    <t>10703990-06-SEFOIA020</t>
  </si>
  <si>
    <t>SCHOOL MINI-GYM, PANABO CITY SHS</t>
  </si>
  <si>
    <t>10703990-06-SEFOIA008</t>
  </si>
  <si>
    <t>School Stage @  Nanyo Central ES</t>
  </si>
  <si>
    <t>10703990-06-SEFOIA021</t>
  </si>
  <si>
    <t>TOILETS OF COMFORT ROOM AND SEPTIC TANK, PANABO NHS</t>
  </si>
  <si>
    <t>Subtotal - Other Infrastructure Assets  (SEF)</t>
  </si>
  <si>
    <t>Other Land Improvements</t>
  </si>
  <si>
    <t>10702990-03   Special Education Fund</t>
  </si>
  <si>
    <t>10702990-03-SEFOLI017</t>
  </si>
  <si>
    <t>CONSTRUCTION OF FENCE</t>
  </si>
  <si>
    <t>10702990-03-SEFOLI013</t>
  </si>
  <si>
    <t>LAND IMPROVEMENT STO. NIÑO ELEMENTARY SCHOOL(FORMER SLAUGHTERHOUSE), BRGY. STO. NIÑO, PANABOC ITY</t>
  </si>
  <si>
    <t>10702990-03-2022-03-128</t>
  </si>
  <si>
    <t>POW 2022-03-128-construction of Perimeter Fence, Cagangohan NHS</t>
  </si>
  <si>
    <t>10702990-03-SEFOLI014</t>
  </si>
  <si>
    <t>POW#2017-07-588_Perimeter fence, Phase 2, Concordia Sison ES @Brgy. Sindaton</t>
  </si>
  <si>
    <t>10702990-03-SEFOLI018</t>
  </si>
  <si>
    <t>POW#2017-08-595_PERIMETER FENCE, PHASE 2, SAN FRANCISCO E/S_POW#2017-08-595</t>
  </si>
  <si>
    <t>10702990-03-SEFOLI002</t>
  </si>
  <si>
    <t>POW#2018-05-232_Perimeter Fence, Mabunao HS @Brgy. Mabunao</t>
  </si>
  <si>
    <t>10702990-03-SEFOLI006</t>
  </si>
  <si>
    <t>POW#2019-01-027_Perimeter fence, Cabili ES @Brgy. Quezon</t>
  </si>
  <si>
    <t>10702990-03-SEFOLI019</t>
  </si>
  <si>
    <t>POW#2019-01-030_PATHWAY, SAN FRANCISCO E/S</t>
  </si>
  <si>
    <t>10702990-03-SEFOLI001</t>
  </si>
  <si>
    <t>POW#2019-01-051_PERIMETER FENCE, CAGANGOHAN NHS</t>
  </si>
  <si>
    <t>10702990-03-SEFOLI015</t>
  </si>
  <si>
    <t>POW#2019-02-062_PERIMETER FENCE, NAMUAG ES_</t>
  </si>
  <si>
    <t>10702990-03-SEFOLI024</t>
  </si>
  <si>
    <t>POW#2019-03-095_PERIMETER FENCE KAUSWAGAN NHS</t>
  </si>
  <si>
    <t>10702990-03-SEFOLI025</t>
  </si>
  <si>
    <t>POW#2019-03-119_PERIMETER FENCE, AOF NHS</t>
  </si>
  <si>
    <t>10702990-03-SEFOLI003</t>
  </si>
  <si>
    <t>POW#2019-03-131_PERIMETER FENCE, PHASE 2, LITTLE PANAY NHS</t>
  </si>
  <si>
    <t>10702990-03-SEFOLI004</t>
  </si>
  <si>
    <t>POW#2019-04-168_PERIMETER FENCE, GREDU ES</t>
  </si>
  <si>
    <t>10702990-03-SEFOLI005</t>
  </si>
  <si>
    <t>POW#2019-04-169_PERIMETER FENCE, STA CRUZ E/S</t>
  </si>
  <si>
    <t>10702990-03-SEFOLI026</t>
  </si>
  <si>
    <t>POW#2020-03-169_COMPLETION OF PERIMETER FENCE PHASE 2 AT CAGANGOHAN NHS LOCATED AT BRGY CAGANGOHAN PANABO  CITY -COMPLETED : 11/ 26/20</t>
  </si>
  <si>
    <t>10702990-03-SEFOLI016</t>
  </si>
  <si>
    <t>POW#2020-10-383_Perimeter Fence , Mabunao NHS; Date completed: 04-14-21</t>
  </si>
  <si>
    <t>10702990-03-SEFOLI027</t>
  </si>
  <si>
    <t>POW#2020-10-385_Construction of Perimeter Fence,  Malativas, Panabo City; Date completed: 05-03-21</t>
  </si>
  <si>
    <t>10702990-03-SEFOLI020</t>
  </si>
  <si>
    <t>POW#2020-11-404-Perimeter Fence, Don Manuel A. Javellana Memorial NHS located at Brgy. Dapco, Panabo City; Date completed: 04-28-21</t>
  </si>
  <si>
    <t>10702990-03-SEFOLI028</t>
  </si>
  <si>
    <t>POW#2020-11-424_SCHOOL SITE IMPROVEMENT LANDSCAPPING RIZAL ES DATE COMPLETED 08-05-21</t>
  </si>
  <si>
    <t>10702990-03-SEFOLI009</t>
  </si>
  <si>
    <t>POW#2021-01-004_Rehabilitationa and Improvement of School Perimeter Fence, Phase 2 AOF NHS @Brgy. AO Floirendo_Date completed: 07-23-21</t>
  </si>
  <si>
    <t>10702990-03-SEFOLI007</t>
  </si>
  <si>
    <t>POW#2021-02-064_PERIMETER FENCE, MABUNAO, ES SCHOOL, DATE COMPLETION; 08-05-21</t>
  </si>
  <si>
    <t>10702990-03-SEFOLI010</t>
  </si>
  <si>
    <t>POW#2021-02-065_Perimeter Fence, Tagurot Elementary School @San Nicolas_Date completed: 08-04-21</t>
  </si>
  <si>
    <t>10702990-03-SEFOLI008</t>
  </si>
  <si>
    <t>POW#2021-02-069_PERIMETER FENCE MALATIVAS ES DATE COMPLETION: 08-05-21</t>
  </si>
  <si>
    <t>10702990-03-SEFOLI021</t>
  </si>
  <si>
    <t>POW#2021-04-126_Perimeter Fence, Datu Abdul Elementary School @Datu Abdul_Date completed:  07-14-21</t>
  </si>
  <si>
    <t>10702990-03-SEFOLI022</t>
  </si>
  <si>
    <t>POW#2021-05-186_Construction of Perimeter Fence , AOF ES III; Date completed: 11/24/2021</t>
  </si>
  <si>
    <t>10702990-03-SEFOLI011</t>
  </si>
  <si>
    <t>POW#2021-05-193_Perimeter Fence Consolacion ES @Brgy. Consolacion, Panabo City_Date completed: 11-03-21</t>
  </si>
  <si>
    <t>10702990-03-SEFOLI012</t>
  </si>
  <si>
    <t>POW#2021-07-292_Perimeter Fence, Don Manuel A. Javellana NHS @brgy. Dapco; date completed: 11/05/2021</t>
  </si>
  <si>
    <t>10702990-03-SEFOLI029</t>
  </si>
  <si>
    <t>POW-2021-05-174_Perimeter Fence, Buenavista ES located at Brgy. Buenavista; date completed: 01/25/2022</t>
  </si>
  <si>
    <t>10702990-03-SEFOLI030</t>
  </si>
  <si>
    <t>POW-2021-11-412-School Site Improvement-Landscaping Licanan ES</t>
  </si>
  <si>
    <t>Subtotal - Other Land Improvements (SEF)</t>
  </si>
  <si>
    <t>Other Property, Plant and Equipment</t>
  </si>
  <si>
    <t xml:space="preserve"> 10799990-07   Special Trust Fund (SEF)</t>
  </si>
  <si>
    <t>10799990-07-SEFOPPE001</t>
  </si>
  <si>
    <t>ICS 2022-09-01-1 unit-grass cutter (Consolacion ES)</t>
  </si>
  <si>
    <t>Subtotal - Other Property, Plant and Equipment  (SEF)</t>
  </si>
  <si>
    <t>10704990-07   Special Education Fund</t>
  </si>
  <si>
    <t>10704990-07-2020-06-240</t>
  </si>
  <si>
    <t>COMPLETION OF FEEDING CENTER_POW#2020-06-240_DATE OF COMPLETION: 11/24/20</t>
  </si>
  <si>
    <t>10704990-07-2020-11-412</t>
  </si>
  <si>
    <t>COMPLETION OF SCHOOL STAGE AT N. GALAPIN ES LOCATED AT BRGY. MADUAO _POW#2020-11-412_04/12/21</t>
  </si>
  <si>
    <t>10704990-07-OSSEF001</t>
  </si>
  <si>
    <t>Orchard Garden</t>
  </si>
  <si>
    <t>10704990-07-2016-12-598</t>
  </si>
  <si>
    <t>PERIMETER FENCE, JP LAUREL ELEM SCHOOL- POW#2016-12-598</t>
  </si>
  <si>
    <t>10704990-07-2022-03-099</t>
  </si>
  <si>
    <t>POW 2022-03-099-Construction of School Mini gym Phase 2, kiotoy ES</t>
  </si>
  <si>
    <t>10704990-07-2020-06-227</t>
  </si>
  <si>
    <t>POW#2020-06-227_Rehabilitation of Panabo Central ES-SPED Gymnasium, Brgy. San Francisco</t>
  </si>
  <si>
    <t>10704990-07-2021-07-286</t>
  </si>
  <si>
    <t>POW-2021-07-286_Construction of Reading Center, Consolacion ES; Date completed: 12-13-21</t>
  </si>
  <si>
    <t>10704990-07-2021-08-330</t>
  </si>
  <si>
    <t>POW-2021-08-330-date completed 02-03-22-Construction of Handwashing Facility Panabo NHS-located at Brgy. Gredu, Panabo City</t>
  </si>
  <si>
    <t>Subtotal - Other Structures (SEF)</t>
  </si>
  <si>
    <t xml:space="preserve"> 10704020-01   Completed School Buildings</t>
  </si>
  <si>
    <t>10704020-01-SB008</t>
  </si>
  <si>
    <t>(School Building - Glecerio Dondoy  Elem School -Cagangohan)</t>
  </si>
  <si>
    <t>10704020-01-SB009</t>
  </si>
  <si>
    <t>(School Building - Manay High School -Manay)</t>
  </si>
  <si>
    <t>10704020-01-2022-02-049</t>
  </si>
  <si>
    <t>*POW-2022-02-049-date completed 08-05-22-(3M)Construction of 1 storey 2 classroom school building with comfort rom, Nanyo Central E/S 7mx9m</t>
  </si>
  <si>
    <t>10704020-01-2022-02-056</t>
  </si>
  <si>
    <t>*POW-2022-02-056-date completion 09-02-22-(3M)Construction of 1 storey 2 classroom school building with comfort room, Sta Cruz ES 7mx9m</t>
  </si>
  <si>
    <t>10704020-01-2015-01-009</t>
  </si>
  <si>
    <t>1 Storey 2 Classroom JP Laurel Elem. School_POW#2015-01-009</t>
  </si>
  <si>
    <t>10704020-01-SB013</t>
  </si>
  <si>
    <t>1 Storey 2 Classroom School Bldg. Extension @ Sindaton NHS, Brgy. Lower Panaga</t>
  </si>
  <si>
    <t>10704020-01-2015-01-007</t>
  </si>
  <si>
    <t>1 Storey 2 Classroom School Bldg. San Vicente ES_POW#2015-01-007</t>
  </si>
  <si>
    <t>10704020-01-2015-01-022</t>
  </si>
  <si>
    <t>1 Storey 2 Classroom w/ Comfort Rooms @ Panabo Central Elem. School_POW#2015-01-022</t>
  </si>
  <si>
    <t>10704020-01-2020-03-165</t>
  </si>
  <si>
    <t>COMPLETION OF MULTI-PURPOSE SCHOOL BUILDING (ACTIVITY CENTER) NANYO CES LOCATED ATB BRGY NANYO PANABO CITY POW#2020-03-165_DATE OF COMPLETION_1/5/21</t>
  </si>
  <si>
    <t>10704020-01-SB005</t>
  </si>
  <si>
    <t>Consolacion Elem. School - Construction of Comfort Room</t>
  </si>
  <si>
    <t>10704020-01-SB007</t>
  </si>
  <si>
    <t>Construction of 3 classrooms (Annex High School) - San Vicente</t>
  </si>
  <si>
    <t>Secondary Unified Schools</t>
  </si>
  <si>
    <t>10704020-01-SB006</t>
  </si>
  <si>
    <t>Construction of 3 Classrooms School Building-Annex High School-San Vicente</t>
  </si>
  <si>
    <t>10704020-01-SB012</t>
  </si>
  <si>
    <t>Construction of Comfort Room - San Vicente National High School</t>
  </si>
  <si>
    <t>10704020-01-2019-04-182</t>
  </si>
  <si>
    <t>POW#2019-04-182_Construction of School Building:  One (1) Storey 4 CL School building, Datu abdul  E</t>
  </si>
  <si>
    <t>10704020-01-2019-08-304</t>
  </si>
  <si>
    <t>POW#2019-08-304_CONSTRUCTION OF  MULTI-PURPOSE SCHOOL BUILDING RIZAL ES (PHASE 3) (09/07/20)</t>
  </si>
  <si>
    <t>10704020-01-2020-04-197</t>
  </si>
  <si>
    <t>POW#2020-04-197_CONSTRUCTION OF 7MX18M 2 CLASSROOM ONE STOREY SCHOOL BUILDING WITH COMFORT ROOM</t>
  </si>
  <si>
    <t>10704020-01-2020-05-221</t>
  </si>
  <si>
    <t>POW#2020-05-221_COMPLETION OF SCHOOL MINI GYM MABUNAO ELEM. SCHOOL_02/18/21</t>
  </si>
  <si>
    <t>10704020-01-2020-06-239</t>
  </si>
  <si>
    <t>POW#2020-06-239_SCHOOL MINI GYM-CONSOLACION ES-BRGY. CONSOLACION, PANABO CITY(11-24-20)</t>
  </si>
  <si>
    <t>10704020-01-2020-06-259</t>
  </si>
  <si>
    <t>POW#2020-06-259_One (1) storey Two (2) classsroom school building with comfort room, Katualan ES @ Brgy. Katualan, Panabo City; date completed: 05-07-21</t>
  </si>
  <si>
    <t>10704020-01-2020-06-261</t>
  </si>
  <si>
    <t>POW#2020-06-261_One Storey Two Classroom Schoolbuilding with Comfort, Sindaton NHS Ext. (Lower Panaga) @Brgy. Panaga, Panabo City; date completed: 04-01-21</t>
  </si>
  <si>
    <t>10704020-01-2020-07-277</t>
  </si>
  <si>
    <t>POW#2020-07-277_One (1) Storey (2) Classroom School Buildingwith Comfort Room, P. Changco ES @Tibungol_Completion Date: 03-12-21</t>
  </si>
  <si>
    <t>10704020-01-2020-07-301</t>
  </si>
  <si>
    <t>POW#2020-07-301_One (1) storey two (2) classroom with comfort room, Malativas NHS-SHS at Brgy. Malativas, Panabo City date completed 05-21-21</t>
  </si>
  <si>
    <t>10704020-01-2021-05-187</t>
  </si>
  <si>
    <t>POW#2021-05-187_Cont. of (1) Sotrey 2 Classroom School Building with Comfort Room Tagurot ES.</t>
  </si>
  <si>
    <t>10704020-01-2021-05-190</t>
  </si>
  <si>
    <t>POW#2021-05-190_One (1) Storey 2 Classroom School Building with Comfort Room Gredu ES; Date completed: 12-09-21</t>
  </si>
  <si>
    <t>10704020-01-2021-12-469</t>
  </si>
  <si>
    <t>POW#2021-12-469_One (1) Storey Four (4) Classroom, School Building with Comfort Room, Phase 2, Datu Abdul ES_Date completed: 08-27-21</t>
  </si>
  <si>
    <t>10704020-01-2021-05-164</t>
  </si>
  <si>
    <t>POW-2021-05-164-date completed 02/22/22-Construction od One (1)storey 2 classroom school building with comfort room, Narciso Gakapin ES, Brgy.Maduao, PAnabo City</t>
  </si>
  <si>
    <t>10704020-01-2021-05-171</t>
  </si>
  <si>
    <t>POW-2021-05-171-Php 2.6M- date completion 01-28-22-CONSTRUCTION OF ONE   STOREY 2 CLASSROOM SCHOOL BUILDING WITH COMFORT ROOM   SAN ROQUE ES-DESCRIPTION: CONSTRUCTRION 2 UNITS-7M X 9M   CLASSROOM WITH</t>
  </si>
  <si>
    <t>10704020-01-2021-05-191</t>
  </si>
  <si>
    <t>POW-2021-05-191_One (1) Storey Two (2) Classroom School Building with Comfort Room, San Vicente ES; Date completed: 01-26-22</t>
  </si>
  <si>
    <t>10704020-01-2021-05-192</t>
  </si>
  <si>
    <t>POW-2021-05-192_One (1) Storey Two (2) Classroom School Building with Comfort Room, Waterfall ES; Date completed: 01-26-2022</t>
  </si>
  <si>
    <t>10704020-01-2021-08-323</t>
  </si>
  <si>
    <t>POW-2021-08-323 date completed 06-23-22 (1.5M)construction of Home   Economics Building Sindaton E/S 6mx7m)</t>
  </si>
  <si>
    <t>10704020-01-2021-09-353</t>
  </si>
  <si>
    <t>POW-2021-09-353-Construction of one (1) storey 5 classroom school building with comfort room, Salvacion ES</t>
  </si>
  <si>
    <t>10704020-01-2021-10-379</t>
  </si>
  <si>
    <t>POW2021-10-379_Php 4M-date completed 04-04-22- Construction of 1 Storey 3units   7m x 9m Classroom with 3 units Comfort Room at Manay NHS Ext., Dalisay   HS, Brgy. Dalisay_(2019 Cont. App))</t>
  </si>
  <si>
    <t>10704020-01-2021-11-403</t>
  </si>
  <si>
    <t>POW-2021-11-403(4.3M), Construction of 2 storey 6 CL school building, Panabo  NHS (Annex)Phase 4, Progressive Type</t>
  </si>
  <si>
    <t>10704020-01-2022-02-057</t>
  </si>
  <si>
    <t>POW-2022-02-057(3M)Construction of 1 storey 2 classroom school building with comfort room Southern Davao ES 7mxm</t>
  </si>
  <si>
    <t>10704020-01-2022-02-058</t>
  </si>
  <si>
    <t>POW-2022-02-058(3M) Construction of 1storey 2 classroom school building with comfort room, Tagpore ES 7mx9m</t>
  </si>
  <si>
    <t>10704020-01-2022-03-096</t>
  </si>
  <si>
    <t>POW-2022-03-096(3M)Construction of 1 storey 2 classroom school building with comfort room TG Gerona Sr. ES</t>
  </si>
  <si>
    <t>10704020-01-SB011</t>
  </si>
  <si>
    <t>Repair and Maintenance-School Buildings_Panabo National High School</t>
  </si>
  <si>
    <t>10704020-01-SB010</t>
  </si>
  <si>
    <t>SCHOOL BUILDING - GLECERIO DONDOY ELEM. SCHOOL -CAGANGOHAN</t>
  </si>
  <si>
    <t>Subtotal - School Buildings (SEF)</t>
  </si>
  <si>
    <t>Total - Special Education Fund</t>
  </si>
  <si>
    <t>TRUST FUND</t>
  </si>
  <si>
    <t>Hospitals and Health Centers</t>
  </si>
  <si>
    <t>10704030-03   HHC - Trust Fund Proper</t>
  </si>
  <si>
    <t>10704030-03-TFP-HHC001</t>
  </si>
  <si>
    <t>Extension of Brgy Health Center - New Pandan (416) Phil Cap.</t>
  </si>
  <si>
    <t>City Health Office</t>
  </si>
  <si>
    <t>Subtotal - Hospitals and Health Centers (TF)</t>
  </si>
  <si>
    <t>10703990-05   Trust Fund Proper</t>
  </si>
  <si>
    <t>10703990-05-2018-03-143</t>
  </si>
  <si>
    <t>POW#2018-03-143_Covered Court Bleachers at Brgy. Katipunan</t>
  </si>
  <si>
    <t>Brgy. Katipunan</t>
  </si>
  <si>
    <t>10703990-05-2018-03-149</t>
  </si>
  <si>
    <t>POW#2018-03-149_Stage at Brgy. Tagpore, Panabo City</t>
  </si>
  <si>
    <t>10703990-05-2018-03-171</t>
  </si>
  <si>
    <t>POW#2018-03-171_Covered Court Fence at Brgy. Sta. Cruz</t>
  </si>
  <si>
    <t>Brgy. Sta. Cruz</t>
  </si>
  <si>
    <t>10703990-05-2018-04-194</t>
  </si>
  <si>
    <t>POW#2018-04-194_Multi-Purpose Building w/ Electrical Installation @ Brgy. San Roque</t>
  </si>
  <si>
    <t>10703990-05-2018-04-203</t>
  </si>
  <si>
    <t>POW#2018-04-203_Women Livelihood Bldg.  @ Brgy. Gredu (01-28-20)</t>
  </si>
  <si>
    <t>Brgy. Gredu</t>
  </si>
  <si>
    <t>10703990-05-2018-04-210</t>
  </si>
  <si>
    <t>POW#2018-04-210_Multi-Purrpose Hall, Brgy. Katualan</t>
  </si>
  <si>
    <t>10703990-05-2018-05-238</t>
  </si>
  <si>
    <t>POW#2018-05-238_Multi-Purrpose Hall, Brgy. Lower Panaga</t>
  </si>
  <si>
    <t>10703990-05-2018-05-243</t>
  </si>
  <si>
    <t>POW#2018-05-243_Bleachers at Brgy. Gym Sindaton</t>
  </si>
  <si>
    <t>10703990-05-2018-06-256</t>
  </si>
  <si>
    <t>POW#2018-06-256_Market Stall/Building  @ Brgy. Consolacion</t>
  </si>
  <si>
    <t>10703990-05-2018-06-259</t>
  </si>
  <si>
    <t>POW#2018-06-259_Improved Multi-Purpose Gym  @ Brgy Kauswagan (02-03-20)</t>
  </si>
  <si>
    <t>Brgy. Kauswagan</t>
  </si>
  <si>
    <t>10703990-05-2018-07-316</t>
  </si>
  <si>
    <t>POW#2018-07-316_Multi-Purpose Building @ Brgy. Cacao</t>
  </si>
  <si>
    <t>Brgy. Cacao</t>
  </si>
  <si>
    <t>10703990-05-2018-07-320</t>
  </si>
  <si>
    <t>POW#2018-07-320_Bleachers at Brgy. Gym Manay</t>
  </si>
  <si>
    <t>10703990-05-2018-08-332</t>
  </si>
  <si>
    <t>POW#2018-08-332_Footbridge at Purok 1, Brgy. Tibungol</t>
  </si>
  <si>
    <t>10703990-05-2018-08-337</t>
  </si>
  <si>
    <t>POW#2018-08-337_Gymnasium located at Brgy. Mabunao</t>
  </si>
  <si>
    <t>10703990-05-2018-08-345</t>
  </si>
  <si>
    <t>POW#2018-08-345_Multi-Purpose Building (Backstage/Office) @ Brgy. San Nicolas</t>
  </si>
  <si>
    <t>10703990-05-2015-06-306</t>
  </si>
  <si>
    <t>Women's Crisis Center @ Brgy. Datu Abdul_POW#2015-06-306</t>
  </si>
  <si>
    <t>Subtotal - Other Infrastructure Assets (TF)</t>
  </si>
  <si>
    <t>10704020-01-2021-08-322</t>
  </si>
  <si>
    <t>POW-2021-08-322_date completed 06/09/22-Construction of school building (2   units 7m x 9m Classrom</t>
  </si>
  <si>
    <t>Subtotal - School Buildings (TF)</t>
  </si>
  <si>
    <t>Total - Trust Fund</t>
  </si>
  <si>
    <t>GRAND TOTAL</t>
  </si>
  <si>
    <t>Approval of transfer pending from SP</t>
  </si>
  <si>
    <t>City Government of Panabo City</t>
  </si>
  <si>
    <t>Unadjusted Book Reconciling Items under Bank Reconciliation Items</t>
  </si>
  <si>
    <t>Fund (Bank Account No.)</t>
  </si>
  <si>
    <t>Nature of Reconciling Items</t>
  </si>
  <si>
    <t>Amount (in PhP)</t>
  </si>
  <si>
    <t>TF-Safe Birthing Facility (LBP 1742-1046-10)</t>
  </si>
  <si>
    <t>Deposits of Collections</t>
  </si>
  <si>
    <t>SEF (LBP 1742-1006-81)</t>
  </si>
  <si>
    <t>Unrecorded Deposit 08/28/20</t>
  </si>
  <si>
    <t>Unrecorded Deposit 04/05/22</t>
  </si>
  <si>
    <t>GF- DBP 00-0-50172-916-8</t>
  </si>
  <si>
    <t>Interest Income - 3rd Quarter 2022</t>
  </si>
  <si>
    <t>Error due to double recording of loan payments under JEV 2022-12-007440</t>
  </si>
  <si>
    <t>Error due to double recording of loan payments under JEV 2022-12-007441</t>
  </si>
  <si>
    <t>Sub-total</t>
  </si>
  <si>
    <t>TF-HCI Charges (LBP 1742-1064-26)</t>
  </si>
  <si>
    <t>Double Entry of Credit Memo dated 08/22/19 as per JEV 2019-10-000373 &amp; JEV 2019-08-000298</t>
  </si>
  <si>
    <t>TF-MDG Faces (LBP 1742-1045-20)</t>
  </si>
  <si>
    <t>SC Minimum dated 02/28/20</t>
  </si>
  <si>
    <t>GF-Cemetery (LBP 1742-1037-10)</t>
  </si>
  <si>
    <t>Check no. 1547728 dated 01/27/22 (Unrecorded Transactions)</t>
  </si>
  <si>
    <t>TF-Proper (LBP 1742-1007-03)</t>
  </si>
  <si>
    <t>Overstatement of Adjustment per JEV 2022-07-000204</t>
  </si>
  <si>
    <t>Check no. 1597460 dtd 12-29-22</t>
  </si>
  <si>
    <t>GF-Market (LBP 1742-1008-35)</t>
  </si>
  <si>
    <t>Check no. 1546442 dtd 01/05/22</t>
  </si>
  <si>
    <t>Check no. 1546804 dtd 08/19/22</t>
  </si>
  <si>
    <t>Check no. 1546803 dtd 08/19/22</t>
  </si>
  <si>
    <t>Tax Withheld on interest income dated 9/30/22</t>
  </si>
  <si>
    <t>Erroneous entry per JEV 2022-12-007005</t>
  </si>
  <si>
    <t>TOTAL</t>
  </si>
  <si>
    <t>List of Specific Projects charged under the 20% DF Project with Generic Titles</t>
  </si>
  <si>
    <t>Program/Project/Activity</t>
  </si>
  <si>
    <r>
      <t>Specific Project during</t>
    </r>
    <r>
      <rPr>
        <sz val="12"/>
        <color theme="1"/>
        <rFont val="Calibri"/>
        <family val="2"/>
        <scheme val="minor"/>
      </rPr>
      <t> </t>
    </r>
    <r>
      <rPr>
        <b/>
        <sz val="12"/>
        <color theme="1"/>
        <rFont val="Times New Roman"/>
        <family val="1"/>
      </rPr>
      <t xml:space="preserve"> Implementation</t>
    </r>
  </si>
  <si>
    <t>Project Cost</t>
  </si>
  <si>
    <t>Awarded Contract Cost</t>
  </si>
  <si>
    <t>Status of Implementation</t>
  </si>
  <si>
    <t>(with Generic Appropriation)</t>
  </si>
  <si>
    <t>(POW)</t>
  </si>
  <si>
    <t>as of 12/31/22</t>
  </si>
  <si>
    <t>CY 2022 - Current Appropriation</t>
  </si>
  <si>
    <t>Site Development for Resettlement Areas, Citywide</t>
  </si>
  <si>
    <t>POW-2022-01-001</t>
  </si>
  <si>
    <t>Site/Land Development (Relampagos Village II), Brgy. Quezon</t>
  </si>
  <si>
    <t>(By Admin)</t>
  </si>
  <si>
    <t>Upgrading of Local Access Road-Urban Areas, Citywide</t>
  </si>
  <si>
    <t>POW-2022-06-224</t>
  </si>
  <si>
    <t>Upgrading of Local Access Road-Urban Areas, Brgy. San Francisco</t>
  </si>
  <si>
    <t>Construction of Drainage, Citywide</t>
  </si>
  <si>
    <t>POW-2022-09-424</t>
  </si>
  <si>
    <t>Awarded contract 12/12/2022</t>
  </si>
  <si>
    <t>Construction of Drainage, Segment 1 at Brgy. New Visayas, Segment 2 at Brgy. San Fransciso</t>
  </si>
  <si>
    <t>POW-2022-08-376</t>
  </si>
  <si>
    <t>Under procurement process</t>
  </si>
  <si>
    <t>Construction of Drainage, Segment of Brgy. Gredu-Prk. Kalubihan, Brgy. New Visayas</t>
  </si>
  <si>
    <t>*ABC</t>
  </si>
  <si>
    <t>Road Rehabilitation Program (Asphalting of Roads), Citywide</t>
  </si>
  <si>
    <t>POW-2022-08-368, Road Rehabilitation Program (Asphalting of Roads) at:</t>
  </si>
  <si>
    <t>(By Administration)</t>
  </si>
  <si>
    <t>Emergency Clinic, New Pandan</t>
  </si>
  <si>
    <t>(7 locations under 1 POW)</t>
  </si>
  <si>
    <t>P-4, Waterfall</t>
  </si>
  <si>
    <t>Josil 3, Cagangohan</t>
  </si>
  <si>
    <t>Purok 6, Salvacion</t>
  </si>
  <si>
    <t>Hofilena Subd., Cagangohan</t>
  </si>
  <si>
    <t>Purok 4, Salvacion</t>
  </si>
  <si>
    <t>Overlay, Panabo Bus Terminal, New Pandan</t>
  </si>
  <si>
    <t>Total CY 2022 - Current Appropriation</t>
  </si>
  <si>
    <t>CY 2021 - Continuing Appropriation</t>
  </si>
  <si>
    <t>POW-2021-01-001</t>
  </si>
  <si>
    <t>Site Development for Resettlement Areas, Brgy. Quezon</t>
  </si>
  <si>
    <t>By Admin</t>
  </si>
  <si>
    <t>POW-2021-09-005</t>
  </si>
  <si>
    <t>Site Development for Resettlement Areas-Additional, Brgy. Katipunan</t>
  </si>
  <si>
    <t xml:space="preserve">POW-2022-03-001 - Site </t>
  </si>
  <si>
    <t>Development for Resettlement Areas, Brgy. Katipunan</t>
  </si>
  <si>
    <t>Suspended</t>
  </si>
  <si>
    <t>Rural Urban Electrification, Citywide</t>
  </si>
  <si>
    <t>No POW</t>
  </si>
  <si>
    <t>W223144, Payment of bill deposit for Mabunao Water System, Brgy. Mabunao</t>
  </si>
  <si>
    <t>Paid 09/08/2021</t>
  </si>
  <si>
    <t>Payment of bill deposit for Rodrigo D. Mabitad, Sr. Elem. School, Brgy. New Malitbog</t>
  </si>
  <si>
    <t>Paid 09/14/2021</t>
  </si>
  <si>
    <t>W242135, Payment of bill deposit for Upper Licanan, Elem. School, Brgy. Upper Licanan</t>
  </si>
  <si>
    <t>Paid 10/20/2021</t>
  </si>
  <si>
    <t>Acct ID 6742577589, Guarantee Deposit Payable (bill deposit) for TFC-B22, Panabo Central Market, Brgy. Sto. Niño</t>
  </si>
  <si>
    <t>Paid 01/12/2022</t>
  </si>
  <si>
    <t>W244760, Payment of bill deposit for TFC-B22, Panabo Central Market, Brgy. Sto. Niño</t>
  </si>
  <si>
    <t>Re-blocking of Road, Citywide</t>
  </si>
  <si>
    <t>POW-2021-08-302</t>
  </si>
  <si>
    <t>Re-blocking of Road at Brgy. Gredu, Datu Abdul, Cagangohan &amp; Little Panay;</t>
  </si>
  <si>
    <t>Total CY 2021 - Continuing Appropriation</t>
  </si>
  <si>
    <t>CY 2020 - Continuing Appropriation</t>
  </si>
  <si>
    <t>Site Development for Resettlement Areas, Various Barangays</t>
  </si>
  <si>
    <t>POW-2020-07-002</t>
  </si>
  <si>
    <t>Site Development for Resettlement Areas at Brgy. Quezon</t>
  </si>
  <si>
    <t>Rural Urban Electrification</t>
  </si>
  <si>
    <t>W223140, Payment of bill deposit for Sanitary Landfill Prk 5, Brgy Waterfall</t>
  </si>
  <si>
    <t>Paid 07/24/2020</t>
  </si>
  <si>
    <t>W228822, Payment of bill deposit for New Visayas Elem. School, Brgy. New Visayas</t>
  </si>
  <si>
    <t>Paid 09/21/2020</t>
  </si>
  <si>
    <t>W232893, Payment of bill deposit for DepEd Office, New City Hall Compound, Brgy. J.P. Laurel</t>
  </si>
  <si>
    <t>Paid 02/01/2021</t>
  </si>
  <si>
    <t>Work Order ID: W233925, Payment of bill deposit for LGU Panabo Premium Market, Aguinaldo Street, Brgy. Sto Niño</t>
  </si>
  <si>
    <t>Paid 03/02/2021</t>
  </si>
  <si>
    <t>W230951, Payment of bill deposit for Little Panay National High School, Brgy. Little Panay</t>
  </si>
  <si>
    <t>W232799, Payment of bill deposit for Panabo City Sanitary Landfill, Brgy. Waterfall</t>
  </si>
  <si>
    <t>W238412, Payment of bill deposit for Rodrigo D. Mabitad, Sr. Elem. School, Brgy. New Malitbog</t>
  </si>
  <si>
    <t>Obligated 06/30/2021</t>
  </si>
  <si>
    <t>W253399, Payable bill deposit for Rizal Elem. School</t>
  </si>
  <si>
    <t>Obligated 9/14/2022</t>
  </si>
  <si>
    <t>W247043, Payable bill deposit for Malativas Elem. School</t>
  </si>
  <si>
    <t>Obligated 7/21/2022</t>
  </si>
  <si>
    <t>W253639, Payment of bill deposit for Salvacion Elem. School</t>
  </si>
  <si>
    <t>Paid 11/16/2022</t>
  </si>
  <si>
    <t>Total CY 2020 - Continuing Appropriation</t>
  </si>
  <si>
    <t>CY 2019 - Continuing Appropriation</t>
  </si>
  <si>
    <t>POW-2020-02-001</t>
  </si>
  <si>
    <t>Road Rehabilitation, Citywide (including MRDP/DIDP Projects)</t>
  </si>
  <si>
    <t>POW-2019-01-021</t>
  </si>
  <si>
    <r>
      <t>A.)</t>
    </r>
    <r>
      <rPr>
        <sz val="7"/>
        <color theme="1"/>
        <rFont val="Times New Roman"/>
        <family val="1"/>
      </rPr>
      <t xml:space="preserve">  </t>
    </r>
    <r>
      <rPr>
        <sz val="12"/>
        <color theme="1"/>
        <rFont val="Times New Roman"/>
        <family val="1"/>
      </rPr>
      <t>Road Rehabilitation, Citywide (including MRDP/ DIDP Projects)</t>
    </r>
  </si>
  <si>
    <t>POW-2019-10-379</t>
  </si>
  <si>
    <r>
      <t>B.)</t>
    </r>
    <r>
      <rPr>
        <sz val="7"/>
        <color theme="1"/>
        <rFont val="Times New Roman"/>
        <family val="1"/>
      </rPr>
      <t xml:space="preserve">  </t>
    </r>
    <r>
      <rPr>
        <sz val="12"/>
        <color theme="1"/>
        <rFont val="Times New Roman"/>
        <family val="1"/>
      </rPr>
      <t>Road Rehabilitation, Citywide (including MRDP/ DIDP Projects)</t>
    </r>
  </si>
  <si>
    <t>Total CY 2019 - Continuing Appropriation</t>
  </si>
  <si>
    <t>Total CY 2019-2021 - Continuing Appropriation</t>
  </si>
  <si>
    <t>List of PPE Classified in the Inappropriate Accounts</t>
  </si>
  <si>
    <t>Fund</t>
  </si>
  <si>
    <t xml:space="preserve">Acq. Date </t>
  </si>
  <si>
    <t>Resp. Center</t>
  </si>
  <si>
    <t>Acc. Depreciation</t>
  </si>
  <si>
    <t>Various Buildings classified as Other Infrastructure Assets</t>
  </si>
  <si>
    <t>General Fund</t>
  </si>
  <si>
    <t>10703990-01 20% Development Fund</t>
  </si>
  <si>
    <t>10703990-01-OIA20DF050</t>
  </si>
  <si>
    <t>3 Units Gawad Kalinga Bldg.,  Datu Abdul)</t>
  </si>
  <si>
    <t>10703990-01-OIA20DF057</t>
  </si>
  <si>
    <t>CoC- (05/10/16) Improvement of MPTCSC-JP Laurel</t>
  </si>
  <si>
    <t>10703990-01-OIA20DF023</t>
  </si>
  <si>
    <t>Community Skills Training Center Phase1 @  Motorpool Area, Brgy. Datu Abdul_POW#2016-07-362)</t>
  </si>
  <si>
    <t>10703990-01-OIA20DF024</t>
  </si>
  <si>
    <t>IP'S BUILDING-GOVERNMENT  CENTER  (PHASE1) RBGY. JP LAUREL_POW# 2016-07-365)</t>
  </si>
  <si>
    <t>10703990-01-OIA20DF042</t>
  </si>
  <si>
    <t>MULTI-PURPOSE CENTER-  GOVERNMENT CENTER)</t>
  </si>
  <si>
    <t>10703990-01-OIA20DF051</t>
  </si>
  <si>
    <t>POW #  2018-05-219_Community Skills Training Center)</t>
  </si>
  <si>
    <t>10703990-01-OIA20DF049</t>
  </si>
  <si>
    <t>POW#2014-8-418/2015-05-282_ 6 UNITS SINGLE DETACHED GAWAD  KALINGA BLDG - DATU ABDUL)</t>
  </si>
  <si>
    <t>10703990-01-OIA20DF045</t>
  </si>
  <si>
    <t>POW#2018-04-206_BNS  Building)</t>
  </si>
  <si>
    <t>10703990-01-OIA20DF046</t>
  </si>
  <si>
    <t>POW#2018-05-226_Brgy. New  Visayas Multi- purpose Hall)</t>
  </si>
  <si>
    <t>10703990-01-OIA20DF047</t>
  </si>
  <si>
    <t>POW#2018-08-346_MANPOWER DEVELOPMENT CENTER FOR OUT OF  SCHOOL YOUTHS AND ADULTS)</t>
  </si>
  <si>
    <t>10703990-01-OIA20DF061</t>
  </si>
  <si>
    <t xml:space="preserve">POW-2015-05-280Rehabilitation Center for CICL  </t>
  </si>
  <si>
    <t>10703990-04- 2018-06-271</t>
  </si>
  <si>
    <t>CoC-11-28-18 - Pow # 2018-06-271_Completion  Of Provincial Public Safety Companay Quarters, Brgy. New Malitbog, Pana)</t>
  </si>
  <si>
    <t>10703990-04-2015-03-213</t>
  </si>
  <si>
    <t>COMFORT ROOM AT ARF  GYM_POW#2015-03-213</t>
  </si>
  <si>
    <t>10703990-04-002OIAGFP</t>
  </si>
  <si>
    <t>Construction of Senior Citizen Center -  Brgy. New Pandan</t>
  </si>
  <si>
    <t>10703990-04-003OIAGFP</t>
  </si>
  <si>
    <t>Improvement of PNP Building</t>
  </si>
  <si>
    <t>10703990-04-2014-04-269</t>
  </si>
  <si>
    <t>PNP IMPOUNDING  BLDG._POW#2014-04-269</t>
  </si>
  <si>
    <t>10703990-04-2018-02-063</t>
  </si>
  <si>
    <t>POW#2018-02-063_COMPLETION OF TRIBAL HALL</t>
  </si>
  <si>
    <t>10703990-04-2018-09-398</t>
  </si>
  <si>
    <t>POW#2018-09-398_CONSTRUCTION OF SHED</t>
  </si>
  <si>
    <t>10703990-04-2018-10-408</t>
  </si>
  <si>
    <t>POW#2018-10-408_CONSTRUCTION OF D.A BUILDING</t>
  </si>
  <si>
    <t>10703990-04-2018-10-423</t>
  </si>
  <si>
    <t>POW#2018-10-423_CONSTRUCTION OF IP'S BUILDING  AT GOVERNMENT CENTER PHASE 2</t>
  </si>
  <si>
    <t>10703990-04-2019-06-212</t>
  </si>
  <si>
    <t>POW#2019-06-212_COMPLETION OF ARF GYM</t>
  </si>
  <si>
    <t>Special Education Fund</t>
  </si>
  <si>
    <t>10703990-06   Special Education Fund</t>
  </si>
  <si>
    <t>Trust Fund</t>
  </si>
  <si>
    <t xml:space="preserve"> 10703990-05   Trust Fund Proper</t>
  </si>
  <si>
    <t>10703990-05-2018-09-377</t>
  </si>
  <si>
    <t>POW#2018-09-377_Date Completed: 11-23-20_Panabo City Dog Pound and Animal Wellness and Birth Control</t>
  </si>
  <si>
    <t>10703990-05-2020-12-442</t>
  </si>
  <si>
    <t>POW-2020-12-442(COC- 08-22-21)-Completion on Additional Facilities &amp; Improvement of CDRRMO Evacuatio</t>
  </si>
  <si>
    <t>10703990-05-2015-05-280</t>
  </si>
  <si>
    <t>Rehabilitation Center for CICL_POW#2015-05-280</t>
  </si>
  <si>
    <t>Subtotal</t>
  </si>
  <si>
    <t xml:space="preserve">Improvement of Parks and Plazas classified as Other Structures </t>
  </si>
  <si>
    <t>10704990-03   20% DF</t>
  </si>
  <si>
    <t>10704990-03-2015-04-238</t>
  </si>
  <si>
    <t>POW-2015-04-238_Improvement of Parks and Plaza at Old City Hall- New Pandan</t>
  </si>
  <si>
    <t>Buildings classified as Other Structures</t>
  </si>
  <si>
    <t>10704990-03-20DF-OS002</t>
  </si>
  <si>
    <t>Construction of MPTCSC Building</t>
  </si>
  <si>
    <t>10704990-04-TOS002</t>
  </si>
  <si>
    <t>Panabo Integrated Bus &amp; Jeepney Terminal</t>
  </si>
  <si>
    <t>10704990-08-004OSGFP</t>
  </si>
  <si>
    <t>Construction BusTerminal-GFP</t>
  </si>
  <si>
    <t>10704990-08-019OSGFP</t>
  </si>
  <si>
    <t>Construction of Mini Bodega_D.A  Salvacion</t>
  </si>
  <si>
    <t>10704990-08-022OSGFP</t>
  </si>
  <si>
    <t>Construction of MPTCSC Building-GFP</t>
  </si>
  <si>
    <t>10704990-08-018OSGFP</t>
  </si>
  <si>
    <t>Construction of MPTCSCC</t>
  </si>
  <si>
    <t>10704990-08-023OSGFP</t>
  </si>
  <si>
    <t>Day Care Center -New Pandan (beside CSWDO office)</t>
  </si>
  <si>
    <t>10704990-08-029OSGFP</t>
  </si>
  <si>
    <t>Improvement of CIO &amp; library building - New Pandan</t>
  </si>
  <si>
    <t>10704990-08-017OSGFP</t>
  </si>
  <si>
    <t>Improvement of GAD Building</t>
  </si>
  <si>
    <t xml:space="preserve"> 10704990-05   Trust Fund Proper</t>
  </si>
  <si>
    <t>10704990-05-2015-05-281</t>
  </si>
  <si>
    <t>POW#2015-05-281_RENOVATED ANGEL BARACHAEL HOME FOR  BOYS (03-14-16),POW # 2018-11-466 (5-27-2019)</t>
  </si>
  <si>
    <t>City Social Welfare &amp; Development Office</t>
  </si>
  <si>
    <t>10704990-05-2021-07-288</t>
  </si>
  <si>
    <t>POW-2021-07-288-date completed 10-24-22-Construction of micromill building</t>
  </si>
  <si>
    <t>Perimeter Fence classified as Other Infrastructure Assets</t>
  </si>
  <si>
    <t xml:space="preserve"> 10703990-04   General Fund Proper</t>
  </si>
  <si>
    <t>10703990-04- 2016-02-126</t>
  </si>
  <si>
    <t>CoC-12-05-16 - Completion Of Motorpool  Perimeter Fence_Pow # 2016-02-126)</t>
  </si>
  <si>
    <t>Perimeter Fence classified as Other Structures</t>
  </si>
  <si>
    <t>Structures used for the delivery of public health services classified as Other Structures</t>
  </si>
  <si>
    <t>10704990-05-2021-09-357</t>
  </si>
  <si>
    <t>POW-2021-09-357(3M)Construction of Barangay Health Station 153 sq.m one storey</t>
  </si>
  <si>
    <t>10704990-05-2022-06-225</t>
  </si>
  <si>
    <t>POW-2022-06-225-Rehabilitation/Improvement of Barangay Health Station with Safe birthing Facility</t>
  </si>
  <si>
    <t>Structures used for the delivery of public health services classified as Other Infrastructure Assets</t>
  </si>
  <si>
    <t>Grand Total</t>
  </si>
  <si>
    <t>List of PPE with Inconsistent Classification</t>
  </si>
  <si>
    <t xml:space="preserve">PPE Item </t>
  </si>
  <si>
    <t>PPE Account Used</t>
  </si>
  <si>
    <t>Generator</t>
  </si>
  <si>
    <t>Other Machinery and Equipment</t>
  </si>
  <si>
    <t>10705990-01   Market Operation</t>
  </si>
  <si>
    <t>10705990-01-OMEM004</t>
  </si>
  <si>
    <t>1 unit generator_Model: Hausman R7100 DP, Running Time: 8.0hr SN: A10909004545</t>
  </si>
  <si>
    <t>City Economic Enterprise Management Office</t>
  </si>
  <si>
    <t>10705990-01-OMEM006</t>
  </si>
  <si>
    <t>1 unit generator_Model: Hausman R7100 DP, Running Time: 8.0hr SN: A1909004542</t>
  </si>
  <si>
    <t>10705990-01-OMEM007</t>
  </si>
  <si>
    <t>1 unit generator_Model: Hausman R7100 DP, Running Time: 8.0hr SN: A2001000745</t>
  </si>
  <si>
    <t>10705990-01-OMEM005</t>
  </si>
  <si>
    <t>1 unit generator_Model: Hausman R7100 DP, Running Time: 8.0hr SN: A2001000749</t>
  </si>
  <si>
    <t xml:space="preserve"> 10705990-04   General Fund Proper</t>
  </si>
  <si>
    <t>10705990-04-OMEGFP035</t>
  </si>
  <si>
    <t>1 unit generator; _Model: Firman 5 KVA Diesel; _SN: 10000465 (BJMP - re-issued to: JO2 Alden M. Tabigue, JMP)</t>
  </si>
  <si>
    <t>Office of the BJMP</t>
  </si>
  <si>
    <t>10705990-04-OMEGFP032</t>
  </si>
  <si>
    <t>5 KVA Mobile generator set switch on type diesel (CEO) SN # 32BKT60058</t>
  </si>
  <si>
    <t>10705990-04-OMEGFP034</t>
  </si>
  <si>
    <t>One(1) unit brand new diesel electric generator set, Brand : FG Wilson 62.50 KVA Model: P 55EI with Automatic transfer switch sound front and weather proof canopy and trailer SN# FGWPEP5HAT525556; EN#</t>
  </si>
  <si>
    <t>10799990-01   General Fund Proper</t>
  </si>
  <si>
    <t>10799990-01-OPPEGFP006</t>
  </si>
  <si>
    <t>1 unit Brand New Diesel Electric GENERATOR set; _Brand: FG Wilson 250 KVA; _Model: P220HEZ; _with Automatic Transfer Switch; _Sound Attenuated and Weather proof canopy; _380 meters - 125.0 mm2 THHN Wi</t>
  </si>
  <si>
    <t>10799990-01-OPPEGFP065</t>
  </si>
  <si>
    <t>15 SETS GENERATOR SET MODEL: TDG6000SE/TD186FA_CDRRMO(P. DAJALOS)_ARE # 2017-02-001</t>
  </si>
  <si>
    <t>Local Disaster Risk Reduction and Management Fund</t>
  </si>
  <si>
    <t xml:space="preserve"> 10799990-03   Market Operation</t>
  </si>
  <si>
    <t>10799990-03-OPPEM005</t>
  </si>
  <si>
    <t>3 UNITS GENERATOR SET PORTABLE GASOLINE 2000W @ 18,000.00 EACH_SN # AR168F-13100218,AR168F-1 13100066,AR168F-1 13100020</t>
  </si>
  <si>
    <t>Submersible Pump</t>
  </si>
  <si>
    <t>10705990-04   General Fund Proper</t>
  </si>
  <si>
    <t>10705990-04-OMEGFP033</t>
  </si>
  <si>
    <t>1 unit goulds submersible pump model: 25GS20412   _coupled re 2HP wet type, submersible meter with a rated capacity of 30 GPM against 160 ft. total dynamic head using 1 1/4" riser PE pipe  (CEO)</t>
  </si>
  <si>
    <t>10705990-04-OMEGFP068</t>
  </si>
  <si>
    <t>ARE#2019-05-006_PO#2018-12-4045_1 SET 5HP SUBMERSIBLE PUMP,40GPM COMPLETE_RECEIVED BY: ENGR. GLENN OLANDRIA</t>
  </si>
  <si>
    <t>10705990-04-OMEGFP045</t>
  </si>
  <si>
    <t>ARE#2019-05-007_PO#2018-11-3323_1 SET 5HP SUBMERSIBLE PUMP, 25 GPM_RECIVED BY: ENGR. GLENN A. OLANDRIA</t>
  </si>
  <si>
    <t>10705990-04-OMEGFP071</t>
  </si>
  <si>
    <t>ARE#2021-02-03_POW#2020-07-282_1 SET_SUBMERSIBLE PUMP_RECEIVED BY: ENGR. BERNARDO C. RABANOZ(CACAO WATER SYSTEM)</t>
  </si>
  <si>
    <t>10705990-04-OMEGFP022</t>
  </si>
  <si>
    <t>PPA_1 SET WATER PUMP,1  1/2 HP SUBMERSIBLE PUMP, 25GMP W/COMPLETE CONTROLS ACCESSORIES &amp; INSTALLATION ^ PUMP TEST FOR 80 FT. DEEP PUMP SETTING_RECEIVED BY: ALEJANDRO R. MAYATO_ARE# 2017-11-32_CAGRO</t>
  </si>
  <si>
    <t>City Agriculture Office</t>
  </si>
  <si>
    <t xml:space="preserve"> 10799990-01   General Fund Proper</t>
  </si>
  <si>
    <t>10799990-01-OPPEGFP035</t>
  </si>
  <si>
    <t>1 SET 2HP SUBMERSIBLE PUMP,SINGLE PHASE,25 GPM CAPACITY COMPLETE W/ ACCS.CDF VM GAMAO</t>
  </si>
  <si>
    <t>10799990-01-OPPEGFP007</t>
  </si>
  <si>
    <t>1 unit submersible pump; _Brand: Showfou; _Model: SF-212N (PNP - re-issued to SPO2Roqueos L. Cimafranca)</t>
  </si>
  <si>
    <t>Office of the PNP</t>
  </si>
  <si>
    <t>10799990-01-OPPEGFP143</t>
  </si>
  <si>
    <t>PAR-2022-01-02-1set-Submersible Pump - 5HP, 25 gpm, 25gs50 single phase (Brgy. Katipunan)</t>
  </si>
  <si>
    <t>10799990-01-OPPEGFP152</t>
  </si>
  <si>
    <t>PAR-2022-01-02-1set-Submersible Pump - 5HP, 40 gpm, 40gs50 single phase (Brgy. Kiotoy)</t>
  </si>
  <si>
    <t>10799990-01-OPPEGFP153</t>
  </si>
  <si>
    <t>PAR-2022-01-02-1set-Submersible Pump - 5HP, 40 gpm, 40gs50 single phase (Brgy. San Roque)</t>
  </si>
  <si>
    <t>10799990-01-OPPEGFP141</t>
  </si>
  <si>
    <t>PAR-2022-02-04-1 SET-SUBMERSIBLE PUMP, 3HP,55gpm,18gs30, single phase (pump model:18GS30, hp 18gpm)brand:DAI pump)-BRGY. Buenavista</t>
  </si>
  <si>
    <t>10799990-01-OPPEGFP142</t>
  </si>
  <si>
    <t>PAR-2022-02-04-1 SET-SUBMERSIBLE PUMP, 5HP, three phase 230v,AC/DC 33gpm 200 TDH w/6.93KW solar panels brand DAI solar DAI pump &amp; DAI drive mode:35GS50 5hp 35gpm,BRGY. San NIcolas</t>
  </si>
  <si>
    <t>10799990-01-OPPEGFP140</t>
  </si>
  <si>
    <t>PAR-2022-02-04-1 SET-SUBMERSIBLE PUMP, 5HP,55gpm,55gs50,single phase (pump model:55GS50)-BRGY. KIOTOY</t>
  </si>
  <si>
    <t xml:space="preserve"> 10799990-04   20% Development Fund</t>
  </si>
  <si>
    <t>10799990-04-OPPE20DF002</t>
  </si>
  <si>
    <t>1 LOT SUBMERSIBLE PUMP 40GPM, COMPLETE W/ FITTINGS, ACCESSORIES, PULL-OUT &amp; REPLACEMENT_ARE # 2018-11-005_CEO(E. OLANDRIA)</t>
  </si>
  <si>
    <t>10799990-04-OPPE20DF001</t>
  </si>
  <si>
    <t>CA_1 SET SUBMERSIBLE PUMP, 5HP, 30-40 GPM CAPACITY WITH PULL-OUT AND INSTALLATION_BRGY. MABUNAO_PO # 2016-5-961_ARE # 2016-8-008</t>
  </si>
  <si>
    <t xml:space="preserve">Grand Total </t>
  </si>
  <si>
    <t>List of PPE with Acquisition Cost Below P50,000.00</t>
  </si>
  <si>
    <t>General Fund Proper</t>
  </si>
  <si>
    <t xml:space="preserve">10707010-02   </t>
  </si>
  <si>
    <t>10707010-02-GFGFF370</t>
  </si>
  <si>
    <t>ICS 2022-10-03-PO-2022-08-1568-1 Unit-executive chair</t>
  </si>
  <si>
    <t>Capital Outlay-8751</t>
  </si>
  <si>
    <t>Information and Communication Technology Equipment</t>
  </si>
  <si>
    <t>Motor Vehicles</t>
  </si>
  <si>
    <t xml:space="preserve">10706010-02   </t>
  </si>
  <si>
    <t>10706010-02-MVGFP099</t>
  </si>
  <si>
    <t>1 unit motorcycle brand new Skygo SG 110-F (Royale); specs.: _Engine# 1P52FMH91227288; _Chassis# LX8XCHF79000897; _Plate# SF-2960; _Color blue &amp; black      (CPDO)</t>
  </si>
  <si>
    <t>City Planning &amp; Development Office</t>
  </si>
  <si>
    <t>10706010-02-MVGFP038</t>
  </si>
  <si>
    <t>Kawasai HD 1x100 red Engine#67E-059819Chasis#KP-817884</t>
  </si>
  <si>
    <t>10706010-02-MVGFP037</t>
  </si>
  <si>
    <t>Kawasaki KEI 100 green Engine#G5E-BO3071</t>
  </si>
  <si>
    <t>City Treasurer's Office</t>
  </si>
  <si>
    <t>10706010-02-MVGFP045</t>
  </si>
  <si>
    <t>Suzuki 25 sportype yellow Plate No. SB7036</t>
  </si>
  <si>
    <t>10706010-02-MVGFP041</t>
  </si>
  <si>
    <t>Suzuki Smash SN-E433-203075Engine#494-103022Chasis#BE103022</t>
  </si>
  <si>
    <t xml:space="preserve">10705020-05   </t>
  </si>
  <si>
    <t>10705020-05-OEGFP251</t>
  </si>
  <si>
    <t>ICS NO 2022-11-09- 1 UNIT AIRCONDITIONER-1.5 WALL MOUNTED TOSOT INVERTER-SN: 3C90110000503-INDOOR SN:3C31310000768-OUTDOOR-RECEIVED BY:JOVEN M. SEPE</t>
  </si>
  <si>
    <t>Capital Outlay-1071</t>
  </si>
  <si>
    <t xml:space="preserve">10702990-01   </t>
  </si>
  <si>
    <t>10702990-01-009-GFP</t>
  </si>
  <si>
    <t>GFP-Land Improvement(Gawad Kalinga Area)-Brgy. Datu Abdul, Panabo City</t>
  </si>
  <si>
    <t xml:space="preserve">10799990-01   </t>
  </si>
  <si>
    <t>10799990-01-OPPEGFP030</t>
  </si>
  <si>
    <t>1 set Test Weight - 2 kg, Chrome Plated Set Weight with Certification - 1,000; 500; 200; 100 x 2 pcs., 50; 20; 10 x 2 pcs., 5; 2; 1g, SN: LAB9013826  (CTO)</t>
  </si>
  <si>
    <t>10799990-01-OPPEGFP011</t>
  </si>
  <si>
    <t>1 UNIT 16 HORSE POWER PUMPBOAT ENGINE_CAGRO_A. MAYATO)</t>
  </si>
  <si>
    <t>10799990-01-OPPEGFP036</t>
  </si>
  <si>
    <t>1 UNIT ELECTRONIC SCORE BOARD, MODEL: SB MM, GYRO (DISPLAY: TIME, SCORE AND PERIOD), 220 AC VOLTS_PO NO. 2014-04-944</t>
  </si>
  <si>
    <t>10799990-01-OPPEGFP040</t>
  </si>
  <si>
    <t>1 UNIT EXTENSION LADDER , FIBER GLASS, NON CONDUCTIVE SIDE RAILS 20 FT._A.R.E #2016-7-004_RECEIVED BY: GLENN OLANDRIA</t>
  </si>
  <si>
    <t>10799990-01-OPPEGFP038</t>
  </si>
  <si>
    <t>1 UNIT GRASS CUTTER, ROBIN SUBARU W/ COMPLETE ACCESSORIES, RECEIVED BY: FELIX JONASES SENAJON_CENRO_PO NO. 2015-05-1079</t>
  </si>
  <si>
    <t>City Environmental &amp; Natural Resources Office</t>
  </si>
  <si>
    <t>10799990-01-OPPEGFP044</t>
  </si>
  <si>
    <t>1 UNIT GRASS CUTTER_ARE#2017-11-31_RECEIVED BY:ALEJANDRO R. MAYATO</t>
  </si>
  <si>
    <t>10799990-01-OPPEGFP055</t>
  </si>
  <si>
    <t>1 unit Kawasaki Power Sprayer with Robin Engine, model: EY20 5.0 H.P. Japan Engine with complete accessories, SN: J234526 (CENRO)</t>
  </si>
  <si>
    <t>10799990-01-OPPEGFP059</t>
  </si>
  <si>
    <t>1 UNIT LA GERMANIA GAS RANGE FS531-30BR, SN 1103-1879-PNP-MARITIME, ISSUED TO SPO4 JOSE R. CURAZA</t>
  </si>
  <si>
    <t>PNP Maritime</t>
  </si>
  <si>
    <t>10799990-01-OPPEGFP084</t>
  </si>
  <si>
    <t>1 UNIT PRESSURE COOKER @49,950.00; BRAND/MODEL: ALL AMERICAN MODEL#: 941_RECEIVED BY: ALEJANDRO MAYATO (CAGRO)_ARE# 2017-08-21</t>
  </si>
  <si>
    <t>10799990-01-OPPEGFP043</t>
  </si>
  <si>
    <t>1 UNIT PRESSURE COOKER_MODEL:ALL AMERICAN MODEL 941_SPECS:41 1/2 QTS. HEAVY DUTY_ARE:2017-08-22_RECEIVED BY:ALEJANDRO R. MAYATO_CAGRO</t>
  </si>
  <si>
    <t>10799990-01-OPPEGFP004</t>
  </si>
  <si>
    <t>1 unit Punch Card Holder - Teakwood ( CMO )</t>
  </si>
  <si>
    <t>10799990-01-OPPEGFP057</t>
  </si>
  <si>
    <t>1 UNIT SIGNAGE FOR THE EMERGENCY CLINIC &amp; SAFE BIRTHING FACILITY</t>
  </si>
  <si>
    <t>10799990-01-OPPEGFP012</t>
  </si>
  <si>
    <t>1 UNIT WATER TANK INSTALLATION_GSO(ENGR. RABANOZ)_MR # 2015-12-009</t>
  </si>
  <si>
    <t>10799990-01-OPPEGFP079</t>
  </si>
  <si>
    <t>14 units push carts heavy duty @ Php 2,735.00 each- Received by: Engr. Felix Jonases P. Senajon</t>
  </si>
  <si>
    <t>10799990-01-OPPEGFP076</t>
  </si>
  <si>
    <t>1unit Water Pump(Nursery Operation)Pump Serial # RD07556JT09-9_Cagro</t>
  </si>
  <si>
    <t>10799990-01-OPPEGFP078</t>
  </si>
  <si>
    <t>2 FULL BODY MANNEQUIN-FEMALE, 1 FULL BODY MANNEQUIN-MALE, 6 FITTED MANNEQUIN W/ STAND-FEMALE, 2 FITTED MANNEQUIN W/ STAND-MALE-ISSUED TO J. CAFE</t>
  </si>
  <si>
    <t>City Administrative Office</t>
  </si>
  <si>
    <t>10799990-01-OPPEGFP037</t>
  </si>
  <si>
    <t>2 PCS. GRASS CUTTER, ROBIN SUBARU WITH COMPLETE ACCESSORIES, MADE IN GERMANY_CENRO_PO NO. 2015-05-1078</t>
  </si>
  <si>
    <t>10799990-01-OPPEGFP045</t>
  </si>
  <si>
    <t>2 UNITS AMPLIFIER W/ SOUNDS, 2 MICROPHONE W/ 10 METERS WIRE_CAGRO(A. MAYATO)_ARE # 2017-12-35</t>
  </si>
  <si>
    <t>10799990-01-OPPEGFP008</t>
  </si>
  <si>
    <t>2 UNITS BROTHER SEWING MACHINE @ P 7,500.00 EACH, SNs JOG146396, JOG146432 ISSUED TO FELICISIMA DALAGAN-CMO-COW</t>
  </si>
  <si>
    <t>10799990-01-OPPEGFP081</t>
  </si>
  <si>
    <t>2 UNITS GRASS CUTTER_4 STOKE, 0.63 L (630 CC), 1.3 HP, UNLEADED GASOLINE &amp; METAL BLADE_PO#2016-9-2159_ARE#2016-9-011</t>
  </si>
  <si>
    <t>10799990-01-OPPEGFP077</t>
  </si>
  <si>
    <t>3 PCS. CERVICAL COLLAR-CDCC-ISSUED TO A. QUILISADIO</t>
  </si>
  <si>
    <t>10799990-01-OPPEGFP034</t>
  </si>
  <si>
    <t>4 units jetmatic pump (CMO)</t>
  </si>
  <si>
    <t>10799990-01-OPPEGFP052</t>
  </si>
  <si>
    <t>Air Compressor (150 PSI), 1/2 HP</t>
  </si>
  <si>
    <t>10799990-01-OPPEGFP093</t>
  </si>
  <si>
    <t>ARE # 2019-12-13_1 UNIT FRIDGE LG/ H432HLHN_CAGRO-A. MAYATO</t>
  </si>
  <si>
    <t>10799990-01-OPPEGFP137</t>
  </si>
  <si>
    <t>ARE# FOR EDIT _PO#2019-12-3931_1 UNIT_GLASS DOOR REFRIGERATOR</t>
  </si>
  <si>
    <t>10799990-01-OPPEGFP020</t>
  </si>
  <si>
    <t>ARE#2018-09-009_1 unit Incubation fridge Panasonic/NR-468XSPH_Fressing/Chilledbottom chiller_Power supply: 230V,60Hz_Inverter SN#8XS505259_CAGRO Received by Alejandro Mayato</t>
  </si>
  <si>
    <t>10799990-01-OPPEGFP087</t>
  </si>
  <si>
    <t>ARE#2018-09-011_1 unit Movable Botanical Planr Juicer Separator, Automatic Pulp injection, None-spout, 0.37KW, 220 voltage, stainless steel_CAGRO Received by Alejandro Mayato</t>
  </si>
  <si>
    <t>10799990-01-OPPEGFP046</t>
  </si>
  <si>
    <t>ARE#2018-11-005_2 units sewing machines_Singer 3210, electric sewing machine, 32 stitches, automatic needle threader @14,700 each_CPDO-PESO Received by Ar Joseph Raymund Sumabal</t>
  </si>
  <si>
    <t>10799990-01-OPPEGFP071</t>
  </si>
  <si>
    <t>ARE#2018-12-15_1 unit Microhematocrit Centifuge_Brand: Digisystem Laboratory Instrument_Model:DSC-100MH-2_Power Supply: AC 220 60Hz,Speed: 12,000rpm, Mx Rcf: 14,648 x g_CAGRO Received by Alejandro May</t>
  </si>
  <si>
    <t>10799990-01-OPPEGFP131</t>
  </si>
  <si>
    <t>ARE#2019-05-013_PO#2019-4-789_ 2 UNITS COLLAPSIBLE TENTS_RECEIVED BY: JOSIE MARY G. RELAMPAGOS</t>
  </si>
  <si>
    <t>10799990-01-OPPEGFP022</t>
  </si>
  <si>
    <t>ARE#2019-05-014_PO#2019-4-793_2 UNITS COLLAPSIBLE TENTS_RECIEVED BY: JOSIE MARY G. RELAMPAGOS</t>
  </si>
  <si>
    <t>10799990-01-OPPEGFP096</t>
  </si>
  <si>
    <t>ARE#2019-08-08_upright freezer,10 cubic double door, glass door Receieved by: Alejandro R. Mayato</t>
  </si>
  <si>
    <t>10799990-01-OPPEGFP098</t>
  </si>
  <si>
    <t>ARE#2019-09-002_1 LOT_POWER SPRAY, BRAND/MODEL:KAWASAKI</t>
  </si>
  <si>
    <t>10799990-01-OPPEGFP092</t>
  </si>
  <si>
    <t>ARE#2019-09-11_1 UNIT_PORTABLE BOTANICAL, PLANT PULVERIZER_RECEIVED BY: ALEJANDRO R. MAYATO</t>
  </si>
  <si>
    <t>10799990-01-OPPEGFP094</t>
  </si>
  <si>
    <t>ARE#2019-09-46_1 UNIT SEWING MACHINE_SN:18091046666_RECEIVED BY: JOSIE MARY RELAMPAGOS</t>
  </si>
  <si>
    <t>10799990-01-OPPEGFP132</t>
  </si>
  <si>
    <t>ARE#2019-09-46_1 UNIT SEWING MACHINE_SN:18091046668_RECEIVED BY: JOSIE MARY RELAMPAGOS</t>
  </si>
  <si>
    <t>10799990-01-OPPEGFP147</t>
  </si>
  <si>
    <t>ARE#2019-09-46_1 UNIT SEWING MACHINE_SN:18091046691_RECEIVED BY: JOSIE MARY RELAMPAGOS</t>
  </si>
  <si>
    <t>10799990-01-OPPEGFP118</t>
  </si>
  <si>
    <t>ARE#2019-09-46_1 UNIT SEWING MACHINE_SN:18091046711_RECEIVED BY: JOSIE MARY RELAMPAGOS</t>
  </si>
  <si>
    <t>10799990-01-OPPEGFP105</t>
  </si>
  <si>
    <t>ARE#2019-09-46_1 UNIT SEWING MACHINE_SN:18091046714_RECEIVED BY: JOSIE MARY RELAMPAGOS</t>
  </si>
  <si>
    <t>10799990-01-OPPEGFP104</t>
  </si>
  <si>
    <t>ARE#2019-09-46_1 UNIT SEWING MACHINE_SN:18091046717_RECEIVED BY: JOSIE MARY RELAMPAGOS</t>
  </si>
  <si>
    <t>10799990-01-OPPEGFP148</t>
  </si>
  <si>
    <t>ARE#2019-09-46_1 UNIT SEWING MACHINE_SN:18091046722_RECEIVED BY: JOSIE MARY RELAMPAGOS</t>
  </si>
  <si>
    <t>10799990-01-OPPEGFP149</t>
  </si>
  <si>
    <t>ARE#2019-09-46_1 UNIT SEWING MACHINE_SN:18091046733_RECEIVED BY: JOSIE MARY RELAMPAGOS</t>
  </si>
  <si>
    <t>10799990-01-OPPEGFP103</t>
  </si>
  <si>
    <t>ARE#2019-11-003_1 UNIT_TELEVISION FLAT SCREEN BRAND/MODEL: SHARP SN:LC4045A5100M_RECEIVED BY: AI3 CLODITO V. CAÑADA-CMO-PDEA</t>
  </si>
  <si>
    <t>10799990-01-OPPEGFP099</t>
  </si>
  <si>
    <t>ARE#2019-11-12_1 UNIT_STAINLESS TABLE 2X2.5X8FT_RECEIVED BY: ALEJANDRO R. MAYATO</t>
  </si>
  <si>
    <t>10799990-01-OPPEGFP100</t>
  </si>
  <si>
    <t>ARE#2019-11-50_PO#2019-10-3232_ 1 UNIT_EDGER SEWING MACHINE_SN:ZHV1827515152_RECEIVED BY#JOSIE MARY G. RELAMPAGOS</t>
  </si>
  <si>
    <t>10799990-01-OPPEGFP102</t>
  </si>
  <si>
    <t>ARE#2019-12-14_1 UNIT_PORTABLE MIXER,MATERIALS cAST IRON/ALUMINUM FOOD GRADE_RECEIVED BY:ALEJANDRO R. MAYATO</t>
  </si>
  <si>
    <t>10799990-01-OPPEGFP107</t>
  </si>
  <si>
    <t>ARE#2020-02-01_1 UNIT_REFRIGERATOR BRAND/MODEL PANASONIC NR/BQ241VS SN: 990701993, RECIVED BY: JOSIE MARIE G. RELAMPAGOS</t>
  </si>
  <si>
    <t>10799990-01-OPPEGFP119</t>
  </si>
  <si>
    <t>ARE#2020-02-01_1 UNIT_REFRIGERATOR BRAND/MODEL PANASONIC/NR BQ241VS SN: 9N2712293, RECEIVED BY: JOSIE MARY G. RELAMPAGOS</t>
  </si>
  <si>
    <t>10799990-01-OPPEGFP133</t>
  </si>
  <si>
    <t>ARE#2020-02-01_1 UNIT_REFRIGERATOR BRAND/MODEL: PANASONIC NR-BQ241VS, SN:902106397</t>
  </si>
  <si>
    <t>10799990-01-OPPEGFP106</t>
  </si>
  <si>
    <t>ARE#2020-03-001_1 UNIT_SLICER SAW STEEL_RECIEVED BY: ENGR. BERNARDO C. RABANOZ, JR.</t>
  </si>
  <si>
    <t>10799990-01-OPPEGFP113</t>
  </si>
  <si>
    <t>ARE#2020-09-09_1 SET_US4 PANEL BOARD COLLAPSIBLE W/STAND_RECEIVED BY: DRA. ALGAE ROSE S. HECHANOVA</t>
  </si>
  <si>
    <t>10799990-01-OPPEGFP112</t>
  </si>
  <si>
    <t>ARE#2020-09-18_1 UNIT_REFRIGERATOR BRAND/MODEL:PANASONIC ECONAVI INVERTER 7.6VUFT_RECIEVED BY JO-ANNE R. CAPUYAN</t>
  </si>
  <si>
    <t>10799990-01-OPPEGFP120</t>
  </si>
  <si>
    <t>ARE#2020-10-12_1 unit_Portable engine driven 1 roll high pressured sprayer hose 8.5mm &amp; water container w/ installation_CAGRO Received by Samuel Anay</t>
  </si>
  <si>
    <t>10799990-01-OPPEGFP122</t>
  </si>
  <si>
    <t>ARE#2020-12-19_1 UNIT_AIR PURIFIER HEAP FILTER_RECEIVED BY: HON.JANREY G. GAVINA</t>
  </si>
  <si>
    <t>Sangguniang Panlungsod</t>
  </si>
  <si>
    <t>10799990-01-OPPEGFP123</t>
  </si>
  <si>
    <t>ARE#2021-02-03_1 UNIT_TELEVISION SMART TV (43" WALL MOUNTED):BRAND : SONY SMART KDL 43W667G_RECEIVED BY: JOSIE MARY RELAMPAGOS</t>
  </si>
  <si>
    <t>10799990-01-OPPEGFP047</t>
  </si>
  <si>
    <t>Bajode Arko Rondalla Instrument SC</t>
  </si>
  <si>
    <t>10799990-01-OPPEGFP025</t>
  </si>
  <si>
    <t>Bundy Rack</t>
  </si>
  <si>
    <t>10799990-01-OPPEGFP082</t>
  </si>
  <si>
    <t>CA_1 UNIT TRIPOD(BLACK), BROADCASTING FOR DSLR/CAMCORDER _CIO_RECEIVED BY: MICHAEL ANGELO A. RESUEÑO_ARE # 2017-05-006</t>
  </si>
  <si>
    <t>City Information Office</t>
  </si>
  <si>
    <t>10799990-01-OPPEGFP083</t>
  </si>
  <si>
    <t>CA_1 UNIT TV 32" FULL HD SMART TV BLACK _MODEL:UA 32J43B_S/N:00M73NAHA02834_RECEIVED BY:JANREY G. GAVINA_ARE:2017-06-12_PO#2017-6-1438</t>
  </si>
  <si>
    <t>10799990-01-OPPEGFP068</t>
  </si>
  <si>
    <t>CA_1 UNIT_AIR PURIFIER (NATIONAL/ F-04PHX1-W)_PO# 2017-12-3970</t>
  </si>
  <si>
    <t>10799990-01-OPPEGFP066</t>
  </si>
  <si>
    <t>CA_2 UNITS FLOAT BRUSH CUTTER/ GRASS CUTTER; BRAND- MAKITA, RBC 411_ARE# 2017-03-004_PO# 2017-3-400</t>
  </si>
  <si>
    <t>10799990-01-OPPEGFP041</t>
  </si>
  <si>
    <t>CA_2 UNITS POWER SUPPLY-ASTRON, REGULATED 30 AMPS 13.8V OUTPUT W/CAR BATTERY_PO# 2016-08-2058</t>
  </si>
  <si>
    <t>10799990-01-OPPEGFP085</t>
  </si>
  <si>
    <t>CA_2 units_Logo, 26" Acrylic w/ light (For SP Session Hall)_AIR #2018-05-005_Received by: Janrey G. Gavina</t>
  </si>
  <si>
    <t>10799990-01-OPPEGFP003</t>
  </si>
  <si>
    <t>Gas Range La Germania SN#02021360</t>
  </si>
  <si>
    <t>10799990-01-OPPEGFP053</t>
  </si>
  <si>
    <t>Grasscutter Kawasaki TD-40_CEO-01</t>
  </si>
  <si>
    <t>10799990-01-OPPEGFP026</t>
  </si>
  <si>
    <t>Grasscutter Kawasaki TD-40_CEO-02</t>
  </si>
  <si>
    <t>10799990-01-OPPEGFP010</t>
  </si>
  <si>
    <t>I UNIT I.D. LAMINATION MACHINE, W/ ID PRINTER, PUNCHER &amp; CUTTER_CHRMO</t>
  </si>
  <si>
    <t>City Human Resource Management Office</t>
  </si>
  <si>
    <t>10799990-01-OPPEGFP050</t>
  </si>
  <si>
    <t>Lighted PlasticSign</t>
  </si>
  <si>
    <t>City Accountant's Office</t>
  </si>
  <si>
    <t>10799990-01-OPPEGFP002</t>
  </si>
  <si>
    <t>Muslim Instruments complete set</t>
  </si>
  <si>
    <t>10799990-01-OPPEGFP124</t>
  </si>
  <si>
    <t>PAR#2021-07-06_2 UNITS_CHAINSAW BRAND/MODEL: STIHL MS 180_RECEIVED BY: PROSPER D.  DJA;OS, JR._CDDRMO</t>
  </si>
  <si>
    <t>10799990-01-OPPEGFP116</t>
  </si>
  <si>
    <t>PAR#2021-08-03_ CHEST FREEZER 10CU. FT DUAL FUNCTION SOLID TOP_FUJIDENZO SN: 1527511000001B1D1706_RECEIVED BY: CHAREINA JOY LACUIN</t>
  </si>
  <si>
    <t>10799990-01-OPPEGFP115</t>
  </si>
  <si>
    <t>PAR#2021-08-03_1 UNIT_REFREGERATOR BRAND/MODEL:LG GR-Y33ISLZ13, SN:102INQU0G972, RECEIVED BY. HIN JANREY G. GAVINA</t>
  </si>
  <si>
    <t>10799990-01-OPPEGFP001</t>
  </si>
  <si>
    <t>Pipe threader1/2"to2" ridgid-001</t>
  </si>
  <si>
    <t>10799990-01-OPPEGFP072</t>
  </si>
  <si>
    <t>Pipe threader1/2"to2" ridgid-002</t>
  </si>
  <si>
    <t>10799990-01-OPPEGFP024</t>
  </si>
  <si>
    <t>Pipe threader1/2"to2" ridgid-003</t>
  </si>
  <si>
    <t>10799990-01-OPPEGFP129</t>
  </si>
  <si>
    <t>PO#2018-12-4035_ARE#2018-12-007_1 UNIT CHEST FREEZER, FUJIDENZO/18ADF_CADO PESO_RECEIVED BY: CHERELLE ESPINOSA</t>
  </si>
  <si>
    <t>10799990-01-OPPEGFP097</t>
  </si>
  <si>
    <t>PO#2019-3-530_ARE#2019-03-005_1 unit television TCL Led-32 S6201, SN#1810ALY138507F00030_CMO Received by Judith Lee</t>
  </si>
  <si>
    <t>10799990-01-OPPEGFP125</t>
  </si>
  <si>
    <t>PO#2020-11-2860_1 UNIT_REFRIGERATOR, BRAND/MODEL: LG REFRIGERATOR GR - B22280 - BB</t>
  </si>
  <si>
    <t>10799990-01-OPPEGFP015</t>
  </si>
  <si>
    <t>PPA_1 PC. LED TV 40"_SAMSUNG V40KV6000 or VA40K6300_MR#2017-03-001_RECEIVED BY CHER M. BAUTISTA_CADO</t>
  </si>
  <si>
    <t>10799990-01-OPPEGFP019</t>
  </si>
  <si>
    <t>PPA_1 unit Panasonic/11.3 cubic Bottom freezer_SN#7X5901163_ARE #2018-03-006_Received by: Chareina Joy G. Lacuin</t>
  </si>
  <si>
    <t>10799990-01-OPPEGFP086</t>
  </si>
  <si>
    <t>PPA_1 unit Panasonic/11.3cubic Bottom freezer_SN #7XS400324_ARE #2018-03-004_Received by: Chareina Joy G. Lacuin</t>
  </si>
  <si>
    <t>10799990-01-OPPEGFP110</t>
  </si>
  <si>
    <t>PPA_ARE#2020-07-08_1 UNIT_WEIGHING SCALE BRAND/MODEL:ASUKI/E120-02S SERIAL NO.E1205645-02S3542_RECEIVED BY:ELVIE MARIE SOLLORANO</t>
  </si>
  <si>
    <t>10799990-01-OPPEGFP135</t>
  </si>
  <si>
    <t>PPA_PO#2019-12-4199_ARE#2020-02-03_1 UNIT_CHEST FREEZER BRAND/MODEL:HAIER/BD206 7CU. HARD TOP SN: B300G-DE6AO-OWTJ7-J0112_RECEIVED BY: JOSIE MARY G. RELAMPAGOS</t>
  </si>
  <si>
    <t>10799990-01-OPPEGFP073</t>
  </si>
  <si>
    <t>STIHL Grass Cutter Model FS 85 SN268332833 (CENRO)</t>
  </si>
  <si>
    <t>10799990-01-OPPEGFP051</t>
  </si>
  <si>
    <t>Television Colored Sony 21" SN#1104286</t>
  </si>
  <si>
    <t>10799990-01-OPPEGFP005</t>
  </si>
  <si>
    <t>Three (3) units STIHL Grass Cutter - Model FS 85 with complete accessories Made in Gemany at 15,750 each_ CENRO- Engr. Zoilo Gudin Jr. SN: 362711323, 362711358, 362711359</t>
  </si>
  <si>
    <t>10799990-01-OPPEGFP063</t>
  </si>
  <si>
    <t>WEIGHING SCALE - WEIGHING SCALE, DIGITAL (5PCS)- CAGRO</t>
  </si>
  <si>
    <t>10799990-03   Market Operation</t>
  </si>
  <si>
    <t>10799990-03-OPPEM011</t>
  </si>
  <si>
    <t>NUTEX WEIGHING SCALE (For reclass)</t>
  </si>
  <si>
    <t>10799990-03-OPPEM012</t>
  </si>
  <si>
    <t>SCALDING VAT-47" DIAMETER (For reclass)</t>
  </si>
  <si>
    <t>10799990-07   Special Trust Fund (SEF)</t>
  </si>
  <si>
    <t xml:space="preserve">10704990-08   </t>
  </si>
  <si>
    <t>10704990-08-001OSGFP</t>
  </si>
  <si>
    <t>Construction  Collapsable Shed</t>
  </si>
  <si>
    <t>10704990-08-009OSGFP</t>
  </si>
  <si>
    <t>Construction Animal Shed 9 Board Compartment</t>
  </si>
  <si>
    <t>10704990-08-008OSGFP</t>
  </si>
  <si>
    <t>Construction GoatHouse and Farmer Quail</t>
  </si>
  <si>
    <t>10704990-08-006OSGFP</t>
  </si>
  <si>
    <t>Construction MP Bunkhouse</t>
  </si>
  <si>
    <t>10704990-08-020OSGFP</t>
  </si>
  <si>
    <t>Construction of Breeding Center_D.A.</t>
  </si>
  <si>
    <t>10704990-08-014OSGFP</t>
  </si>
  <si>
    <t>Construction Police Station Crossing</t>
  </si>
  <si>
    <t>10704990-08-002OSGFP</t>
  </si>
  <si>
    <t>Construction Ramp for Disabled Person</t>
  </si>
  <si>
    <t>10704990-08-005OSGFP</t>
  </si>
  <si>
    <t>Construction Reservoir</t>
  </si>
  <si>
    <t>10704990-08-028OSGFP</t>
  </si>
  <si>
    <t>Extension of CSU Office- New Pandan (cost indicated - amount balance)</t>
  </si>
  <si>
    <t>10704990-08-011OSGFP</t>
  </si>
  <si>
    <t>Installation City Fishery Law Enforcer</t>
  </si>
  <si>
    <t>10704990-08-010OSGFP</t>
  </si>
  <si>
    <t>Installation Jump-Off Station</t>
  </si>
  <si>
    <t>10704990-08-013OSGFP</t>
  </si>
  <si>
    <t>Municipal Bodega and Garage</t>
  </si>
  <si>
    <t>10704990-08-015OSGFP</t>
  </si>
  <si>
    <t>Permanent Stage</t>
  </si>
  <si>
    <t>10704990-08-016OSGFP</t>
  </si>
  <si>
    <t>Renovation CCR Bodega</t>
  </si>
  <si>
    <t>City Civil Registrar Office</t>
  </si>
  <si>
    <t>Technical and Scientific Equipment</t>
  </si>
  <si>
    <t xml:space="preserve">10705140-05   </t>
  </si>
  <si>
    <t>10705140-05-TSEGFP189</t>
  </si>
  <si>
    <t>PAR-2022-11-06-1 unit-Sony HDR-CX405 Handycam with Exmor CMOS Sensor</t>
  </si>
  <si>
    <t>List of Unsubmitted Cancelled Checks</t>
  </si>
  <si>
    <t>All Funds</t>
  </si>
  <si>
    <t>For the Current Year 2022</t>
  </si>
  <si>
    <t>CHECK NO.</t>
  </si>
  <si>
    <t>DATE ISSUED</t>
  </si>
  <si>
    <t>DATE CANCELLED</t>
  </si>
  <si>
    <t>PAYEE</t>
  </si>
  <si>
    <t>AMOUNT</t>
  </si>
  <si>
    <t>REMARKS</t>
  </si>
  <si>
    <t>DATE TRANSMITTED TO CAO</t>
  </si>
  <si>
    <t>MONTH</t>
  </si>
  <si>
    <t>GF Proper</t>
  </si>
  <si>
    <t>JINYI IMPORT &amp; EXPORT TRADING CO,.INC.</t>
  </si>
  <si>
    <t>IN WORDS NOT PROPERLY ALIGNED C/O TITO</t>
  </si>
  <si>
    <t>FEBRUARY 2022</t>
  </si>
  <si>
    <t>LBP-FAO LGU PANABO CITY PAYROLL</t>
  </si>
  <si>
    <t>CORRECTION OF AMOUNT</t>
  </si>
  <si>
    <t>DBP-ACCT NO. 00-0-50172-916-8</t>
  </si>
  <si>
    <t>CORRECTION OF PAYEE</t>
  </si>
  <si>
    <t>PRIMEWATER INFRASTRUCTURE CORP.</t>
  </si>
  <si>
    <t>NO COMPUTATION OF VAT</t>
  </si>
  <si>
    <t>PANABO LMQ AUTO PARTS &amp; SUPPLY</t>
  </si>
  <si>
    <t>ERRONEOUS DOCUMENTS</t>
  </si>
  <si>
    <t>LISA JANE C. MIEDES</t>
  </si>
  <si>
    <t>WRONG FUNDS</t>
  </si>
  <si>
    <t>LANDBANK OF THE PHILLIPPINES</t>
  </si>
  <si>
    <t>ERRONEOUS PRINT OF CHECK</t>
  </si>
  <si>
    <t>AUTOFILL PETRON SERVICE CENTER</t>
  </si>
  <si>
    <t>OCTOBER 2022</t>
  </si>
  <si>
    <t>BEVERLYN M. PANGGAPALAN</t>
  </si>
  <si>
    <t>DIFFERS FROM ADVICE</t>
  </si>
  <si>
    <t>GSIS</t>
  </si>
  <si>
    <t>PAID ALREADY</t>
  </si>
  <si>
    <t>NOVEMBER 2022</t>
  </si>
  <si>
    <t>PAG-IBIG FUND</t>
  </si>
  <si>
    <t>CHANGE AMOUNT</t>
  </si>
  <si>
    <t>COR-SAR CONSU,ER GOODS TRADING</t>
  </si>
  <si>
    <t>MARICEL S. COG-ONG</t>
  </si>
  <si>
    <t>CORRECTION PAYEE</t>
  </si>
  <si>
    <t>XYZ GENERAL MERCHANDISE</t>
  </si>
  <si>
    <t>CHANGE OF FUND</t>
  </si>
  <si>
    <t>COR-SAT CONSUMER GOODS TRADING</t>
  </si>
  <si>
    <t>INNOVE COMMUNICATIONS, INC.</t>
  </si>
  <si>
    <t>INCORRECT PAYEE</t>
  </si>
  <si>
    <t>ANNA LIZA A. SIONILLO</t>
  </si>
  <si>
    <t>JOANA FAITH DUMAGIL</t>
  </si>
  <si>
    <t>JOEL S. TARZONA</t>
  </si>
  <si>
    <t>20% DF</t>
  </si>
  <si>
    <t>DLPC</t>
  </si>
  <si>
    <t>Cemetery</t>
  </si>
  <si>
    <t>IN WORDS NOT PROPERLY ALIGNED</t>
  </si>
  <si>
    <t>SOCIAL SECURITY SYSTEM</t>
  </si>
  <si>
    <t>DECEMBER 2022</t>
  </si>
  <si>
    <t>Market</t>
  </si>
  <si>
    <t>ERRONEOUS PRINT OF PAYEE (SMALL LETTER)</t>
  </si>
  <si>
    <t>ANALIZA A. SIONILLO</t>
  </si>
  <si>
    <t>Terminal</t>
  </si>
  <si>
    <t>ONE NETWORK BANK</t>
  </si>
  <si>
    <t>TF Proper</t>
  </si>
  <si>
    <t>NORTHERN CONSTRUCTION AND ALLIED SERVICES</t>
  </si>
  <si>
    <t>ERRONEOUS ISSUANCE OF CHECK</t>
  </si>
  <si>
    <t xml:space="preserve">Schedule of long outstanding claims recorded under Accounts Payable </t>
  </si>
  <si>
    <t>Name of Creditors</t>
  </si>
  <si>
    <t>Total</t>
  </si>
  <si>
    <t>Year Incurred</t>
  </si>
  <si>
    <t>WAYSLINE TRADERS(20101010-01-IDS-109-077-015-000)</t>
  </si>
  <si>
    <t>PCGEMPC(20101010-01-IDS_for edit)</t>
  </si>
  <si>
    <t>Meals and snacks for various meetings</t>
  </si>
  <si>
    <t>Various</t>
  </si>
  <si>
    <t>MMJS PHARMACY AND MEDICAL SUPPLIES(20101010-01-IDS-912-031-312-000)</t>
  </si>
  <si>
    <t>JAM JUS LANTERN MAKER(20101010-01-IDS-215-236-557-000)</t>
  </si>
  <si>
    <t>AUTOFILL PETRON SERVICE STATION(20101010-01-IDS-102-305-237-00000)</t>
  </si>
  <si>
    <t>Fuel, oil and lubricants</t>
  </si>
  <si>
    <t>CMO-Job Order(20101010-04-007)</t>
  </si>
  <si>
    <t>DUBC MULTIPURPOSE COOPERATIVE-(20101010-01-IDS-006-842-176-000)</t>
  </si>
  <si>
    <t>XYZ ENTERPRISES(20101010-01-IDS-943-785-638-00000)</t>
  </si>
  <si>
    <t>Meals and snacks and various supplies</t>
  </si>
  <si>
    <t>LEDGTECH (Philippines)INC(20101010-01-IDS-739-635-534-000)</t>
  </si>
  <si>
    <t>NEN Builders and Development Services Corp.(20101010-05-IDS-009-542-944-000)</t>
  </si>
  <si>
    <t>XYZ GENERAL MERCHANDISE(20101010-01-IDS-943-785-638-00001)</t>
  </si>
  <si>
    <t>Various supplies</t>
  </si>
  <si>
    <t>COLUMBIA COMPUTER CENTER (DAVAO) INCORPORATED(20101010-01-IDS-005-168-902-000)</t>
  </si>
  <si>
    <t>NORTHERN CONST. &amp; ALLIED SERVICES(20101010-05-IDS-422-039-072-000)</t>
  </si>
  <si>
    <t>NAJAH CONSTRUCTION SUPPLY(20101010-05-IDS-140-160-607-000)</t>
  </si>
  <si>
    <t>2017-Excess of overbooked AP
2019-Set-up liability for stale check</t>
  </si>
  <si>
    <t>ABNN ENTERPRISES(20101010-01-IDS-314-489-282-000)</t>
  </si>
  <si>
    <t>Unpaid balance of JEV-2017-12-024289 (Office supplies for CADO)</t>
  </si>
  <si>
    <t>APO PRODUCTION UNIT, INC(20101010-01-IDS-000-396-233-003)</t>
  </si>
  <si>
    <t>NATH'S GENERAL MERCHANDISE(20101010-01-IDS-933-071-323-000)</t>
  </si>
  <si>
    <t>2019-Set-up liability for stale check
2020-Other Supplies for CMO</t>
  </si>
  <si>
    <t>Southern Motors of Davao INc(20101010-01-IDS-000-077-660-000)</t>
  </si>
  <si>
    <t>PRINCE EDUCATIONAL SUPPLY-(20101010-01-IDS-178-130-560-006)</t>
  </si>
  <si>
    <t>SOUTHCREST HOTEL VENTURES, INC(20101010-01-IDS-007-899-726-001)</t>
  </si>
  <si>
    <t>CENRO-Job Order(20101010-04-012)</t>
  </si>
  <si>
    <t>Provincial Economic Enterprises Development Office(20101010-04-026)</t>
  </si>
  <si>
    <t>Various Honorarium(20101010-04-004)</t>
  </si>
  <si>
    <t>DLPC(20101010-01-IDS-000-553-043-00005)</t>
  </si>
  <si>
    <t>2019-Set-up liability for stale check 
2020-Set-up liability for stale check P5,666.31
2020-Unpaid bill_CEO P7,383.10</t>
  </si>
  <si>
    <t>COMFAC CORPORATION-(20101010-01-IDS-000-052-623-007)</t>
  </si>
  <si>
    <t>COR-SAT CONSUMER GOODS TRADING(20101010-01-IDS-314-980-682-000)</t>
  </si>
  <si>
    <t>LARICEL'S JEWELRY(20101010-01-IDS-188-915-551-00000)</t>
  </si>
  <si>
    <t>GOD'S WILL ENTERPRISES(20101010-01-IDS-948-9902-148-00000)</t>
  </si>
  <si>
    <t>CEO-Job Order(20101010-04-016)</t>
  </si>
  <si>
    <t>MADAVE FURIT TRESS GROWER(20101010-01-IDS-716-917-112-000)</t>
  </si>
  <si>
    <t>CME MEDBIO MARKETING, INC..(20101010-01-IDS-477-224-966-000)</t>
  </si>
  <si>
    <t>Unreconciled balance since 2019</t>
  </si>
  <si>
    <t>MARSMAN DRYSDALE MEDICAL PORODUCT INC.-(20101010-01-IDS-204-595-997-000)</t>
  </si>
  <si>
    <t>EMMANUEL'S CATERING SERVICES(20101010-01-IDS-768-775-112-000)</t>
  </si>
  <si>
    <t>Editha B. Sinsano Meat &amp; Livestock Supplier(20101010-01-IDS-920-032-234-00000)</t>
  </si>
  <si>
    <t>J.E LORCA ENGINEERING &amp; SURVEYING SERVICES(20101010-04-IDS-166-185-680-000)</t>
  </si>
  <si>
    <t>Obligation incurred in 2020, Recognized as payable only in 2022</t>
  </si>
  <si>
    <t>RFTC Employees Cooperative(20101010-01-IDS-001-135-787-00000)</t>
  </si>
  <si>
    <t>CHO-Job Order(20101010-04-025)</t>
  </si>
  <si>
    <t>MARKET-Job Order(20101010-04-020)</t>
  </si>
  <si>
    <t>Berovan Marketing Inc.(20101010-02-APGFP003)</t>
  </si>
  <si>
    <t>Other Supplies for CSWDO</t>
  </si>
  <si>
    <t>ZION ACCUPRINT PUBLISHING, INC.(20101010-01-IDS-259-099-383-000)</t>
  </si>
  <si>
    <t>RJ3 TRAVELLER'S DINE(20101010-01-IDS-933-037-292-000)</t>
  </si>
  <si>
    <t>Meals and snacks</t>
  </si>
  <si>
    <t>KMMPC(20101010-02-AP20DF005)</t>
  </si>
  <si>
    <t>Pakyaw labor contract for project</t>
  </si>
  <si>
    <t>THE PINNACLE HOTEL AND SUITES(20101010-01-IDS-294-494-876-000)</t>
  </si>
  <si>
    <t>VIBO MOTOR PARTS AND REPAIR SERVICES(20101010-01-IDS-163-371-774-000)</t>
  </si>
  <si>
    <t>PROGRESS HOME AND OFFICE FURNISHINGS(20101010-01-IDS-002-884-643-012)</t>
  </si>
  <si>
    <t>Selargon Realty and Development Corporation(20101010-01-IDS-006-843-128-00002)</t>
  </si>
  <si>
    <t>Davao Medical Equipment and Supplies Trading(20101010-01-IDS-713-280-630-00000)</t>
  </si>
  <si>
    <t>EAH MEDICINE AND MEDICAL SUPPLIES MARKETING(20101010-01-IDS-254-115-843-000)</t>
  </si>
  <si>
    <t>SPO-Job Order(20101010-04-024)</t>
  </si>
  <si>
    <t>WIZMASTER COMPUTER SALES &amp; SERVICES CORPORATION(20101010-02-APGFP0028)</t>
  </si>
  <si>
    <t>Purchase of CCTV (Motorpool)</t>
  </si>
  <si>
    <t>Provincial Gov't of Davao del Norte-Davao del Norte Hospital Carmen Zone(20101010-07-006)</t>
  </si>
  <si>
    <t>PHILINSURE(20101010-02-APGFP019)</t>
  </si>
  <si>
    <t>RAIN-PRO LIGHTS AND SOUND RENTAL(20101010-01-IDS-461-492-309-000)</t>
  </si>
  <si>
    <t>TOWERS FIREWORKS(20101010-01-IDS-199-587-233-003)</t>
  </si>
  <si>
    <t>ALLBRYCAR CONSTRUCTION AND ENGINEERING SERVICES(20101010-01-IDS-940-392-725-00000)</t>
  </si>
  <si>
    <t>Construction materials</t>
  </si>
  <si>
    <t>LIMITED FINANCIAL ASSISTANCE(20101010-03-APGFP001)</t>
  </si>
  <si>
    <t>Medical Assistance to Indigent Patients</t>
  </si>
  <si>
    <t>CHMI HOTELS AND RESIDENCES, INC..(20101010-01-IDS-006-872-294-00001)</t>
  </si>
  <si>
    <t>DAVILLE PHARMACEUTICAL COMPANY(20101010-01-IDS-005-874-471-000)</t>
  </si>
  <si>
    <t>NCCC SUPERMARKET(20101010-01-IDS-006-171-689-004)</t>
  </si>
  <si>
    <t>LTO(20101010-04-IDS-GOVT001)</t>
  </si>
  <si>
    <t>Registration Fee &amp; Computer Fee for motor vehicles</t>
  </si>
  <si>
    <t>EGCP Apparel and Prints(20101010-01-IDS-409-610-124-000)</t>
  </si>
  <si>
    <t>Tagum Constrak Corp.(20101010-01-IDS-009-855-571-000)</t>
  </si>
  <si>
    <t>CAGRO-Job Order(20101010-04-017)</t>
  </si>
  <si>
    <t>IDENTIKARD SYSTEMS CORPORATION.(20101010-01-IDS-003-673-887-000)</t>
  </si>
  <si>
    <t>SPMC(20101010-04-002)</t>
  </si>
  <si>
    <t>Beginning Balance in e-NGAS Version 2; SL not found under Accounts Payable in e-NGAS Version 1</t>
  </si>
  <si>
    <t>LGM GLOBAL INDUSTRIES, INC(20101010-02-APGFP013)</t>
  </si>
  <si>
    <t>AQUAHOLIC WATER STATION(20101010-01-IDS-264-034-042-000)</t>
  </si>
  <si>
    <t>Set-up liability for stale check</t>
  </si>
  <si>
    <t>GREEN STEWARD AGRI-ENTERPRISES(20101010-01-IDS-933-036-227-000)</t>
  </si>
  <si>
    <t>PHOTODYNAMIC PHOTOCOPIER(20101010-01-IDS-943-799-208-000)</t>
  </si>
  <si>
    <t>KAC GENERAL MERCHANDISE AND CATERING SERVICES(20101010-01-IDS-927-846-026-00000)</t>
  </si>
  <si>
    <t>ARMENTANO CONSTRUCTION SUPPLY AND SERVICES(20101010-01-IDS-156-079-463-000)</t>
  </si>
  <si>
    <t>Centromere General Merchandise &amp; Printing Services(20101010-01-IDS-183-890-465-000)</t>
  </si>
  <si>
    <t>T-VILLAGE ENTERPRISES AND PRINTING SERVICES.(20101010-01-IDS-938-221-022-000)</t>
  </si>
  <si>
    <t>Sta. Teresa Funeral Homes(20101010-02-APGFP024)</t>
  </si>
  <si>
    <t>Set-up liability for stale check #1301860 dated 3/8/18</t>
  </si>
  <si>
    <t>GRAND REGAL HOTEL DAVAO-1(20101010-01-IDS-004-272-277-002)</t>
  </si>
  <si>
    <t>COPYLANDIA OFFICE SYSTEMS CORPORATION(20101010-01-IDS-002-332-000-013)</t>
  </si>
  <si>
    <t>Repair of office equipment</t>
  </si>
  <si>
    <t>CSWDO-Job Order(20101010-04-015)</t>
  </si>
  <si>
    <t>LARICEL'S JEWELRY(20101010-02-APGFP012)</t>
  </si>
  <si>
    <t>Tokens for PRAISE Awarding Ceremony</t>
  </si>
  <si>
    <t>K-9 VETERINARY SERVICES.(20101010-01-IDS-149-607-387-000)</t>
  </si>
  <si>
    <t>PHILIPPINE DUPLICATOR'S INC.(20101010-01-IDS-000-412-893-00009)</t>
  </si>
  <si>
    <t>Repair of photcopier</t>
  </si>
  <si>
    <t>HAMAKITA HEAVY EQUIP. PARTS SUPPLY(20101010-01-IDS-128-824-012-000)</t>
  </si>
  <si>
    <t>SPES-Special Pogram for Employment of Students (SPES)  (20101010-04-029)</t>
  </si>
  <si>
    <t>POWER-UP TIRES, BATTERY &amp; AUTO SUPPLY CORP.(20101010-01-IDS-403-070-057-000)</t>
  </si>
  <si>
    <t>CADO-Job Order(20101010-04-006)</t>
  </si>
  <si>
    <t>MYSTIC ART &amp; INK PRODUCTS-(20101010-01-IDS-942-288-994-00000)</t>
  </si>
  <si>
    <t>DAVAO INSULAR HOTEL CO. INC.(20101010-01-IDS-000-074-830-00000)</t>
  </si>
  <si>
    <t>HOME FOR THE AGED(20101010-04-001)</t>
  </si>
  <si>
    <t>CARMAEL &amp; SONS RESORT, INC(20101010-01-IDS-477-997-746-00000)</t>
  </si>
  <si>
    <t>SG CONSUMER GOODS TRADING(20101010-01-IDS-397-639-012-00000)</t>
  </si>
  <si>
    <t>MIRCOPY GENERAL MERCHANDISE(20101010-01-IDS-920-031-186-000)</t>
  </si>
  <si>
    <t>2017&amp;2018-Excess of overbooked AP
2019&amp;2020-Office supplies_CMO</t>
  </si>
  <si>
    <t>SND Foods International Inc (Mc Donald's PAnabo)(20101010-04-030)</t>
  </si>
  <si>
    <t>Red Cedar Hospitality Group, INc(20101010-01-IDS-Red ceddar)</t>
  </si>
  <si>
    <t>Luntiang Paraiso Regional Rehabilitation Center(20101010-07-004)</t>
  </si>
  <si>
    <t>EJLD TOURISM CONSULTANCY SERVICES(20101010-01-IDS-918-119-293-000)</t>
  </si>
  <si>
    <t>Denora Printing Press(20101010-01-IDS-458-298-543-000)</t>
  </si>
  <si>
    <t>IDG ENTERPRISES(20101010-01-IDS-114-434-651-000)</t>
  </si>
  <si>
    <t>Pagestar Printing System(20101010-01-IDS-122-837-334-000)</t>
  </si>
  <si>
    <t>Z3 PHARMA(20101010-01-IDS-283-099-374-000)</t>
  </si>
  <si>
    <t>ECPAC SYSTEM CORPORATION(20101010-01-IDS-005-988-455-00000)</t>
  </si>
  <si>
    <t>CAO-Job Order(20101010-04-033)</t>
  </si>
  <si>
    <t>CLO-Job Order(20101010-04-010)</t>
  </si>
  <si>
    <t>QUALI- MEDS MARKETING(20101010-01-IDS-195-408-305-000)</t>
  </si>
  <si>
    <t>M5 HEALHTY WATER-(20101010-01-IDS-283-248-156-000)</t>
  </si>
  <si>
    <t>Adjustment for erroneous set-up JEV-2017-12-023149 dated 31/12/17</t>
  </si>
  <si>
    <t>HONEYLENE'S CATERING SERVICES(20101010-02-APGFP011)</t>
  </si>
  <si>
    <t>CTO-Job Order(20101010-04-014)</t>
  </si>
  <si>
    <t>JINYI Import &amp; Export Trading Co., Inc.(20101010-01-IDS-425-437-074-00000)</t>
  </si>
  <si>
    <t>University of Mindanao(20101010-02-APGFP026)</t>
  </si>
  <si>
    <t>Tuition Fee</t>
  </si>
  <si>
    <t>Easycar Auto Repair Shop(20101010-02-APGFP007)</t>
  </si>
  <si>
    <t>Repair for motor vehicle</t>
  </si>
  <si>
    <t>Southern Philippine Mecial Center Regional Water Testing Laboratory XI(20101010-04-035)</t>
  </si>
  <si>
    <t>A&amp;M INJECTION PUMP CALIBRATION SERVICES-(20101010-01-IDS-134-199-570-000)</t>
  </si>
  <si>
    <t>ARBP ENTERPRISE(20101010-01-IDS-918-842-098-000)</t>
  </si>
  <si>
    <t>GSIS(20101010-04-003)</t>
  </si>
  <si>
    <t>DAVAO ECONOMY AUTO PARTS CENTER INC(20101010-01-IDS-004-748-346-000)</t>
  </si>
  <si>
    <t>PLDT INC(20101010-04-IDS-000-488-793-000)</t>
  </si>
  <si>
    <t>2017-Unpaid telephone bill
2019-Set up liability for stale check</t>
  </si>
  <si>
    <t>MFP Printing Station(20101010-01-IDS-204-266-426-00000)</t>
  </si>
  <si>
    <t>CASSO-Job Order(20101010-04-013)</t>
  </si>
  <si>
    <t>INNOVE COMMUNICATIONS INCORPORATED(20101010-01-IDS-000-360-916-000)</t>
  </si>
  <si>
    <t>Book reconciling item: Adjustment for JEV-2017-06-010136 re: payment for internet expenses for March 2017, credited back by the bank as per Bank Statement dated 7/6/17, CK#1238460 dated 5/11/17</t>
  </si>
  <si>
    <t>NZ PRINTS(20101010-01-IDS-273-039-480-000)</t>
  </si>
  <si>
    <t>SUNSTAR DAVAO PUBLISHING, INC.(20101010-01-IDS-001-693-727-000)</t>
  </si>
  <si>
    <t>CPDO-Job Order(20101010-04-008)</t>
  </si>
  <si>
    <t>DON- AIRE AIRCONDITIONING SOLUTIONS(20101010-01-IDS-303-635-496-000)</t>
  </si>
  <si>
    <t>REPAIR &amp; MAINTENANCE - OFFICE EQUIPMENT (KOPPEL 3 TONER FLOOR MOUNTED)_CMO</t>
  </si>
  <si>
    <t>RRV INK MARKETING(20101010-01-IDS-451-818-937-000)</t>
  </si>
  <si>
    <t>WELD POWERTOOLS INDUSTRIAL MACHINERY CORP.--(20101010-01-IDS-491-971-539-002)</t>
  </si>
  <si>
    <t>TJ GARMENTS(20101010-01-IDS-116-939-040-002)</t>
  </si>
  <si>
    <t>OYET ARTS AND CRAFTS MANUFACTURING(20101010-01-IDS-920-528-717-00000)</t>
  </si>
  <si>
    <t>AE ENTERPRISES AND AUTO SUPPLY.(20101010-01-IDS-930-439-893-000)</t>
  </si>
  <si>
    <t>Rivera's Petron Servicenter(20101010-02-APGFP021)</t>
  </si>
  <si>
    <t>ST. TIMOTHY CONSTRUCTION CORP./AMETHYST HORIZON BUILDERS AND GENERAL CONTRACTOR AND DEVELOPMENT CORP. (JV)(20101010-05-IDS-779-353-196-000)</t>
  </si>
  <si>
    <t>Datu Abdul Dadia Water and Sanitation Cooperative(20101010-01-IDS-Edit)</t>
  </si>
  <si>
    <t>CGSO-Job Order(20101010-04-019)</t>
  </si>
  <si>
    <t>GAKKEN (PHILIPPINES) INCORPORATED(20101010-01-IDS-004-475-204-002)</t>
  </si>
  <si>
    <t>VITACEL International Media Promotion and Allied Services(20101010-01-IDS-487-573-320-00001)</t>
  </si>
  <si>
    <t>P.T CERNA CORPORATION-(20101010-01-IDS-000-136-129-00005)</t>
  </si>
  <si>
    <t>JONAS ENTERPRISE(20101010-01-IDS-931-477-168-000)</t>
  </si>
  <si>
    <t>REPAIR &amp; MAINT. OF MOTOR VEHICLE(SPAREPARTS)_SKC 782</t>
  </si>
  <si>
    <t>WHEEL'S PARTS &amp; INDUSTRIAL SUPPLY.2(20101010-01-IDS-744-240-599-000)</t>
  </si>
  <si>
    <t>KPI ELEVATOR INC(20101010-01-IDS-004-714-864-000)</t>
  </si>
  <si>
    <t>Prizes for various events(20101010-07-001)</t>
  </si>
  <si>
    <t>PHILCOPY CORPORATION-(20101010-01-IDS-000-169-318-039)</t>
  </si>
  <si>
    <t>TEL-TON PHARMA DISTRIBUTOR INC(20101010-01-IDS-477-977-525-000)</t>
  </si>
  <si>
    <t>MLT PHARMACY(20101010-01-IDS-306-436-031-00001)</t>
  </si>
  <si>
    <t>CCRO-Jobr Order(20101010-04-018)</t>
  </si>
  <si>
    <t>REJOHN ENTERPRISES-(20101010-01-IDS-272-234-276-000)</t>
  </si>
  <si>
    <t>Office Supplies_CENRO</t>
  </si>
  <si>
    <t>Davao Industrial Compressed Gases Corporation(20101010-01-IDS-006-843-110-000)</t>
  </si>
  <si>
    <t>Medical supplies_CHO</t>
  </si>
  <si>
    <t>CARMEN NATIONAL HIGH SCHOOL(20101010-04-028)</t>
  </si>
  <si>
    <t>FZI CONST. PARTS &amp; SUPPLY(20101010-01-IDS-937-875-701-000)</t>
  </si>
  <si>
    <t>RIVERA'S GAS SERVICE CENTER-(20101010-01-IDS-131-530-004-002)</t>
  </si>
  <si>
    <t>Big 8 Corporate Hotel(20101010-01-IDS-008-147-891-001)</t>
  </si>
  <si>
    <t>CJ WATERTIME-(20101010-01-IDS-932-916-646-000)</t>
  </si>
  <si>
    <t>HARDCORE SEPTICE TANK CLEANING &amp; PLUMBING SERVICES-(20101010-01-IDS-406-619-925-000)</t>
  </si>
  <si>
    <t>MILMAN ENTERPRISES(20101010-01-IDS-178-595-796-000)</t>
  </si>
  <si>
    <t>Repairs</t>
  </si>
  <si>
    <t>GREEN BEAN CAFE(20101010-01IDS-182-838-270-003)</t>
  </si>
  <si>
    <t>Vitorillo's KItchen(20101010-01-IDS-260-230-507-000)</t>
  </si>
  <si>
    <t>CHRMO-Job Order(20101010-04-009)</t>
  </si>
  <si>
    <t>DABAW PRINT DISTRIBUTORS INCORPORATED(20101010-01-IDS-272-020-860-000)</t>
  </si>
  <si>
    <t>DEPARTMENT OF BUDGET AND MANAGEMENT(20101010-02-APGFP005)</t>
  </si>
  <si>
    <t>Office Supplies</t>
  </si>
  <si>
    <t>VALIANT TECHNICAL INSTITUTE AND ASSESSMENT CENTER INC(20101010-01-IDS-409-676-315-000)</t>
  </si>
  <si>
    <t>MARENNIX WATER REFILLING STATION(20101010-01-IDS-605-537-190-00000)</t>
  </si>
  <si>
    <t>VOLGAOIL COPR.(20101010-02-APGFP028)</t>
  </si>
  <si>
    <t>GASOLINE INVENTORY FOR SHOP CONSUMABLE_CMO-LIBRARY</t>
  </si>
  <si>
    <t>A.F. ROBISO CONSTRUCTION &amp; SUPPLY(20101010-02-AP20DF004)</t>
  </si>
  <si>
    <t>Unpaid pakyaw labor</t>
  </si>
  <si>
    <t>MERAKI CONSUMER GOODS TRADING(20101010-01-IDS-721-995-223-00000)</t>
  </si>
  <si>
    <t>NORTHLINK TECHNOLOGICAL INSTITUTE, INC.(20101010-02-APGFP017)</t>
  </si>
  <si>
    <t>HEKERO CT AUTO SUPPLY(20101010-01-IDS-420-297-941-000)</t>
  </si>
  <si>
    <t>Spareparts for SAA-8868</t>
  </si>
  <si>
    <t>EL CAMINO DELA SEDA VENTURES(20101010-02-APSH002)</t>
  </si>
  <si>
    <t>SAN PEDRO COLLEGE INC.(20101010-02-APGFP023)</t>
  </si>
  <si>
    <t>NORTH DAVAO COLLEGES(20101010-02-APGFP016)</t>
  </si>
  <si>
    <t>DMMA College of Souhthern Philippines(20101010-02-APGFP006)</t>
  </si>
  <si>
    <t>ATENEO DE DAVAO UNIVERSITY(20101010-02-APGFP002)</t>
  </si>
  <si>
    <t>Ford Davao City(20101010-02-APGFP008)</t>
  </si>
  <si>
    <t>Adjustment for stale check #1236765 dated 3/9/17</t>
  </si>
  <si>
    <t>KAR ASIA INC(20101010-01-IDS-000-075-589-000)</t>
  </si>
  <si>
    <t>Landbank of the Phillipines(20101010-04-027)</t>
  </si>
  <si>
    <t>Val's Parts Supply(20101010-02-APGFP027)</t>
  </si>
  <si>
    <t>REPAIR &amp; MAINT. OF SJK-623-GSO</t>
  </si>
  <si>
    <t>CEMETERY-Job Order(20101010-04-021)</t>
  </si>
  <si>
    <t>RAHMAN AGGREGATES &amp; CONCRETE PRODUCTS(20101010-02-AP20DF002)</t>
  </si>
  <si>
    <t>HARDWARE MATERIALS FOR THE CONST. OF MULTI PURPOSE HALL FOR OUT OF SCHOOL YOUTH, BRGY. CAGANGOHAN_CEO</t>
  </si>
  <si>
    <t>SENIOR CITIZEN BURIAL ASSISTANCE(20101010-03-APGFP004)</t>
  </si>
  <si>
    <t xml:space="preserve">P(10,000) ending balance per Ver.1
P5,000 beg. balance per Ver.2 </t>
  </si>
  <si>
    <t>Philippine Postal Corporation(20101010-03-APGFP003)</t>
  </si>
  <si>
    <t>Reversal for stale check</t>
  </si>
  <si>
    <t>Philippine Bristish Assurance Company Incor.(20101010-04-034)</t>
  </si>
  <si>
    <t>GATCH COCO LUMBER(20101010-02-AP20DF007)</t>
  </si>
  <si>
    <t>Adjustment for stale check CK#923671 dated 10/05/2015</t>
  </si>
  <si>
    <t>CBO-Job Order(20101010-04-011)</t>
  </si>
  <si>
    <t>Research Institute for Tropical Medicine(20101010-04-032)</t>
  </si>
  <si>
    <t>TAGUM DOCTORS COLLEGE(20101010-02-APGFP025)</t>
  </si>
  <si>
    <t>DCTech Micro Services, Inc(20101010-01-IDS-003-375-571-00020)</t>
  </si>
  <si>
    <t>Adorico B. Dumali, et.al(20101010-02-AP20DF003)</t>
  </si>
  <si>
    <t>Unpaid portion, Salary of CMO Job Order</t>
  </si>
  <si>
    <t>Goodmorning International Corp.(20101010-02-APGFP009)</t>
  </si>
  <si>
    <t>REP. &amp; MAINT. OF LGU DAEWOO DUMPTRUCK_SAA-1991 &amp; SAA-3019_GSO</t>
  </si>
  <si>
    <t>PRIMEWATER INFRASTRUCTURE CORP(20101010-01-IDS-247-220-837-064)</t>
  </si>
  <si>
    <t>PCSB PCWORKS(20101010-02-APGFP018)</t>
  </si>
  <si>
    <t>OTHER SUPPLIES &amp; MATERIALS (TARPAULIN - TRAFFIC SIGNS)_CMO_</t>
  </si>
  <si>
    <t>MARBEX ENTERPRISES(20101010-02-APGFP015)</t>
  </si>
  <si>
    <t>OTHER SUPPLIES (FIRE EXTINGUISHER) FOR SAFETY PURPOSES_CAGRO</t>
  </si>
  <si>
    <t>RAINFOREST ANVIS WATER REFILLING STATION(20101010-02-APGFP020)</t>
  </si>
  <si>
    <t>125 GALS. WATER CONSUMPTION, PNP-MARITIME P4,875; 
Erroneous posting of payment for M5 Healthy Water JEV-2018-11-023079 P2,464; Balance P2,411</t>
  </si>
  <si>
    <t>JM INK ART &amp; SIGN(20101010-02-APSH001)</t>
  </si>
  <si>
    <t>Rubber stamp (to be use for Slaughter house Operation)</t>
  </si>
  <si>
    <t>PANABO SATELLITE CABLE TELEVISION INCORPORATED(20101010-01-IDS-415-426-389-000)</t>
  </si>
  <si>
    <t>MOUNT OLIVE TRADING(20101010-01-IDS-159-370-350)</t>
  </si>
  <si>
    <t>Liability set up for stale check
CK#1252253 dated 09/06/17</t>
  </si>
  <si>
    <t>Regional Rehabilitation Center for Youth-Region XI(20101010-07-005)</t>
  </si>
  <si>
    <t>Manila Bulletin Publishing Corporation- Davao City(20101010-02-APGFP014)</t>
  </si>
  <si>
    <t>SUBSCRIPTION EXPENSE-NEWSPAPER (1ST QRT)_CLO</t>
  </si>
  <si>
    <t>Fernando S. Hernando(20101010-02-AP20DF001)</t>
  </si>
  <si>
    <t>Release of Funds for Third Tranche of Backyard Native Chicken_Cagro</t>
  </si>
  <si>
    <t>ANDRES ANDREA PRINTING SERVICES(20101010-02-APGFP001)</t>
  </si>
  <si>
    <t>TARPAULIN USED FOR THE LEADERSHIP &amp; GAD SEMINAR-CMO-COW</t>
  </si>
  <si>
    <t>DIGOS CONSTRAK CORPORATION(20101010-02-AP20DF006)</t>
  </si>
  <si>
    <t>Kauswagan Water and Sanitation Cooperative(20101010-04-023)</t>
  </si>
  <si>
    <t>DATU ABDUL DADIA WATER  AND SANITATION COOPERATIVE(20101010-02-APGFP004)</t>
  </si>
  <si>
    <t>WATER EXPENSES_CAGRO</t>
  </si>
  <si>
    <t>MICAH CONSTRUCTION AND SUPPLY.(20101010-05-IDS-900-757-339-000)</t>
  </si>
  <si>
    <t>NOCELLAS, MELCHOR PECHECO  (20101010-02-AP20DF008)</t>
  </si>
  <si>
    <t>Beg. Balance per SL in e-NGAS Version 2; SL not found under Accounts Payable in e-NGAS Version 1</t>
  </si>
  <si>
    <t>ABCM ENTERPRISES(20101010-01-IDS-940-392-725-001)</t>
  </si>
  <si>
    <t>Unpaid portion of JEV-2017-12-022700, TARPAULINE FOR REPAIR &amp; MAINT. OF BUILDINGS(INST. OF RAILINGS-CITY HALL)</t>
  </si>
  <si>
    <t>Rivera's Petron Station(20101010-02-APGFP022)</t>
  </si>
  <si>
    <t xml:space="preserve">Unreconciled balance of P20 </t>
  </si>
  <si>
    <t>GOCOTANO, NOEL ESCOTO  (20101010-02-AP20DF009)</t>
  </si>
  <si>
    <t>ABAD, ADONIS N/A  (20101010-03-AP20DFFR003)</t>
  </si>
  <si>
    <t>Negative beg. Balance per SL in Ver.2, SL not found under Accounts Payable in e-NGAS Version 1</t>
  </si>
  <si>
    <t>Philcom(20101010-03-APGFPFR001)</t>
  </si>
  <si>
    <t>Debit of payment for 2017 payable, no prior JEV for the recognition of liability</t>
  </si>
  <si>
    <t>TWINA BUILDERS &amp; SUPPLY(20101010-03-AP20DFR001)</t>
  </si>
  <si>
    <t>Overpayment of JEV-2013-12-025055</t>
  </si>
  <si>
    <t>CAJARA, EUFROCINA T(20101010-03-APSHFR001)</t>
  </si>
  <si>
    <t>Debit entry for payment but no prior JEV for the recognition of liability</t>
  </si>
  <si>
    <t>HANNAH ENTERPRISES(20101010-03-AP20DFR002)</t>
  </si>
  <si>
    <t>PROVINCE OF DAVAO DEL NORTE(20101010-04-IDS-GOVT002)</t>
  </si>
  <si>
    <t>Misposting of JEV-2021-12-021267; recorded in Other Payables Account P50,000</t>
  </si>
  <si>
    <t>Limited FInancial Assistance(20101010-06-001)</t>
  </si>
  <si>
    <t>There is another SL for Limited Financial Assistance (20101010-03-APGFP001) with credit balance of P238,876.62</t>
  </si>
  <si>
    <t>1016 COMPUTER SERVICES(20101010-03-APGFP005)</t>
  </si>
  <si>
    <t>Misposting of debit entry for the payment of Limited Financial Assistance (JEV-2021-12-02127)</t>
  </si>
  <si>
    <t>Gotesco Marketing, Inc.(20101010-02-APGFP010)</t>
  </si>
  <si>
    <t>1 unit submersible pump for the drilling of water system, Brgy Mabunao, CK#1217631 dtd 12/19/17</t>
  </si>
  <si>
    <t>Schedule of Infrastructure Projects with Noted Deficiencies</t>
  </si>
  <si>
    <t>Local Government Support Fund (LGSF) Support to Barangay Development Program (SBDP) and Assistance to Cities (AC)</t>
  </si>
  <si>
    <t>No.</t>
  </si>
  <si>
    <t>Project</t>
  </si>
  <si>
    <t>Source of Fund</t>
  </si>
  <si>
    <t>Approved Budget for the Contract</t>
  </si>
  <si>
    <t>Contract Cost (PhP)</t>
  </si>
  <si>
    <t>Noted Deficiencies</t>
  </si>
  <si>
    <t>Upgrading of Local Access Road, Purok 3-7, Brgy. Katipunan, Panabo City</t>
  </si>
  <si>
    <t>LGSF-SBDP</t>
  </si>
  <si>
    <t>Detailed engineering: no attached proposed construction schedule (and estimated Cash Flow for projects with schedule over six months), minimum requirements for a Construction Safety and Health Program for the project being considered</t>
  </si>
  <si>
    <t>Prepared POW does not include PERT/CPM of the project activities indicated therein</t>
  </si>
  <si>
    <t>Certification by the Head of BAC Secretariat of posting of ITB from 12/27/21-01/02/22 in 3 conspicuous places is dated 12/27/21 (dated before the completion of posting)</t>
  </si>
  <si>
    <t>Certification by the Website Administrator that the ITB was posted from 12/27/21-01/02/22 is dated 12/27/21 (dated before the completion of posting)</t>
  </si>
  <si>
    <t>Posting of Invitation to Bid in the agency website and conspicuous places was only for 6 CD: 12/27/21-01/02/22 (not 7 CD)</t>
  </si>
  <si>
    <t>In the Bid Form, the committed performance security is 10% of the contract price while the actual performance security provided (surety bond), the amount is equal to 30% of the contract price</t>
  </si>
  <si>
    <t>Abstract of Bids as Read: not signed by the BAC Vice-Chairman despite being present in the opening of bids based on the attached Minutes</t>
  </si>
  <si>
    <t>Abstract of Bids as Read: signed by Head of BAC-TWG despite not being present in the opening of bids based on the attached Minutes</t>
  </si>
  <si>
    <t>Abstract of Bids as Calculated/Detailed Evaluation of Bids - done after 9 days (01/26/2022) from the deadline for receipt of proposals (01/17/2022) - should be within 7 CD</t>
  </si>
  <si>
    <t>Post-Qualification Procedure: the attached invitation to COA, private group and NGO did not specify which project to be evaluated</t>
  </si>
  <si>
    <t>Delayed Post-Qualification Procedure: determination of LCB was on 01/26/22 (based on Abstract of Bids as Calculated) but post-qua was on 03/04/22 (no notice of extension for Post-Qua period by the HoPE) - done more than 12 CD</t>
  </si>
  <si>
    <t>No printout on posting of NOA to PhilGEPS</t>
  </si>
  <si>
    <t>Notice of Award dated 03/07/22 was posted on agency website and conspicuous place on 03/18/22 (beyond the required 3 CD from issuance)</t>
  </si>
  <si>
    <t>Notice to Proceed: dated earlier (03/22/22) than the perfection of the contract (03/28/22)</t>
  </si>
  <si>
    <t>No attached POW (to be provided by the winning contractor within 25 days from the delivery of NOA) as specified in the Special Conditions of the Contract</t>
  </si>
  <si>
    <t>Upgrading of Local Access Road, Brgy. Tibungol, Panabo City</t>
  </si>
  <si>
    <t>Posting of Invitation to Bid in the agency website and conspicuous places was only for 6 CD: 03/02/22-03/08/22 (not 7 CD)</t>
  </si>
  <si>
    <t>Certification by the Head of BAC Secretariat of posting of ITB from 03/02/22-03/08/22 in 3 conspicuous places is dated 03/02/22 (dated before the completion of posting)</t>
  </si>
  <si>
    <t>Certification by the Website Administrator that the ITB was posted from 03/02/22-03/08/22 is dated 03/02/22 (dated before the completion of posting)</t>
  </si>
  <si>
    <t>In the Bid Form, information pertaining to the commitment of Performance Security is not completely filled out (No percentage of the contract price is provided)</t>
  </si>
  <si>
    <t>Abstract of Bids as Calculated/Detailed Evaluation of Bids - done after 14 days (04/06/2022) from the deadline for receipt of proposals (03/23/2022) - should be within 7 CD</t>
  </si>
  <si>
    <t>Post-Qualification Procedure: determination of LCB was on 04/06/22 (based on Abstract of Bids as Calculated) but post-qua was on 05/23/22 (no notice of extension for Post-Qua period by the HoPE) - done more than 12 CD</t>
  </si>
  <si>
    <t>Notice of Post-Qualification with LCB sent to the winning bidder was dated 05/24/2022 despite the BAC Resolution Declaring the LCRB not yet approved by the HoPE (approved on (05/25/2022)</t>
  </si>
  <si>
    <t>Notice of Award dated 05/25/222 was posted on agency website and conspicuous place on 05/31/22 (beyond the 3 CD from issuance)</t>
  </si>
  <si>
    <t>Contract preparation and signing was not done within 10 days from receipt of the winning bidder of the NOA - done after 14 days</t>
  </si>
  <si>
    <t>The number of days indicated in the equipment utilization schedule is not similar with the target date of completion specified in the ABC and POW: equipment utilization schedule is for 4 months while the ABC/POW is 90 days</t>
  </si>
  <si>
    <t>Notice to Proceed: dated earlier (05/31/22) than the perfection of the contract (06/14/22)</t>
  </si>
  <si>
    <t>Expansion of Water System from Level II to Level III, Brgy. New Malitbog, Panabo City</t>
  </si>
  <si>
    <t>Invitation to 3 observers for pre-procurement conference: not made at least 5 CD before the activity; only made within 4 days</t>
  </si>
  <si>
    <t>Certification by the Head of BAC Secretariat of posting of ITB from 08/24/22-08/30/22 in 3 conspicuous places is dated 08/24/22 (dated before the completion of posting)</t>
  </si>
  <si>
    <t>Certification by the Website Administrator that the ITB was posted from 08/24/22-08/30/22 is dated 08/24/22 (dated before the completion of posting)</t>
  </si>
  <si>
    <t>Posting of Invitation to Bid in the agency website and conspicuous places was only for 6 CD: 08/24/22-08/30/22 (not 7 CD)</t>
  </si>
  <si>
    <t>NFCC submitted by the contractor: the computation for total net worth and net working capital is erroneous and not similar with the amounts in the attached audited financial statements</t>
  </si>
  <si>
    <t>Delayed Post-Qualification Procedure: determination of LCB was on 09/19/22 (based on Abstract of Bids as Calculated) but post-qua was on 10/03/22 (no notice of extension for Post-Qua period by the HoPE) - done more than 12 CD - 14 days after</t>
  </si>
  <si>
    <t>Notice of Post-Qualification with LCB sent to the winning bidder was dated 10/04/2022 despite the BAC Resolution Declaring the LCRB not yet approved by the HoPE (approved on 10/05/2022)</t>
  </si>
  <si>
    <t>Notice of Award dated 10/05/222 was posted on agency website and conspicuous place on 10/12/22 (beyond the required 3 CD from issuance) - posted after 7 days</t>
  </si>
  <si>
    <t>In the Bid Form, the committed performance security is 5% of the contract price which is not among the listed securities, while the actual performance security provided (surety bond), the amount is equal to 30% of the contract price</t>
  </si>
  <si>
    <t>Notice to Proceed: dated earlier (10/18/22) than the perfection of the contract (10/19/22)</t>
  </si>
  <si>
    <t>Certification by the Head of BAC Secretariat of posting of ITB from 08/01/22-08/07/22 in 3 conspicuous places is dated 08/01/22 (dated before the completion of posting)</t>
  </si>
  <si>
    <t>Certification by the Website Administrator that the ITB was posted from 08/01/22-08/07/22 is dated 08/01/22 (dated before the completion of posting)</t>
  </si>
  <si>
    <t>Posting of Invitation to Bid in the agency website and conspicuous places was only for 6 CD: 08/01/22-08/07/22 (not 7 CD)</t>
  </si>
  <si>
    <t>Abstract of Bids as Calculated/Detailed Evaluation of Bids - done after 14 days (09/05/2022) from the deadline for receipt of proposals (09/05/2022) - should be within 7 CD</t>
  </si>
  <si>
    <t>Notice of Post-Qualification with LCB sent to the winning bidder was dated 09/06/2022 despite the BAC Resolution Declaring the LCRB not yet approved by the HoPE (approved on 09/08/2022)</t>
  </si>
  <si>
    <t>Notice of Award dated 09/08/22 was posted on agency website and conspicuous place on 09/13/22 (beyond the required 3 CD from issuance)</t>
  </si>
  <si>
    <t>The following are not attached as additional docs to be submitted by the winning bidder:
   Construction schedule and S-curve
   Manpower Schedule
   Construction Methods
   Equipment Utilization schedule
   PERT/CPM</t>
  </si>
  <si>
    <t>Upgrading of Local Access Road, Brgy. Sta. Cruz, Panabo City</t>
  </si>
  <si>
    <t>Certification by the Head of BAC Secretariat of posting of ITB from 08/03/22-08/09/22 in 3 conspicuous places is dated 08/03/22 (dated before the completion of posting)</t>
  </si>
  <si>
    <t>Certification by the Website Administrator that the ITB was posted from 08/03/22-08/09/22 is dated 08/03/22 (dated before the completion of posting)</t>
  </si>
  <si>
    <t>Posting of Invitation to Bid in the agency website and conspicuous places was only for 6 CD: 08/03/22-08/09/22 (not 7 CD)</t>
  </si>
  <si>
    <t>NFCC: the amounts presented as total liabilities and net worth is not similar with the amounts in the attached audited financial statements</t>
  </si>
  <si>
    <t>Notice of Post-Qualification with LCB sent to the winning bidder was dated 09/01/2022 despite the BAC Resolution Declaring the LCRB not yet approved by the HoPE (approved on 09/02/2022)</t>
  </si>
  <si>
    <t>Notice of Award dated 09/02/222 was posted on agency website and conspicuous place on 09/08/22 (beyond the required 3 CD from issuance)</t>
  </si>
  <si>
    <t>The number of days indicated in the manpower scheduleis not similar with the target date of completion specified in the ABC and POW: manpower schedule is for 90CD while the ABC/POW is 100 days</t>
  </si>
  <si>
    <t>Upgrading of Local Access Road, Purok Batong to Kalabasa, Brgy. Nanyo, Panabo City</t>
  </si>
  <si>
    <t>ABC is dated earlier than the POW</t>
  </si>
  <si>
    <t>Abstract of Bids as Calculated/Detailed Evaluation of Bids - done after 23 days (02/09/2022) from the deadline for receipt of proposals (01/17/2022) - should be within 7 CD</t>
  </si>
  <si>
    <t>Detailed Financial Evaluation (attachment to the Bid Evaluation Report) is not signed by the Head - BAC Secretariat</t>
  </si>
  <si>
    <t>No notification to the losing bidders of BAC's recommendation on the award of contract</t>
  </si>
  <si>
    <t>Notice of Award dated 02/04/222 was posted on agency website and conspicuous place on 03/01/22 (beyond the required 3 CD from issuance)</t>
  </si>
  <si>
    <t>Notice to Proceed: dated earlier (03/02/22) than the perfection of the contract (03/08/22)</t>
  </si>
  <si>
    <t>Upgrading of Local Access Road, Brgy. Kiotoy, Panabo City</t>
  </si>
  <si>
    <t>Certification by the Head of BAC Secretariat of posting of ITB from 08/05/22-08/11/22 in 3 conspicuous places is dated 08/05/22 (dated before the completion of posting)</t>
  </si>
  <si>
    <t>Certification by the Website Administrator that the ITB was posted from 08/05/22-08/11/22 is dated 08/05/22 (dated before the completion of posting)</t>
  </si>
  <si>
    <t>Posting of Invitation to Bid in the agency website and conspicuous places was only for 6 CD: 08/05/22-08/11/22 (not 7 CD)</t>
  </si>
  <si>
    <t>Abstract of Bids as Calculated/Detailed Evaluation of Bids - done after 10 days (09/05/2022) from the deadline for receipt of proposals (08/26/2022) - should be within 7 CD</t>
  </si>
  <si>
    <t>Notice of Award dated 09/08/22 was posted on agency website and conspicuous place on 09/16/22 (beyond the required 3 CD from issuance)</t>
  </si>
  <si>
    <t>No attached construction schedule and S-curve</t>
  </si>
  <si>
    <t>Improvement/ Expansion of Water System, Brgy. Tagpore, Panabo City</t>
  </si>
  <si>
    <t>Certification by the Head of BAC Secretariat of posting of ITB from 07/08/22-07/14/22 in 3 conspicuous places is dated 07/08/22 (dated before the completion of posting)</t>
  </si>
  <si>
    <t>Certification by the Website Administrator that the ITB was posted from 07/08/22-07/14/22 is dated 07/08/22 (dated before the completion of posting)</t>
  </si>
  <si>
    <t>Posting of Invitation to Bid in the agency website and conspicuous places was only for 6 CD: 07/08/22-07/14/22 (not 7 CD)</t>
  </si>
  <si>
    <t>Delayed Post-Qualification Procedure: determination of LCB was on 08/03/22 (based on Abstract of Bids as Calculated) but post-qua was on 08/26/22 (no notice of extension for Post-Qua period by the HoPE) - done more than 12 CD - (after 23 CD)</t>
  </si>
  <si>
    <t>Upgrading of Local Access Road, in Sitio Tagactac, San Nicolas to Mabunao (Concreting of Roads)</t>
  </si>
  <si>
    <t>Certification by the Head of BAC Secretariat of posting of ITB from 06/01/22-06/07/22 in 3 conspicuous places is dated 06/01/22 (dated before the completion of posting)</t>
  </si>
  <si>
    <t>Certification by the Website Administrator that the ITB was posted from 06/01/22-06/07/22 is dated 06/01/22 (dated before the completion of posting)</t>
  </si>
  <si>
    <t>Posting of Invitation to Bid in the agency website and conspicuous places was only for 6 CD: 06/01/22-06/07/22 (not 7 CD)</t>
  </si>
  <si>
    <t>Abstract of Bids as Calculated/Detailed Evaluation of Bids - done after 12 days (07/04/2022) from the deadline for receipt of proposals (06/22/2022) - should be within 7 CD</t>
  </si>
  <si>
    <t>In the Abstract of Bids as Calculated: there are no information provided regarding the bid validity, form of bid security and remarks (if sufficient/complying) for the winning bidder</t>
  </si>
  <si>
    <t>Post-Qualification Procedure: determination of LCB was on 07/04/22 (based on Abstract of Bids as Calculated) but post-qua was on 08/10/22 (no notice of extension for Post-Qua period by the HoPE) - done more than 12 CD</t>
  </si>
  <si>
    <t>Contract preparation and signing was not done within 10 days from receipt of the winning bidder of the NOA - done after 13 days</t>
  </si>
  <si>
    <t>Upgrading of Local Access Road, Purok 4 and 6, Brgy. Cacao, Panabo City</t>
  </si>
  <si>
    <t>Pre-procurement conference: invitation to observers did not include this specific project (not included in the list of projects)</t>
  </si>
  <si>
    <t>Pre-procurement conference: the project was not mentioned in the Minutes (it was for other various projects)</t>
  </si>
  <si>
    <t>NFCC: the amount presented as total assets is not similar with the amounts in the attached audited financial statements</t>
  </si>
  <si>
    <t>In the Bid Evaluation Report, there are statements implying that there are multiple bidders (i.e. "bidders/both bidders passed or complied the requirement") yet there is only one bidder being evaluated</t>
  </si>
  <si>
    <t>Notice of Post-Qualification with LCB sent to the winning bidder was dated 03/03/2022 despite the BAC Resolution Declaring the LCRB not yet approved by the HoPE (approved on 03/04/2022)</t>
  </si>
  <si>
    <t>Delayed Post-Qualification Procedure: determination of LCB was on 01/26/22 (based on Abstract of Bids as Calculated) but post-qua was on 03/02/22 (no notice of extension for Post-Qua period by the HoPE) - done more than 12 CD (after 35 CD)</t>
  </si>
  <si>
    <t>Notice of Award dated 03/04/22 was posted on agency website and conspicuous place on 03/14/22 (beyond the required 3 CD from issuance)</t>
  </si>
  <si>
    <t>Contract preparation and signing was not done within 10 days from receipt of the winning bidder of the NOA - done after 24 days</t>
  </si>
  <si>
    <t>No attached Construction Methods (as other supporting documents of the contract)</t>
  </si>
  <si>
    <t>Notice to Proceed: dated earlier (03/09/22) than the perfection of the contract (04/07/22)</t>
  </si>
  <si>
    <t>NTP is posted in the PhilGEPS, agency website and conspicuous places 29 days after issuance (should be 15 CD)</t>
  </si>
  <si>
    <t>Certification by the Head of BAC Secretariat of posting of ITB from 06/27/22-07/03/22 in 3 conspicuous places is dated 06/27/22 (dated before the completion of posting)</t>
  </si>
  <si>
    <t>Certification by the Website Administrator that the ITB was posted from 06/27/22-07/03/22 is dated 06/27/22 (dated before the completion of posting)</t>
  </si>
  <si>
    <t>Posting of Invitation to Bid in the agency website and conspicuous places was only for 6 CD: 06/27/22-07/03/22 (not 7 CD)</t>
  </si>
  <si>
    <t>Abstract of Bids as Calculated/Detailed Evaluation of Bids - done after 16 days (08/03/2022) from the deadline for receipt of proposals (07/18/2022) - should be within 7 CD</t>
  </si>
  <si>
    <t>Delayed Post-Qualification Procedure: determination of LCB was on 08/03/22 (based on Abstract of Bids as Calculated) but post-qua was on 08/26/22 (no notice of extension for Post-Qua period by the HoPE) - done more than 12 CD - 23 CD actual</t>
  </si>
  <si>
    <t>The following documents are not attached: construction schedule and S-curve, manpower schedule, construction methods, equipment utilization schedule, PERT/CPM</t>
  </si>
  <si>
    <t>Upgrading of Local Access Road, Purok B, Brgy. Kauswagan, Panabo City</t>
  </si>
  <si>
    <t>Certification by the Head of BAC Secretariat of posting of ITB from 06/22/22-06/28/22 in 3 conspicuous places is dated 06/22/22 (dated before the completion of posting)</t>
  </si>
  <si>
    <t>Certification by the Website Administrator that the ITB was posted from 06/22/22-06/28/22 is dated 06/22/22 (dated before the completion of posting)</t>
  </si>
  <si>
    <t>Posting of Invitation to Bid in the agency website and conspicuous places was only for 6 CD: 06/22/22-06/28/22 (not 7 CD)</t>
  </si>
  <si>
    <t>Bid Securing Declaration and Omnibus Sworn Statement: the date of notarization is earlier (07/11/22) than the date indicated as signed by the Bidder</t>
  </si>
  <si>
    <t>Abstract of Bids as Calculated/Detailed Evaluation of Bids - done after 14 days (07/27/2022) from the deadline for receipt of proposals (07/13/2022) - should be within 7 CD</t>
  </si>
  <si>
    <t>Post-Qualification Procedure: the attached invitation to COA, private group and NGO did not specify which project to be evaluated and the procurement activity mentioned/checked in the list is emergency meeting</t>
  </si>
  <si>
    <t xml:space="preserve">Post-Qualification Procedure: determination of LCB was on 07/27/22 (based on Abstract of Bids as Calculated) but post-qua was on 09/02/22 (no notice of extension for Post-Qua period by the HoPE) - done more than 12 CD - 37 CD </t>
  </si>
  <si>
    <t>The NTP date in posted in the PhilGEPS is earlier (09/02/22) than the actual NTP (09/16/22)</t>
  </si>
  <si>
    <t>NTP is posted in the agency website and conspicuous places 18 days after issuance (should be 15 CD)</t>
  </si>
  <si>
    <t>Certification by the Head of BAC Secretariat of posting of ITB from 06/03/22-06/09/22 in 3 conspicuous places is dated 06/03/22 (dated before the completion of posting)</t>
  </si>
  <si>
    <t>Certification by the Website Administrator that the ITB was posted from 06/03/22-06/09/22 is dated 06/03/22 (dated before the completion of posting)</t>
  </si>
  <si>
    <t>Posting of Invitation to Bid in the agency website and conspicuous places was only for 6 CD: 06/03/22-06/09/22 (not 7 CD)</t>
  </si>
  <si>
    <t>Invitation to 3 observers for the opening of bids is done 4 CD before the procurement activity (should be at least 5 CD)</t>
  </si>
  <si>
    <t>Abstract of Bids as Calculated/Detailed Evaluation of Bids - done after 21 days (07/15/2022) from the deadline for receipt of proposals (06/24/2022) - should be within 7 CD</t>
  </si>
  <si>
    <t>Delayed Post-Qualification Procedure: determination of LCB was on 07/15/22 (based on Abstract of Bids as Calculated) but post-qua was on 08/31/22 (no notice of extension for Post-Qua period by the HoPE) - done more than 12 CD - 47 CD in actual</t>
  </si>
  <si>
    <t>Notice of Award dated 09/02/22 was posted on agency website and conspicuous place on 09/08/22 (beyond the required 3 CD from issuance)</t>
  </si>
  <si>
    <t>Upgrading of Local Access Road, Brgy. Consolacion, Panabo City</t>
  </si>
  <si>
    <t>Certification by the Head of BAC Secretariat of posting of ITB from 09/30/21-10/07/21 in 3 conspicuous places is dated 09/30/21 (dated before the completion of posting)</t>
  </si>
  <si>
    <t>Certification by the Website Administrator that the ITB was posted from 09/30/21-10/07/21 is dated 09/30/21 (dated before the completion of posting)</t>
  </si>
  <si>
    <t>Abstract of Bids as Calculated/Detailed Evaluation of Bids - done after 8 days (10/28/2021) from the deadline for receipt of proposals (10/20/2021) - should be within 7 CD</t>
  </si>
  <si>
    <t>The bidder with SCRB was not notified of the result of the post-qualification</t>
  </si>
  <si>
    <t>Delayed Post-Qualification Procedure: determination of LCB was on 10/28/21 (based on Abstract of Bids as Calculated) but post-qua was on 11/23/21 (no notice of extension for Post-Qua period by the HoPE) - done more than 12 CD - 26 CD in actual</t>
  </si>
  <si>
    <t>Notice of Award dated 11/24/21 was posted on agency website and conspicuous place on 11/29/21 (beyond the required 3 CD from issuance)</t>
  </si>
  <si>
    <t>Contract preparation and signing was not done within 10 days from receipt of the winning bidder of the NOA - done after 11 days</t>
  </si>
  <si>
    <t>Notice to Proceed: dated earlier (12/02/21) than the perfection of the contract (12/10/21)</t>
  </si>
  <si>
    <t>Upgrading of Local Access Road, Purok 5, Brgy. Katualan, Panabo City</t>
  </si>
  <si>
    <t>ABC is prepared earlier than the POW</t>
  </si>
  <si>
    <t>Certification by the Head of BAC Secretariat of posting of ITB from 11/08/21-11/14/21 in 3 conspicuous places is dated 11/08/21 (dated before the completion of posting)</t>
  </si>
  <si>
    <t>Certification by the Website Administrator that the ITB was posted from 11/08/21-11/14/21 is dated 11/08/21 (dated before the completion of posting)</t>
  </si>
  <si>
    <t>Posting of Invitation to Bid in the agency website and conspicuous places was only for 6 CD: 11/08/21-11/14/21 (not 7 CD)</t>
  </si>
  <si>
    <t>Abstract of Bids as Calculated/Detailed Evaluation of Bids - done after 1 month (12/29/2021) from the deadline for receipt of proposals (11/29/2021) - should be within 7 CD</t>
  </si>
  <si>
    <t>Post-Qualification Procedure: determination of LCB was on 12/29/21 (based on Abstract of Bids as Calculated) but post-qua was on 01/12/22 (no notice of extension for Post-Qua period by the HoPE) - done more than 12 CD</t>
  </si>
  <si>
    <t>Notice of Post-Qualification with LCB sent to the winning bidder was dated 01/13/2022 despite the BAC Resolution Declaring the LCRB not yet approved by the HoPE (approved on (01/14/2022)</t>
  </si>
  <si>
    <t>Notice of Award dated1/14/2022 was posted on agency website and conspicuous place on 01/19/22 (beyond the required 3 CD from issuance)</t>
  </si>
  <si>
    <t>Notice to Proceed: dated earlier (01/20/22) than the perfection of the contract (01/27/22)</t>
  </si>
  <si>
    <t>Panabo Mangrove Forest Park, Brgy. J.P. Laurel, Panabo City</t>
  </si>
  <si>
    <t>LGSF-AC</t>
  </si>
  <si>
    <t>Certification by the Head of BAC Secretariat of posting of ITB from 11/17/21-11/23/21 in 3 conspicuous places is dated 11/17/21 (dated before the completion of posting)</t>
  </si>
  <si>
    <t>Certification by the Website Administrator that the ITB was posted from 11/17/21-11/23/21 is dated 11/17/21 (dated before the completion of posting)</t>
  </si>
  <si>
    <t>Posting of Invitation to Bid in the agency website and conspicuous places was only for 6 CD: 11/17/21-11/23/21 (not 7 CD)</t>
  </si>
  <si>
    <t>NFCC: the amounts presented as total liabilities and net worth is erroneously computed and not similar with the amounts in the attached audited financial statements</t>
  </si>
  <si>
    <t>Abstract of Bids as Calculated/Detailed Evaluation of Bids - done after 20 days (12/27/2021) from the deadline for receipt of proposals (12/07/2021) - should be within 7 CD</t>
  </si>
  <si>
    <t>Delayed Post-Qualification Procedure: determination of LCB was on 12/27/21 (based on Abstract of Bids as Calculated) but post-qua was on 01/14/22 (no notice of extension for Post-Qua period by the HoPE) - done more than 12 CD - 18 days in actual</t>
  </si>
  <si>
    <t>Notice to Proceed: dated earlier (01/20/22) than the perfection of the contract (01/28/22)</t>
  </si>
  <si>
    <t>No attached POW (to be provided by the winning contractor within 25 days from the delivery of NOA) as specified in the Special Conditions of the Contract. Moreover, the POW attached in the progress billings are prepared by the CEO</t>
  </si>
  <si>
    <t>The number of days indicated in the Construction schedule and S-curve, manpower schedule, equipment utilization schedule and PERT/CPM is not similar with the target date of completion specified in the ABC and POW: the Construction schedule and S-curve, manpower schedule, equipment utilization schedule and PERT/CPM is for 150CD while the ABC/POW is 380 days</t>
  </si>
  <si>
    <t>Rehabilitation/
Upgrading Level III Water System including drilling of potable water source, Brgy. Malativas, Panabo City</t>
  </si>
  <si>
    <t>Improvement/
Rehabilitation of Water System, Brgy. Mabunao, Panabo City</t>
  </si>
  <si>
    <t>Rehabilitation/
Improvement of Level III Water System, Brgy. Manay, Panabo City</t>
  </si>
  <si>
    <t>Project/Program/Activity</t>
  </si>
  <si>
    <t>Pay Item/Description</t>
  </si>
  <si>
    <t>As per ABC/POW/DUPA</t>
  </si>
  <si>
    <t>Variance from ABC</t>
  </si>
  <si>
    <t>(Agency)</t>
  </si>
  <si>
    <t>Cost</t>
  </si>
  <si>
    <t>Remarks</t>
  </si>
  <si>
    <t>%</t>
  </si>
  <si>
    <t>A.1.1(3) Construction of Field Office for the Engineer</t>
  </si>
  <si>
    <t>Materials, labor &amp; quantity specified</t>
  </si>
  <si>
    <t>Presented as Lumpsum Materials and Labor</t>
  </si>
  <si>
    <t>Contract Cost:</t>
  </si>
  <si>
    <t>A.1.1(11) Provision of Furniture/Fixtures, Equipment &amp;  Appliances for the Field Office for the Engineer</t>
  </si>
  <si>
    <t xml:space="preserve">Specified: </t>
  </si>
  <si>
    <t>P17,989,294.49</t>
  </si>
  <si>
    <t>3 office desk</t>
  </si>
  <si>
    <t>Contractor:</t>
  </si>
  <si>
    <t xml:space="preserve">3 monoblock chairs </t>
  </si>
  <si>
    <t>Northern Construction &amp; Allied Services</t>
  </si>
  <si>
    <t>1 lavatory</t>
  </si>
  <si>
    <t>1 day of skilled labor</t>
  </si>
  <si>
    <t xml:space="preserve">POW 2022-01-003 </t>
  </si>
  <si>
    <t>Upgrading of local access road -Barangay Buenavista to Tagpore</t>
  </si>
  <si>
    <t>P15,593,156.56</t>
  </si>
  <si>
    <t>Micah Construction &amp; Supply</t>
  </si>
  <si>
    <t xml:space="preserve">POW 2021-10-378 </t>
  </si>
  <si>
    <t>Concreting of Farm to Market Road Homeland Dapco going to Main Tadeco Road</t>
  </si>
  <si>
    <t>P19,985,773.62</t>
  </si>
  <si>
    <t xml:space="preserve">POW-2021-12-454 </t>
  </si>
  <si>
    <t>Upgrading of local access road -Kiotoy to Sta. Cruz</t>
  </si>
  <si>
    <t>P15,983,278.31</t>
  </si>
  <si>
    <t>Nen Builders &amp; Development Services Corporation</t>
  </si>
  <si>
    <t>POW-2021-09-349</t>
  </si>
  <si>
    <t>Concreting of Farm to Market Road from Mabunao to San Roque</t>
  </si>
  <si>
    <t>Northern Construction &amp; Supply</t>
  </si>
  <si>
    <t>Schedule of excess of contract price from Approved Budget of cost for work item "Facilities for Engineers"</t>
  </si>
  <si>
    <t>20% Development Fund CY2022</t>
  </si>
  <si>
    <r>
      <t xml:space="preserve">As per Contract Bid Price/ Detailed Estimates </t>
    </r>
    <r>
      <rPr>
        <sz val="11"/>
        <color theme="1"/>
        <rFont val="Times New Roman"/>
        <family val="1"/>
      </rPr>
      <t>(Contractor)</t>
    </r>
  </si>
  <si>
    <r>
      <t>POW</t>
    </r>
    <r>
      <rPr>
        <sz val="11"/>
        <color theme="1"/>
        <rFont val="Calibri"/>
        <family val="2"/>
        <scheme val="minor"/>
      </rPr>
      <t xml:space="preserve"> </t>
    </r>
    <r>
      <rPr>
        <sz val="11"/>
        <color theme="1"/>
        <rFont val="Times New Roman"/>
        <family val="1"/>
      </rPr>
      <t>2022-01-012, Upgrading of local access road - Jnct Buenavista &amp; Tagpore to San Nicolas</t>
    </r>
  </si>
  <si>
    <r>
      <t>*Deleted pay item as per Variation Order attached in the 3</t>
    </r>
    <r>
      <rPr>
        <i/>
        <vertAlign val="superscript"/>
        <sz val="11"/>
        <color theme="1"/>
        <rFont val="Times New Roman"/>
        <family val="1"/>
      </rPr>
      <t>rd</t>
    </r>
    <r>
      <rPr>
        <i/>
        <sz val="11"/>
        <color theme="1"/>
        <rFont val="Times New Roman"/>
        <family val="1"/>
      </rPr>
      <t xml:space="preserve"> progress billing</t>
    </r>
  </si>
  <si>
    <t>List of Projects Still Recorded under Construction in Progress Accounts but Certified as Completed by CEO</t>
  </si>
  <si>
    <t>Current Classification by CAO</t>
  </si>
  <si>
    <t>Appropriate PPE Classification</t>
  </si>
  <si>
    <t>Project No.</t>
  </si>
  <si>
    <t>Date of Completion per CEO</t>
  </si>
  <si>
    <t>Construction in Progress - Land Improvements</t>
  </si>
  <si>
    <t>2020-02-001</t>
  </si>
  <si>
    <t>POW 2020-02-001-Site Development for resettlement areas</t>
  </si>
  <si>
    <t>2019-10-001</t>
  </si>
  <si>
    <t xml:space="preserve">POW-2019-10-001-Site Developmentfor Resettlement Areas - Land Development (DAVIN) @ Brgy. San Francisco  </t>
  </si>
  <si>
    <t>2022-01-001</t>
  </si>
  <si>
    <t xml:space="preserve">POW-2022-01-001-Php1M-Site Development (Relampagos Village II),Quezon  </t>
  </si>
  <si>
    <t>2021-11-422</t>
  </si>
  <si>
    <t xml:space="preserve">POW-2021-11-422_Embankment of Motorpool Area, Datu Abdul  </t>
  </si>
  <si>
    <t>Construction in Progress - Infrastructure Assets</t>
  </si>
  <si>
    <t>Road Networks</t>
  </si>
  <si>
    <t>2020-08-327</t>
  </si>
  <si>
    <t xml:space="preserve">POW-2020-08-327_Concreting/Rehabilitation of Road at Brgy. Katualan to Junction Mabunao- San Roque,   </t>
  </si>
  <si>
    <t>2021-01-029</t>
  </si>
  <si>
    <t xml:space="preserve">POW-2021-01-029_REBLOCKING OF ROAD-6.00M X 0.30M X 252.00L.M. REBLOCKING OF RAOD AT BRGY LITTLE PANA  </t>
  </si>
  <si>
    <t>2021-09-349</t>
  </si>
  <si>
    <t>POW-2021-09-349-(24.6M)Concreting of farm to market road, from Mabunao to San Roque Mabunao 0.3m thickx6.1mx1350m</t>
  </si>
  <si>
    <t>Water Supply System</t>
  </si>
  <si>
    <t>2020-09-342</t>
  </si>
  <si>
    <t xml:space="preserve">POW-2020-09-342_WATER SYSTEMS PROJECT DEVELOPMENT(BARANGAY WATER SYSTEM IMPROVEMENTS)  </t>
  </si>
  <si>
    <t>2021-03-118</t>
  </si>
  <si>
    <t xml:space="preserve">POW-2021-03-118_Construction of Water &amp; Sanitation Facilities(2 seater w/ PWD and sink), Consolacion  </t>
  </si>
  <si>
    <t>2021-10-376</t>
  </si>
  <si>
    <t>POW-2021-10-376-Additional Deep Well Drilling-Water system Project Development (Brgy. Buenavista &amp;Gawad Kalingan Datu ABdul</t>
  </si>
  <si>
    <t>Construction in Progress - Buildings and Other Structures</t>
  </si>
  <si>
    <t>Buildings</t>
  </si>
  <si>
    <t>2015-06-302</t>
  </si>
  <si>
    <t xml:space="preserve">POW-2015-06-302-IMPROVEMENT OF PMPTCSC @ BRGY. JP LAUREL, Panabo City    </t>
  </si>
  <si>
    <t>No exact date of completion provided by CEO but certified as completed</t>
  </si>
  <si>
    <t>2019-05-195</t>
  </si>
  <si>
    <t>POW-2019-05-195_RENOVATION OF PANABO CITY TEEN CENTER</t>
  </si>
  <si>
    <t>Markets</t>
  </si>
  <si>
    <t>2017-04-209</t>
  </si>
  <si>
    <t>POW-2017-04-209-(Demolition )PROPOSED PANABO CITY MARKET COMPLEX (DEMOLITION WORKS)</t>
  </si>
  <si>
    <t>2021-09-363</t>
  </si>
  <si>
    <t xml:space="preserve">POW-2021-09-363_Construction of Visitor's Lounge at 27th IB, 10th ID, Philippine Army @ Brgy. Dalisa  </t>
  </si>
  <si>
    <t>Delivery of materials only (per CEO)</t>
  </si>
  <si>
    <t>2019-09-344</t>
  </si>
  <si>
    <t xml:space="preserve">POW-2019-09-344_CONSTRUCTION OF BATCHING FOUNDATION  </t>
  </si>
  <si>
    <t>2019-12-484</t>
  </si>
  <si>
    <t xml:space="preserve">POW-2019-12-484_COMPLETION/OPERATION OF ASPHALT BATCHING PLANT  </t>
  </si>
  <si>
    <t>SEFLI001</t>
  </si>
  <si>
    <t>Completion of Concrete Fence - Dondoy Elementary School, Brgy. Cagangohan, Panabo City</t>
  </si>
  <si>
    <t>2016-09-508</t>
  </si>
  <si>
    <t>CONSTRUCTION OF PERIMETER FENCE, RIZAL E/S, PANABO CITY_POW#2016-09-508</t>
  </si>
  <si>
    <t>SEFLI003</t>
  </si>
  <si>
    <t>FENCING OF ELEMENTARY SCHOOL - JP Laurel</t>
  </si>
  <si>
    <t>2016-06-277</t>
  </si>
  <si>
    <t>POW-2016-06-277_CONSTRUCTION OF PERIMETER FENCE, SAN FRANCISCO E/S_BRGY. SAN FRANCISCO, PANABO CIT</t>
  </si>
  <si>
    <t>2016-07-358</t>
  </si>
  <si>
    <t>POW-2016-07-358-CONSTRUCTION OF PERIMETER FENCE , SINDATON E/S</t>
  </si>
  <si>
    <t>2017-08-595</t>
  </si>
  <si>
    <t>POW-2017-08-595-CONSTRUCTION OF PERIMETER FENCE , PHASE 2, SAN FRANCISCO E/S_</t>
  </si>
  <si>
    <t>2019-03-132</t>
  </si>
  <si>
    <t>POW-2019-03-132_Construction of Perimeter Fence P. Changco ES @Brgy. Tibungol</t>
  </si>
  <si>
    <t>2016-08-396</t>
  </si>
  <si>
    <t>Construction of Perimeter Fence @ Sison E.S., Brgy. Sindaton_POW#2016-08-396</t>
  </si>
  <si>
    <t>POW # 2017-08-595_CONST. OF PERIMETER FENCE, PHASE 2, SAN FRANCISCO E/S</t>
  </si>
  <si>
    <t>2019-04-167</t>
  </si>
  <si>
    <t>POW#2019-04-167_Construction of Perimeter Fence, So. Davao ES @Southern Davao</t>
  </si>
  <si>
    <t>2019-05-199</t>
  </si>
  <si>
    <t>POW#2019-05-199_CONSTRUCTION OF PERIMETER FENCE, PANABO CITY SHS</t>
  </si>
  <si>
    <t>2018-06-257</t>
  </si>
  <si>
    <t xml:space="preserve">POW # 2018-06-257_SCHOOL SITE IMPROVEMENT(CONSTRUCTION OF DRAINAGE SYSTEM)A.O FLOIRENDO NHS  </t>
  </si>
  <si>
    <t>2019-04-191</t>
  </si>
  <si>
    <t xml:space="preserve">POW#2019-04-191_INSTALLATION OF WATER RESERVOIR/ TANK (BEST TANK, TAGPORE, ES  </t>
  </si>
  <si>
    <t>SBSEF004</t>
  </si>
  <si>
    <t>CONST. OF 1 STOREY 2 CLASSROOM SCHOOL BLDG.- NEW MALITBOG HIGH SCHOOL EXT. (PHASE II)_POW # 2016-09-</t>
  </si>
  <si>
    <t>2019-01-006</t>
  </si>
  <si>
    <t>POW#2019-01-006_CONSTRUCTION OF SCHOOL BUILDING ONE (1) STOREY 2 CL SCHOOL BUILDING, KASILAK E/S</t>
  </si>
  <si>
    <t>2019-07-263</t>
  </si>
  <si>
    <t>POW#2019-07-263_COMPLETION OF SCHOOL BUILDING-ONE STOREY 3 CL 7 X 27 SCHOOL BUILDING, PHASE 2 SAN FR</t>
  </si>
  <si>
    <t>2016-07-367</t>
  </si>
  <si>
    <t>POW-2016-07-367-REPAIR AND MAINTENANCE OF SCHOOL BLDG., PANABO CENTRAL E/S, SPED_</t>
  </si>
  <si>
    <t>2020-01-011</t>
  </si>
  <si>
    <t>POW#2020-01-011_Repair &amp; Maintenance- School Building and Other Structures (Window Grill, Comfort Ro</t>
  </si>
  <si>
    <t>2022-03-125</t>
  </si>
  <si>
    <t>POW 2022-03-125-Construction of Water &amp; Sanitation Facilities (2 seater w/PWD &amp; Sink) Sindaton NHS</t>
  </si>
  <si>
    <t>2015-01-039</t>
  </si>
  <si>
    <t>POW-2015-01-039-CONSTRUCTION OF 40 UNITS IMPROVISED SHOWER ROOMS, PANABO CENTRAL E/S_</t>
  </si>
  <si>
    <t>2015-01-041</t>
  </si>
  <si>
    <t>POW-2015-01-041-Construction of 40 units Improvised Shower Room PNHS, Brgy. Gredu_</t>
  </si>
  <si>
    <t>2016-11-569</t>
  </si>
  <si>
    <t>POW-2016-11-569_Construction of 10 units Water Sanitation Facilities (2 seaters w/ PWD &amp; Sink) at va</t>
  </si>
  <si>
    <t>2021-06-239</t>
  </si>
  <si>
    <t>POW-2021-06-239_Completion of School Stage (PhaseII) at N.Galapin ES, Brgy Maduao_(2021 Budget)</t>
  </si>
  <si>
    <t>2021-07-283</t>
  </si>
  <si>
    <t>POW-2021-07-283-Php300K-Improvement of Handwashing Facility Don Manuel A Javellana Memorial ES</t>
  </si>
  <si>
    <t>2021-08-327</t>
  </si>
  <si>
    <t>POW-2021-08-327_Construction of School Signage and Gate at JP Laurel E.S (2021 Budget)</t>
  </si>
  <si>
    <t>2020-03-166</t>
  </si>
  <si>
    <t>POW-2020-03-166_Closure and Rehabilitation of Open Dumpsite (Phase II) @New Malitbog, PC</t>
  </si>
  <si>
    <t>2021-08-305</t>
  </si>
  <si>
    <t>*POW 2021-08-305-upgrading of Local Access Road-Concreting of Roads 0.3m thickx6.7mx500m</t>
  </si>
  <si>
    <t>2022-02-032</t>
  </si>
  <si>
    <t>POW 2022-02-032-Upgrading of local access road,concreting of road 162.00I.m</t>
  </si>
  <si>
    <t>2021-10-374</t>
  </si>
  <si>
    <t>POW-2021-10-374_P15M_Upgrading of Local Access Road Purok Batong to Kalabasa [0.30m thick x 6.1m x 8 @Brgy. Nanyo, Panabo City</t>
  </si>
  <si>
    <t>Sewer Systems</t>
  </si>
  <si>
    <t>OIATFP003</t>
  </si>
  <si>
    <t>CONSTRUCTION OF SEPTIC VAULT FOR DISPOSAL OF USED SHARPS &amp; PLACENTA</t>
  </si>
  <si>
    <t>2017-09-653</t>
  </si>
  <si>
    <t>IMPROVEMENT OF PANABO EMERGENCY CLINIC_POW # 2017-09-653</t>
  </si>
  <si>
    <t>2016-12-600</t>
  </si>
  <si>
    <t>ECO-TOURISM DEVELOPMENT PROJECT-PHASE I_POW # 2016-12-600</t>
  </si>
  <si>
    <t>No exact date of completion provided by CEO but certified as completed; POW cannot be provided by CEO, hence, temporarily classified as Other Structures</t>
  </si>
  <si>
    <t>2017-07-564</t>
  </si>
  <si>
    <t>MATERIAL RECOVERY FACILITY AND SHARP SEPTIC VAULT_POW #  2017-07-564</t>
  </si>
  <si>
    <t>Summary of Computed Depreciation</t>
  </si>
  <si>
    <t>Current PPE Account Classification</t>
  </si>
  <si>
    <t>Useful Life in Yrs</t>
  </si>
  <si>
    <t>Useful Life in Months</t>
  </si>
  <si>
    <t>Depreciable months as of year-end</t>
  </si>
  <si>
    <t>Project Cost (net of 5% Residual Value)</t>
  </si>
  <si>
    <t>Total Computed Depreciation</t>
  </si>
  <si>
    <t>10710010-01   20% Development Fund</t>
  </si>
  <si>
    <t>10710010-02   General Fund Proper</t>
  </si>
  <si>
    <t xml:space="preserve"> 10710020-01   Road Networks</t>
  </si>
  <si>
    <t>10710020-04   Water Supply System</t>
  </si>
  <si>
    <t>10710030-06   Other Structures</t>
  </si>
  <si>
    <t>10710030-04   Market Structures</t>
  </si>
  <si>
    <t>10710020-07   Other Infrastructure Assets</t>
  </si>
  <si>
    <t>10710010-04   Special Education Fund</t>
  </si>
  <si>
    <t>10710030-01   School Buildings</t>
  </si>
  <si>
    <t xml:space="preserve"> 10710010-03   Trust Fund Proper</t>
  </si>
  <si>
    <t xml:space="preserve"> 10710020-07   Other Infrastructure Assets</t>
  </si>
  <si>
    <t>*Accounts under Buildings and Other Structures are presumed to be predominantly concrete, hence, the useful life of 30 yrs</t>
  </si>
  <si>
    <t>*The useful life adopted for sewer systems is 5 yrs (other infrastructure assets), hence, fully depreciated</t>
  </si>
  <si>
    <t>*Residual value adopted is 5%</t>
  </si>
  <si>
    <t>List of Completed Projects With No Exact Date of Completion but Certified as Complete by CEO</t>
  </si>
  <si>
    <t>Certified as completed but no exact date of completion was provided</t>
  </si>
  <si>
    <t>Certified as completed but no exact date of completion was provided;
No copy of the POW was provided, hence, temporarily classified under Other Structures</t>
  </si>
  <si>
    <t>Schedule of PPAs with Unutilized LDRRM Funds</t>
  </si>
  <si>
    <t>Implementing Office</t>
  </si>
  <si>
    <t>Status of Implementation
as at 12/31/22</t>
  </si>
  <si>
    <t>Appropriation</t>
  </si>
  <si>
    <t>Utilization</t>
  </si>
  <si>
    <t>Unutilized</t>
  </si>
  <si>
    <t>MOOE</t>
  </si>
  <si>
    <t>CO</t>
  </si>
  <si>
    <t>Total Appropriation</t>
  </si>
  <si>
    <t>Actual Utilization</t>
  </si>
  <si>
    <t>Declared as Savings &amp; Re-appropriated/ Reverted to STF</t>
  </si>
  <si>
    <t>Total Utilization</t>
  </si>
  <si>
    <r>
      <t xml:space="preserve">Unutilized MOOE </t>
    </r>
    <r>
      <rPr>
        <b/>
        <sz val="10"/>
        <color theme="1"/>
        <rFont val="Times New Roman"/>
        <family val="1"/>
      </rPr>
      <t>(Transferred to STF)</t>
    </r>
  </si>
  <si>
    <t>Fund Balance as of 12/31/2022</t>
  </si>
  <si>
    <t>Total Unutilized</t>
  </si>
  <si>
    <t>CURRENT APPROPRIATION CY 2022</t>
  </si>
  <si>
    <t>70% Mitigation and Prevention Component</t>
  </si>
  <si>
    <t>Installation of CCTV Camera</t>
  </si>
  <si>
    <t>CDRRMO</t>
  </si>
  <si>
    <t>Unimplemented</t>
  </si>
  <si>
    <t>Difficulty in finding supplier</t>
  </si>
  <si>
    <t>Purchase of Surveying Done and Updating of Hazard Map</t>
  </si>
  <si>
    <t>CPDO</t>
  </si>
  <si>
    <t>Two failed biddings, Awarded contract with supplier thru negotiated procurement, for delivery</t>
  </si>
  <si>
    <t>Purchase of PPEs for Critical Infrastructure Assessment- Medical, Dental and Laboratory Supplies Expenses</t>
  </si>
  <si>
    <t>CEO</t>
  </si>
  <si>
    <t>CEO is unaware of the funding and did not know that they will be the one to process for its procurement</t>
  </si>
  <si>
    <t>Purchase of Early Warning System</t>
  </si>
  <si>
    <t>Conduct Reforestation</t>
  </si>
  <si>
    <t>CENRO</t>
  </si>
  <si>
    <t>Completed</t>
  </si>
  <si>
    <t>Agricultural and Marine Supplies Expenses</t>
  </si>
  <si>
    <t>Other supplies and materials expenses</t>
  </si>
  <si>
    <t>Other MOE-Meals and Snacks</t>
  </si>
  <si>
    <t>Retrofitting of Public Facilities-Other Infrastructure Assets</t>
  </si>
  <si>
    <t>For identification and inspection of site</t>
  </si>
  <si>
    <t>For Implementation</t>
  </si>
  <si>
    <t>Awarded November 25,2022
NTP December 28,2022</t>
  </si>
  <si>
    <t>Public Information Education Campaign (IEC Materials)</t>
  </si>
  <si>
    <t>CIO</t>
  </si>
  <si>
    <t>On-going</t>
  </si>
  <si>
    <t>Revision of Local Climate Change Action Plan</t>
  </si>
  <si>
    <t>Training Expenses</t>
  </si>
  <si>
    <t>Representation Expenses</t>
  </si>
  <si>
    <t>Office Supplies Expenses</t>
  </si>
  <si>
    <t>70% Preparedness Component</t>
  </si>
  <si>
    <t>Construction of Evacuation Center/Isolation Facility (additional phase)</t>
  </si>
  <si>
    <t>CDRRMO/CHO</t>
  </si>
  <si>
    <t>FOR POW</t>
  </si>
  <si>
    <t>For declaration of savings</t>
  </si>
  <si>
    <t>Rescue Vehicle for Animals</t>
  </si>
  <si>
    <t>City Veterinary Section</t>
  </si>
  <si>
    <t>Delayed procurement due to failure of 1st bidding; Rebid December 2022, delivered in 2023</t>
  </si>
  <si>
    <t>Purchase of Rescue Equipments</t>
  </si>
  <si>
    <t>Purchase of SMART TV</t>
  </si>
  <si>
    <t>Purchase of Communication Equipment with NTC</t>
  </si>
  <si>
    <t>Purchase of Temporary Shelter</t>
  </si>
  <si>
    <t>Purchase of Speedboat- Watercrafts</t>
  </si>
  <si>
    <t>Beneficiary is Coastguard, CDRRMO is still coordinating with the end-user for the specifications of watercraft to be procured</t>
  </si>
  <si>
    <t>Rescue Vehicles for PNP, Maritime and BFP- Motor Vehicles</t>
  </si>
  <si>
    <t>Utility Vehicles for CHO- Motor Vehicles</t>
  </si>
  <si>
    <t>Still on process</t>
  </si>
  <si>
    <t>70% Response Component</t>
  </si>
  <si>
    <t>Purchase of Banana Seedlings for Banana Farmers affected by Fusarium Wilt- Agricultural and Marine Supplies Expenses</t>
  </si>
  <si>
    <t>CAGRO</t>
  </si>
  <si>
    <t>Panabo City African Swine Fever (ASF) Control and Eradication Program</t>
  </si>
  <si>
    <t>Donations-for ASF Affected farmers</t>
  </si>
  <si>
    <t>Actual farmers affected is lesser vs the budget/plan</t>
  </si>
  <si>
    <t>Other MOE-Food Supplies</t>
  </si>
  <si>
    <t>Other MOE-Animal Quarantine Service Inspectors</t>
  </si>
  <si>
    <t>Other MOE-Stockpiling of Basic Emergency Supplies</t>
  </si>
  <si>
    <t>CSWDO</t>
  </si>
  <si>
    <t>Additional Funding for COVID-19-Medical, Dental and Laboratory Supplies Expenses</t>
  </si>
  <si>
    <t>CHO</t>
  </si>
  <si>
    <t>CHO is unaware of the additional funding</t>
  </si>
  <si>
    <t>70% Rehabilitation and Recovery Component</t>
  </si>
  <si>
    <t>Full Blown Relief Operation through Seeds and Fertilizer- Agricultural and Marine Supplies Expenses</t>
  </si>
  <si>
    <t>2 Units Hand Tractor</t>
  </si>
  <si>
    <t>Cash for Work Program-Other General Services</t>
  </si>
  <si>
    <t>Unutilized because the CSWDO also received funding from the Province of Davao del Norte for the Cash for Work Program</t>
  </si>
  <si>
    <t>Rehabilitation of City Roads</t>
  </si>
  <si>
    <t>Total-Current Appropriation</t>
  </si>
  <si>
    <t>CONTINUING APPROPRIATION</t>
  </si>
  <si>
    <t>CY 2017</t>
  </si>
  <si>
    <t>Procurement of Early Warning System</t>
  </si>
  <si>
    <t>Implemented, With Unexpended Balance</t>
  </si>
  <si>
    <t>CY 2018</t>
  </si>
  <si>
    <t>Rescue and Medical Equipment</t>
  </si>
  <si>
    <t>Unexpended Balance</t>
  </si>
  <si>
    <t>CY 2019</t>
  </si>
  <si>
    <t>Support Facilities and Equipment for Panabo Public Safety Command Center</t>
  </si>
  <si>
    <t>CY 2020</t>
  </si>
  <si>
    <t>Procured, With Unexpended Balance</t>
  </si>
  <si>
    <t>Purchase of Early Warning System (Flood sensors, weather monitor, and/or CCTV)</t>
  </si>
  <si>
    <t>Purchase of Shelter Tents</t>
  </si>
  <si>
    <t>CY 2021</t>
  </si>
  <si>
    <t>Rehabilitation of Drainage System</t>
  </si>
  <si>
    <t>Rehabilitation of Drainage along Quezon St. From Jct JP Laurel to Jct Quirino</t>
  </si>
  <si>
    <t>For POW</t>
  </si>
  <si>
    <t>Procured</t>
  </si>
  <si>
    <t>Early Warning and Directional signage</t>
  </si>
  <si>
    <t>Medical Equipment</t>
  </si>
  <si>
    <t xml:space="preserve">Technical and Scientific Equipment </t>
  </si>
  <si>
    <t>1 Unit Remotedly Piloted Aircraft (Drone) w/ registration and controller/pilot certificate</t>
  </si>
  <si>
    <t>1 Unit service truck for Electrical Services</t>
  </si>
  <si>
    <t>1 Unit service vehicle for Upland reforestation</t>
  </si>
  <si>
    <t>Agricultural and Forestry Equipment</t>
  </si>
  <si>
    <t>Total-Continuing Appropriation</t>
  </si>
  <si>
    <t>APPROPRIATED SPECIAL TRUST FUND</t>
  </si>
  <si>
    <t>STF 2018 (Calamity Fund 2017)</t>
  </si>
  <si>
    <t>Various-21 PPAs</t>
  </si>
  <si>
    <t>Implemented</t>
  </si>
  <si>
    <t>STF 2019 (Calamity Fund 2018)</t>
  </si>
  <si>
    <t>Various-18 PPAs</t>
  </si>
  <si>
    <t>Provision of CCTV</t>
  </si>
  <si>
    <t>STF 2020 (Calamity Fund 2019)</t>
  </si>
  <si>
    <t>Various-26 PPAs</t>
  </si>
  <si>
    <t>Disaster Operation Center Development</t>
  </si>
  <si>
    <t>Vehicle Maintenance Equipment</t>
  </si>
  <si>
    <t>Personal Protective Equipment for Responders</t>
  </si>
  <si>
    <t>Incident Management Team's Operation's Vest</t>
  </si>
  <si>
    <t>STF 2021 (Calamity Fund 2020)</t>
  </si>
  <si>
    <t>Various-4 PPAs</t>
  </si>
  <si>
    <t>DRRM Publication</t>
  </si>
  <si>
    <t>Insurance for Responders</t>
  </si>
  <si>
    <t>CBMS MOE: Other Supplies Expense</t>
  </si>
  <si>
    <t>ASF Control and Eradication Program</t>
  </si>
  <si>
    <t>Procurement of Covid-19 Vaccines</t>
  </si>
  <si>
    <t>STF 2022 (Calamity Fund 2021)</t>
  </si>
  <si>
    <t>Various-5 PPAs</t>
  </si>
  <si>
    <t>Repair and Mainteance of DRRM Vehicle</t>
  </si>
  <si>
    <t>Improvement of Evacuation Center</t>
  </si>
  <si>
    <t>Purchase of Rescue Supplies</t>
  </si>
  <si>
    <t>Repair and Maintenance of Early Warning System</t>
  </si>
  <si>
    <t>Repair and Mainteance of Rescue Equipment</t>
  </si>
  <si>
    <t>Purchase of Equipment for the Maintenance of DRRM Vehicle</t>
  </si>
  <si>
    <t>Equipage of Evacuation Center Facility</t>
  </si>
  <si>
    <t>Purchase of Drone</t>
  </si>
  <si>
    <t>Purchase of Medical Supplies</t>
  </si>
  <si>
    <t>Purchase of PPE</t>
  </si>
  <si>
    <t>Counterpart for the purchase of Dumptrucks for Barangays</t>
  </si>
  <si>
    <t>Geo-Hazard vulnerability and risk mapping</t>
  </si>
  <si>
    <t>Dengue Prevention and Control Program</t>
  </si>
  <si>
    <t>Additional Funding for COVID-19 Responses</t>
  </si>
  <si>
    <t>ASF Eradication Program</t>
  </si>
  <si>
    <t>Total-Appropriated STF</t>
  </si>
  <si>
    <t>GRAND TOTAL-LDRRM FUND</t>
  </si>
  <si>
    <t xml:space="preserve">Percentage </t>
  </si>
  <si>
    <t>CDRRMO/
CHO</t>
  </si>
  <si>
    <t xml:space="preserve">UNUTILIZED APPROPRIATIONS FOR INFRASTRUCTURE PROJECTS </t>
  </si>
  <si>
    <t>Office</t>
  </si>
  <si>
    <t>Year of Appropriation</t>
  </si>
  <si>
    <t>Description of Infrastructure Project</t>
  </si>
  <si>
    <t>Allotment</t>
  </si>
  <si>
    <t>Obligation</t>
  </si>
  <si>
    <t>CY 2022</t>
  </si>
  <si>
    <t>Water System Project Development (Citywide)</t>
  </si>
  <si>
    <t>Multi Purpose Building Completion, Salvacion</t>
  </si>
  <si>
    <t>Completion Of New Panabo City Dog Pound</t>
  </si>
  <si>
    <t>Construction Of Archives Building (phase</t>
  </si>
  <si>
    <t>Restoration Of Museo Panabo, New Pandan</t>
  </si>
  <si>
    <t>Fabrication Of Water Distribution System</t>
  </si>
  <si>
    <t>Construction Of Small Water Impounding,</t>
  </si>
  <si>
    <t>Rehabilitation Of Livestock Cages And St</t>
  </si>
  <si>
    <t>Improvement/rehabilitation Of Senior Cit</t>
  </si>
  <si>
    <t>Improvement Of Multi-purpose Building-jp</t>
  </si>
  <si>
    <t>Construction Of Fence In Muslim Cemetery</t>
  </si>
  <si>
    <t>Construction Of Multi Purpose Building I</t>
  </si>
  <si>
    <t>Fabrication Of Tent: 1 Unit Collapsible</t>
  </si>
  <si>
    <t>Construction Of Angel Barachael Building</t>
  </si>
  <si>
    <t>Upgrading Of Panabo Multi-purpose Touris</t>
  </si>
  <si>
    <t>Improvementof Brgy. Hall, San Pedro</t>
  </si>
  <si>
    <t>Concreting Of Peda Road (additional Phas</t>
  </si>
  <si>
    <t>Concreting Of Road Jct. Peda St. To Kana</t>
  </si>
  <si>
    <t>Concreting Of Road-jct. Peda St. To Gama</t>
  </si>
  <si>
    <t>Concreting Of Road Tagpore To Buenavista</t>
  </si>
  <si>
    <t>Concreting Of Road Buenavista To Mabunao</t>
  </si>
  <si>
    <t>Concreting Of Road San Nicolas To Kiotoy</t>
  </si>
  <si>
    <t>Upgrading Of Local Access Road-jct. Tade</t>
  </si>
  <si>
    <t>Riprapping Of Creek (phase 2), Kasilak</t>
  </si>
  <si>
    <t>Improvement Of Old Barangay Health Stati</t>
  </si>
  <si>
    <t>Completion Of Multi-purpose Gym-katualan</t>
  </si>
  <si>
    <t>20% DF - Upgrading Of Local Access Road-urban Are</t>
  </si>
  <si>
    <t>20% DF - Construction Of Drainage-citywide</t>
  </si>
  <si>
    <t>20% DF - Upgrading Of Local Access Road-citywide</t>
  </si>
  <si>
    <t>CEEMDO-Market Operations</t>
  </si>
  <si>
    <t>Construction of Comfort Room at Baywalk, Cagangohan, Panabo City</t>
  </si>
  <si>
    <t>Rehabilitation of Premiumed Market Office Bldg. (old PLDT), Sto. Niño</t>
  </si>
  <si>
    <t>Installation of Canopy, Panabo City Fish Port, Cagangohan</t>
  </si>
  <si>
    <t>Rehabilitation of Kakanin Vendors Display Area-Premiumed Market, Sto. Niño</t>
  </si>
  <si>
    <t>Construction of Shed for Ice Freezers, Premiumed Market, Sto. Niño</t>
  </si>
  <si>
    <t>Rehabilitation of Wet Section at Central Market, New Pandan</t>
  </si>
  <si>
    <t>Rehabilitation of Premiumed Market Building, Sto. Niño</t>
  </si>
  <si>
    <t>Rehabilitation of Panabo Business Center, New Pandan</t>
  </si>
  <si>
    <t>CEEMDO-Terminal Operations</t>
  </si>
  <si>
    <t>Side Fencing of Bus Terminal Entrance and Exit, New Pandan</t>
  </si>
  <si>
    <t>CEEMDO-Cemetery Operations</t>
  </si>
  <si>
    <t>Construction of 1-unit Bone Crypt Buildings-Eternal Garden</t>
  </si>
  <si>
    <t>Construction of Coffin Crypt Bldg., Phase 12 Eternal Garden, Datu Abdul</t>
  </si>
  <si>
    <t>Construction of Bone Crypt Bldg., Phase 3 Eternal Garden, Datu Abdul</t>
  </si>
  <si>
    <t>Fencing of Back of Bone Crypt Bldgs., Eternal Garden, Datu Abdul</t>
  </si>
  <si>
    <t>Construction of Common Depository Bones, Datu Abdul</t>
  </si>
  <si>
    <t>Construction of Crematorium, Datu Abdul</t>
  </si>
  <si>
    <t>CEEMDO</t>
  </si>
  <si>
    <t>School Site Improvement (Landscaping), Salvacion ES</t>
  </si>
  <si>
    <t>Construction of Drainage and Desilting, Panabo City NHS</t>
  </si>
  <si>
    <t>Installation of Water Reservoir, Kauswagan NHS</t>
  </si>
  <si>
    <t>Installation of Water System, P. Changco ES</t>
  </si>
  <si>
    <t>Installation of Water System, Desiderio F. Dalisay Sr. NHS</t>
  </si>
  <si>
    <t>Construction of Perimeter Fence, Katipunan ES</t>
  </si>
  <si>
    <t>Construction of Perimeter Fence, Tagpore IS</t>
  </si>
  <si>
    <t>Construction of Perimeter Fence, JP Laurel ES</t>
  </si>
  <si>
    <t>Construction of Perimeter Fence, Little Panay ES</t>
  </si>
  <si>
    <t>Construction of Perimeter Fence, Desiderio F. Dalisay Sr. NHS</t>
  </si>
  <si>
    <t>Construction of School Mini-gym, Phase 2, Licanan ES</t>
  </si>
  <si>
    <t>Construction of School Mini-gym, Phase 2, Mabunao ES</t>
  </si>
  <si>
    <t>Construction of School Mini-gym, Phase 2, San Roque ES</t>
  </si>
  <si>
    <t>Construction of School Mini-gym, Mabunao NHS</t>
  </si>
  <si>
    <t>Rehabilitation of School Mini Gym, P. Changco ES</t>
  </si>
  <si>
    <t>Construction of School Mini-Gym, Malativas NHS</t>
  </si>
  <si>
    <t>Construction of Perimeter Fence, Concordia A. Sison ES</t>
  </si>
  <si>
    <t>Construction of Perimeter Fence, Nanyo CES</t>
  </si>
  <si>
    <t>Construction of Perimeter Fence, Southern Davao ES (additional)</t>
  </si>
  <si>
    <t>Construction of School Pathway and Signage, Datu Abdul ES</t>
  </si>
  <si>
    <t>Construction of School Landmark, Licanan ES</t>
  </si>
  <si>
    <t>Construction of School Landmark, GL Dondoy CES</t>
  </si>
  <si>
    <t>Construction of School Gate and School ID, Little Panay NHS</t>
  </si>
  <si>
    <t>Construction of School ID and Perimeter Fence, Don Manuel A. Javellana Memorial NHS</t>
  </si>
  <si>
    <t>Construction of Pathway, Cagangohan NHS</t>
  </si>
  <si>
    <t>Construction of Pathway w/ Canopy, Sindaton NHS</t>
  </si>
  <si>
    <t>Construction of Guard House, Panabo City SHS</t>
  </si>
  <si>
    <t>Construction of Waiting Shed and Lunch Counter, Mabunao ES</t>
  </si>
  <si>
    <t>Installation of Foot Bridge, San Vicente NHS</t>
  </si>
  <si>
    <t>Construction of School Stage, Katualan ES</t>
  </si>
  <si>
    <t>SEF</t>
  </si>
  <si>
    <t>CY2022</t>
  </si>
  <si>
    <t>Construction of Laray Building beside Breadbox, Premiumed Market, Sto. Niño (additional funding)</t>
  </si>
  <si>
    <t>Rehabilitation of Block 21, Central Market, New Pandan</t>
  </si>
  <si>
    <t>Rehabilitation of Premiumed Market Building Sto. Niño (additional funding)</t>
  </si>
  <si>
    <t>20% DF-Rural Urban Electrification-Citywide</t>
  </si>
  <si>
    <t>Construction of Perimeter Fence, Concordia A.Sison ES</t>
  </si>
  <si>
    <t>Construction of Perimeter Fence, Little Panay NHS</t>
  </si>
  <si>
    <t>Completion of School Stage, Narciso Galapin ES</t>
  </si>
  <si>
    <t>School Site Improvement (Landscaping), Panabo SHS</t>
  </si>
  <si>
    <t>CY2021</t>
  </si>
  <si>
    <t>Construction of Assorted Laral Building beside Breadbox-Premiumed Market, Sto. Niño</t>
  </si>
  <si>
    <t>Rehabilitation and Repair of Waste Water Treatment Facility, Premiumed Market, Sto. Niño</t>
  </si>
  <si>
    <t>CEEMDO-Slaughterhouse Operations</t>
  </si>
  <si>
    <t>Rehabilitation of Annex Building at Slaughterhouse-Little Panay</t>
  </si>
  <si>
    <t>Rerhabilitation of Slaughterhouse's Oven (Pugon) and Chimney, Little Panay</t>
  </si>
  <si>
    <t>Construction of Rain Water Collectors with Chlorinator</t>
  </si>
  <si>
    <t>Construction of Room partition with Exit at Bus Terminal Building, New Pandan</t>
  </si>
  <si>
    <t>CY2020</t>
  </si>
  <si>
    <t>Construction of Coffin Crypt Building-Phase 9-Datu Abdul</t>
  </si>
  <si>
    <t>Construction of DA Building-Phase 2-Salvacion</t>
  </si>
  <si>
    <t>Improvement of Water System-Citywide (Other Infrastructure Assets)</t>
  </si>
  <si>
    <t>Upgrading of Multi Purpose Tourism, Cultural and Sports Center (PMPTCSC)-</t>
  </si>
  <si>
    <t>20% DF-Box Culvert at Maduao going to Lasang w/ Slope Protection-Phase 2-Maduao</t>
  </si>
  <si>
    <t>20% DF-Construction of Drainage at Panabo Public Park-Phase 2-New Pandan</t>
  </si>
  <si>
    <t>20% DF-Installation of Water System w/ Rainwater Harvesting Facility at Panabo Public</t>
  </si>
  <si>
    <t>Improvement of Water System, Panabo City Senior High School</t>
  </si>
  <si>
    <t>CY2019</t>
  </si>
  <si>
    <t>Construction of Public Market Complex (One Storey Building-New Pandan)</t>
  </si>
  <si>
    <t>CY2018</t>
  </si>
  <si>
    <t>Repair of Roof &amp; Gutter at Panabo City Terminal</t>
  </si>
  <si>
    <t>20% DF-Installation, Upgrading &amp; Maintenance of Streetlights (GAD)</t>
  </si>
  <si>
    <t>20% DF-Proposed Rainwater Harvest Facility at City Government Center-JP Laurel (GAD)</t>
  </si>
  <si>
    <t>20% DF-Construction of Welcome Arch for Panabo City Entrance/Exit-JP Laurel</t>
  </si>
  <si>
    <t>CY2017</t>
  </si>
  <si>
    <t xml:space="preserve">UNUTILIZED APPROPRIATIONS FOR CAPITAL OUTLAY AND NON-INFRASTRUCTURE PROJECTS </t>
  </si>
  <si>
    <t>1 unit Payloader</t>
  </si>
  <si>
    <t>3 units Desktop Computer</t>
  </si>
  <si>
    <t>2 units Motorcycle</t>
  </si>
  <si>
    <t>Weighing Scales</t>
  </si>
  <si>
    <t>City Administrator's Office</t>
  </si>
  <si>
    <t>Tourism Promotion Section - 1 unit Desktop Computer with complete accessories</t>
  </si>
  <si>
    <t>Sustainable Crop Production Enhancement - 1 unit Mini Corn Harvester</t>
  </si>
  <si>
    <t>City Budget Office</t>
  </si>
  <si>
    <t>2 units Desktop Computer with complete accessories</t>
  </si>
  <si>
    <t>Local Finance Committee - Furniture and Fixtures</t>
  </si>
  <si>
    <t>5 units Desktop Computer with complete accessories</t>
  </si>
  <si>
    <t>1 unit Laptop</t>
  </si>
  <si>
    <t>1 unit Compactor (Walk Behind)</t>
  </si>
  <si>
    <t>1 unit Survey Drone Equipment</t>
  </si>
  <si>
    <t>1 unit Concrete Cutter</t>
  </si>
  <si>
    <t>1 unit One Bagger Mixer</t>
  </si>
  <si>
    <t>1 unit Motor Vehicle</t>
  </si>
  <si>
    <t>City Environment and Natural Resources Office</t>
  </si>
  <si>
    <t>1 unit Chainsaw</t>
  </si>
  <si>
    <t>2 units Indoor/Outdoor Projector</t>
  </si>
  <si>
    <t>1 unit DLP Outdoor Projector  (Indoor-Outdoor) (Pre-Marriage Counseling)</t>
  </si>
  <si>
    <t>City Mayor's Office</t>
  </si>
  <si>
    <t>Public Order And  Safety Section - 1 unit Motor Vehicle (Utility Vehicle for TMU)</t>
  </si>
  <si>
    <t>20% DF - Land Banking (Citywide)</t>
  </si>
  <si>
    <t>City Planning and Development Office</t>
  </si>
  <si>
    <t>1 unit Motorcycle</t>
  </si>
  <si>
    <t>1 set Sound System, Panabo Central ES</t>
  </si>
  <si>
    <t>Sports Equipment, Panabo City SHS</t>
  </si>
  <si>
    <t>1 unit Projector, Rizal ES</t>
  </si>
  <si>
    <t>Video Camera w/ accessories, AOF NHS</t>
  </si>
  <si>
    <t>Transparency Board with Glass, Licanan ES</t>
  </si>
  <si>
    <t>School Logo, Panabo City SHS</t>
  </si>
  <si>
    <t>1 unit Air Purifier</t>
  </si>
  <si>
    <t>1 unit Server Rack Cabinet</t>
  </si>
  <si>
    <t>Local Finance Committee-1 unit WUXGA 3LCD Proejctor</t>
  </si>
  <si>
    <t>Local Finance Committee-Furniture and Fixtures</t>
  </si>
  <si>
    <t>1 unit Pulse Oximeter</t>
  </si>
  <si>
    <t>City Legal Office</t>
  </si>
  <si>
    <t>CCTV Camera</t>
  </si>
  <si>
    <t>Titling of Government Properties</t>
  </si>
  <si>
    <t>Bids And Awards Committee-2 units Scanner</t>
  </si>
  <si>
    <t>City Library-2 units Desktop Computer</t>
  </si>
  <si>
    <t>Gender And Development Office1 unit Photocopier</t>
  </si>
  <si>
    <t>1 unit Projector (Indoor/Outdoor Type)</t>
  </si>
  <si>
    <t>Support To City Prosecutor's Office-1 unit 1.5 HP Split-Type Inverter Airconditioner</t>
  </si>
  <si>
    <t>Sangguniang Panlungsod Office</t>
  </si>
  <si>
    <t>1 unit Document Scanner</t>
  </si>
  <si>
    <t>1 unit Document Shredder Machine</t>
  </si>
  <si>
    <t>1 unit Heavy Duty Fogging Machine</t>
  </si>
  <si>
    <t>1 unit Heavy Duty Paper Cutter (metal with stand)</t>
  </si>
  <si>
    <t>10 units Microphone Heavy Duty with 20 meters wire</t>
  </si>
  <si>
    <t>10 units Printer</t>
  </si>
  <si>
    <t>Printer, Panabo City SHS</t>
  </si>
  <si>
    <t>4 units Grass Cutter, Tagpore ES, Dalisay ES, Malativas ES, AOF ES II</t>
  </si>
  <si>
    <t>Musical Instrument, Panabo City NHS</t>
  </si>
  <si>
    <t>Camera with Accessories, Panabo City SHS</t>
  </si>
  <si>
    <t>Biometric Scanner, Cagangohan NHS</t>
  </si>
  <si>
    <t>1 unit DSLR Camera, Rizal ES</t>
  </si>
  <si>
    <t>City Environment And Natural Resources O</t>
  </si>
  <si>
    <t>Furniture and Fixtures-SLF</t>
  </si>
  <si>
    <t>Window Blinds</t>
  </si>
  <si>
    <t>Bids and Awards Committee-CCTV w/ Complete Accessories</t>
  </si>
  <si>
    <t>City Planning And Development Office</t>
  </si>
  <si>
    <t>1 set 1HP Multi Stage Booster Pump complete w/ pressure tank</t>
  </si>
  <si>
    <t>Billboards (Communicable and Non-Communicable Diseases Control Porgram)</t>
  </si>
  <si>
    <t>Road Right of Way Acquisition</t>
  </si>
  <si>
    <t>Community Development Fund-1 complete set Electronic basketball Scoreboard (San Pedro)</t>
  </si>
  <si>
    <t>Community Development Fund-1 unit Motorcycle (San Francisco)</t>
  </si>
  <si>
    <t>Gender And Development-1 unit Desktop Computer w/ Complete Accessories</t>
  </si>
  <si>
    <t>Gender And Development-1 unit Split Type Airconditioner</t>
  </si>
  <si>
    <t>Liga Ng Mga Barangay-1 unit Video Camera</t>
  </si>
  <si>
    <t>Support To Municipal Trial Court-1 unit Split Type Airconditioner</t>
  </si>
  <si>
    <t>Support To Public Attorney's Office-Furniture and Fixtures</t>
  </si>
  <si>
    <t>1 package Customized Legislative Record Management System w/ website</t>
  </si>
  <si>
    <t>1 unit Portable Sound System with Mic</t>
  </si>
  <si>
    <t>1 unit Utility Vehicle Double Cab (Surplus) add'l budget</t>
  </si>
  <si>
    <t>1 unit Digital indoor Soil pH Meter</t>
  </si>
  <si>
    <t>1 unit Microscope; optical</t>
  </si>
  <si>
    <t>1 unit Rostrum</t>
  </si>
  <si>
    <t>1 unit LCD Projector (Information Section)</t>
  </si>
  <si>
    <t>Community Development Fund-1 unit Desktop Computer (Brgy. Malativas)</t>
  </si>
  <si>
    <t>Community Development Fund-1 unit Sewing Machine (Brgy. Southern Davao)</t>
  </si>
  <si>
    <t>Community Development Fund-Fencing of Day Care Center II-Nanyo</t>
  </si>
  <si>
    <t>Liga Ng Mga Barangay-1 unit Portable Sound System</t>
  </si>
  <si>
    <t>Support To Bureau Of Jail Management-1 unit Desktop Computer</t>
  </si>
  <si>
    <t>Information and Communication Technology Equipment (Radio Room)</t>
  </si>
  <si>
    <t>Office Equipment (Radio Room)</t>
  </si>
  <si>
    <t>UNREVERTED APPROPRIATION/ALLOTMENT BALANCES OF PROGRAM/PROJECTS/ACTIVITIES</t>
  </si>
  <si>
    <t>Appropriation/ Allotment</t>
  </si>
  <si>
    <t>Balance</t>
  </si>
  <si>
    <t>Asphalting of Road, Citywide</t>
  </si>
  <si>
    <t>Embankment of Motorpool Area, Datu Abdul</t>
  </si>
  <si>
    <t>20% DF-Concreting of Road-Consolacion to Malativas, Consolacion</t>
  </si>
  <si>
    <t>Installation of Water Reservoir, Mabunao ES</t>
  </si>
  <si>
    <t>Construction of Comfort Room, Grade 7, Panabo NHS</t>
  </si>
  <si>
    <t>Improvement of Water System, Malativas NHS</t>
  </si>
  <si>
    <t>Construction of Coffin Crypt Buildings-Eternal Garden-Phase 10-Datu Abdul</t>
  </si>
  <si>
    <t>Fabrication of Concrete and Casket Lowering Device Assembly, Datu Abdul</t>
  </si>
  <si>
    <t>Construction of Two-Storey Building Beside ARF Boxing Gym-Additional, New Pandan</t>
  </si>
  <si>
    <t>Improvement of Stage, Panabo Business Center, New Pandan</t>
  </si>
  <si>
    <t>Rehabilitation of Quezon St. corner Quirino St. to JP Laurel St. with island component-add'l concreting of one lane, New Pandan</t>
  </si>
  <si>
    <t>Construction of Foot Bath at Slaughterhouse-Little Panay</t>
  </si>
  <si>
    <t>Construction of Guard House, Little Panay</t>
  </si>
  <si>
    <t>Installation of Re-enforced Concrete Pipe for Drainage Canal at Bus Terminal Annexed Area, New Pandan</t>
  </si>
  <si>
    <t>Asphalting of City Roads, Citywide</t>
  </si>
  <si>
    <t>Concreting of Farm to Market Road @ Brgy. Kiotoy-San Nicolas, San Nicolas</t>
  </si>
  <si>
    <t>Concreting of Road @ Prk 3, Salvacion</t>
  </si>
  <si>
    <t>Concreting of Road at Purok 6, Salvacion</t>
  </si>
  <si>
    <t>Construction of Legislative Building (Completion), JP Laurel</t>
  </si>
  <si>
    <t>Construction of Perimeter Fence at Panabo City Sports Complex-JP Laurel</t>
  </si>
  <si>
    <t>Rehabilitation of Tagpore-San Nicolas Road-Phase 2, Tagpore</t>
  </si>
  <si>
    <t>City Environment And Natural Resources Office</t>
  </si>
  <si>
    <t>Construction of  Material Recovery Facility, JP Laurel</t>
  </si>
  <si>
    <t>Site Development for Resettlement Areas-Citywide</t>
  </si>
  <si>
    <t>20% DF-Site Development for Resettlement Areas</t>
  </si>
  <si>
    <t>Construction of Extension of Eternal Garden Admin Building</t>
  </si>
  <si>
    <t>Improvement of Lawn Lots (2 Blocks) at Panabo City Eternal Garden</t>
  </si>
  <si>
    <t>Concreting of Roads at Central Market</t>
  </si>
  <si>
    <t>Construction of Handwash Area at Premiumed Market</t>
  </si>
  <si>
    <t>Rehabilitation of Drainage Canal at Central Market-New Pandan</t>
  </si>
  <si>
    <t>Rehabilitation of Stalls at Block 20 of Central Market-New Pandan (Phase2)-New Pandan</t>
  </si>
  <si>
    <t>Repair of Comfort Room at Dried Fish Area, Central Market</t>
  </si>
  <si>
    <t>Rehabilitation of Waste Water Treatment Facility (Slaughterhouse)-Little Panay</t>
  </si>
  <si>
    <t>Improvement of Bus and Jeepney Terminal Comfort Rooms</t>
  </si>
  <si>
    <t>Improvement of Inoculation Room-Tissue Laboratory-Datu Abdul</t>
  </si>
  <si>
    <t>Completion of ARF Stage-New Pandan</t>
  </si>
  <si>
    <t>Completion of Motorpool Building-Datu Abdul</t>
  </si>
  <si>
    <t>Construction of Barangay Stage-San Pedro</t>
  </si>
  <si>
    <t>Construction of Covered Court with Multi-Purpose Pavement at Dacudao-Phase 2</t>
  </si>
  <si>
    <t>Construction of Motorpool Repair Bay Building-Datu Abdul</t>
  </si>
  <si>
    <t>Construction of Perimeter Fence at Motorpool-Phase 3-Datu Abdul</t>
  </si>
  <si>
    <t>Other Infrastructure Assets (Completion/Operation of Asphalt Batching Plant)</t>
  </si>
  <si>
    <t>Re-blocking of Road-Citywide</t>
  </si>
  <si>
    <t>Road Concreting from Kauswagan to Landfill-Kauswagan</t>
  </si>
  <si>
    <t>20% DF-Road Rehabilitation-Citywide (including MRDP/DIDP Projects)</t>
  </si>
  <si>
    <t>20% DF-Construction of Gawad Kalinga Houses-Datu Abdul</t>
  </si>
  <si>
    <t>Rehabilitation of Public Market Comfort Rooms-New Pandan</t>
  </si>
  <si>
    <t>Rehabilitation of Stalls at Block 20 of Central Market-New Pandan</t>
  </si>
  <si>
    <t>Construction of Batching Plant Foundation</t>
  </si>
  <si>
    <t>Rehabilitation/Improvement of Multi-Purpose Building-Salvacion</t>
  </si>
  <si>
    <t>Renovation of Panabo City Teen Center with Fencing-New Pandan</t>
  </si>
  <si>
    <t>Livelihood Project-Construction of Poultry Building</t>
  </si>
  <si>
    <t>Construction/Establishment of Sanitary Landfill Facilities and Support Utilities-Waterfall</t>
  </si>
  <si>
    <t>Drilling of Water System-Manay</t>
  </si>
  <si>
    <t>No. of Projects</t>
  </si>
  <si>
    <t>No. of Non-Infra. Projects</t>
  </si>
  <si>
    <t>Various Book Adjustments</t>
  </si>
  <si>
    <t>TOTAL UNADJUSTED</t>
  </si>
  <si>
    <t>Province of Davao del Norte</t>
  </si>
  <si>
    <t>STATEMENT OF FINANCIAL POSITION</t>
  </si>
  <si>
    <t>(With Comparative Figures for CY 2021)</t>
  </si>
  <si>
    <t>(In Philippine Peso)</t>
  </si>
  <si>
    <t>ASSETS</t>
  </si>
  <si>
    <t>Current Assets</t>
  </si>
  <si>
    <t xml:space="preserve">    Cash and Cash Equivalents</t>
  </si>
  <si>
    <t xml:space="preserve">    Investments</t>
  </si>
  <si>
    <t xml:space="preserve">    Receivables</t>
  </si>
  <si>
    <t xml:space="preserve">    Inventories</t>
  </si>
  <si>
    <t xml:space="preserve">    Prepayments and Deferred Charges</t>
  </si>
  <si>
    <t>Total Current Assets</t>
  </si>
  <si>
    <t xml:space="preserve">    Non-Current Assets</t>
  </si>
  <si>
    <t xml:space="preserve">    Property, Plant and Equipment </t>
  </si>
  <si>
    <t xml:space="preserve">    Biological Assets</t>
  </si>
  <si>
    <t xml:space="preserve">    Intangible Assets</t>
  </si>
  <si>
    <t>Total Non-Current Assets</t>
  </si>
  <si>
    <t>Total Assets</t>
  </si>
  <si>
    <t>LIABILITIES</t>
  </si>
  <si>
    <t>Current Liabilities</t>
  </si>
  <si>
    <t xml:space="preserve">    Financial Liabilities</t>
  </si>
  <si>
    <t xml:space="preserve">    Inter-Agency Payables</t>
  </si>
  <si>
    <t xml:space="preserve">    Intra-Agency Payables</t>
  </si>
  <si>
    <t xml:space="preserve">    Trust Liabilities</t>
  </si>
  <si>
    <t xml:space="preserve">    Provisions</t>
  </si>
  <si>
    <t xml:space="preserve">    Deferred Credits/Unearned Income</t>
  </si>
  <si>
    <t xml:space="preserve">    Other Payables</t>
  </si>
  <si>
    <t>Total Current Liabilities</t>
  </si>
  <si>
    <t>Non-Current Liabilities</t>
  </si>
  <si>
    <t>Total Non-Current Liabilities</t>
  </si>
  <si>
    <t>Total Liabilities</t>
  </si>
  <si>
    <t>NET ASSETS/EQUITY</t>
  </si>
  <si>
    <t>Government Equity</t>
  </si>
  <si>
    <t>Total Liabilities and Net Assets/Equity</t>
  </si>
  <si>
    <t>STATEMENT OF FINANCIAL PERFORMANCE</t>
  </si>
  <si>
    <t>For the Year Ended December 31, 2022</t>
  </si>
  <si>
    <t xml:space="preserve">Revenue </t>
  </si>
  <si>
    <t xml:space="preserve">     Tax Revenue</t>
  </si>
  <si>
    <t>Share from Internal Revenue Collections</t>
  </si>
  <si>
    <t xml:space="preserve">     Other Shares from National Taxes</t>
  </si>
  <si>
    <t xml:space="preserve">     Service and Business Income</t>
  </si>
  <si>
    <t xml:space="preserve">     Shares, Grants and Donations</t>
  </si>
  <si>
    <t>Total Revenue</t>
  </si>
  <si>
    <t>Less: Current Operating Expenses</t>
  </si>
  <si>
    <t xml:space="preserve">      Personnel Services</t>
  </si>
  <si>
    <t>Maintenance &amp; Other Operating Expenses</t>
  </si>
  <si>
    <t xml:space="preserve">      Non-cash Expenses</t>
  </si>
  <si>
    <t xml:space="preserve">      Financial Expenses</t>
  </si>
  <si>
    <t>Current Operating Expenses</t>
  </si>
  <si>
    <t>Surplus (Deficit) from Current Operation</t>
  </si>
  <si>
    <t xml:space="preserve">      Add (Deduct): </t>
  </si>
  <si>
    <t>Transfers, Assistance and Subsidy From</t>
  </si>
  <si>
    <t xml:space="preserve">      Transfers, Assistance and Subsidy To</t>
  </si>
  <si>
    <t xml:space="preserve">      Miscellaneous Income</t>
  </si>
  <si>
    <t>Surplus(Deficit) for the period</t>
  </si>
  <si>
    <t>STATEMENT OF CHANGES IN NET ASSETS/EQUITY</t>
  </si>
  <si>
    <t xml:space="preserve">Balance at January 1 </t>
  </si>
  <si>
    <t>Add (Deduct):</t>
  </si>
  <si>
    <t>Changes in Accounting Policy</t>
  </si>
  <si>
    <t>Prior Period Errors</t>
  </si>
  <si>
    <t>Restated Balance</t>
  </si>
  <si>
    <t>Add (Deduct) Changes in net assets/equity during the year</t>
  </si>
  <si>
    <t>Surplus (Deficit) for the period</t>
  </si>
  <si>
    <t>Total changes during the year</t>
  </si>
  <si>
    <t>Balance at December 31, 2022</t>
  </si>
  <si>
    <t>STATEMENT OF CASH FLOWS</t>
  </si>
  <si>
    <t>Cash Flows from Operating Activities</t>
  </si>
  <si>
    <t>Cash Inflows</t>
  </si>
  <si>
    <t xml:space="preserve">     Collection from taxpayers</t>
  </si>
  <si>
    <t xml:space="preserve">     Share from Internal Revenue Allotment</t>
  </si>
  <si>
    <t xml:space="preserve">     Receipts from business/service income</t>
  </si>
  <si>
    <t xml:space="preserve">     Interest Income</t>
  </si>
  <si>
    <t xml:space="preserve">     Other Receipts</t>
  </si>
  <si>
    <t xml:space="preserve">    Total Cash Inflows</t>
  </si>
  <si>
    <t>Cash Outflows</t>
  </si>
  <si>
    <t>Payment of expenses</t>
  </si>
  <si>
    <t>Payments to suppliers and creditors</t>
  </si>
  <si>
    <t>Payments to employees</t>
  </si>
  <si>
    <t xml:space="preserve">    Interest Expense</t>
  </si>
  <si>
    <t xml:space="preserve">    Other Expenses</t>
  </si>
  <si>
    <t xml:space="preserve">    Total Cash Outflows</t>
  </si>
  <si>
    <t>Net Cash Flows from Operating Activities</t>
  </si>
  <si>
    <t>Cash Flow from Investing Activities</t>
  </si>
  <si>
    <t xml:space="preserve">Cash Inflows </t>
  </si>
  <si>
    <t xml:space="preserve">     Proceeds from Sale/Disposal of PPE</t>
  </si>
  <si>
    <t xml:space="preserve">     Total Cash Inflows</t>
  </si>
  <si>
    <t>Purchase/Construction of PPE</t>
  </si>
  <si>
    <t>Net Cash Flows from  Investing Activities</t>
  </si>
  <si>
    <t>Cash Flows from Financing Activities</t>
  </si>
  <si>
    <t>Proceeds from Domestic Loans</t>
  </si>
  <si>
    <t>Payment of Long-Term Liabilities</t>
  </si>
  <si>
    <t>Total Cash Provided by Operating, Investing</t>
  </si>
  <si>
    <t xml:space="preserve">               and Financing Activities</t>
  </si>
  <si>
    <t>Add: Cash at the Beginning of the year</t>
  </si>
  <si>
    <t>Cash Balance at the End of the Year</t>
  </si>
  <si>
    <t xml:space="preserve"> </t>
  </si>
  <si>
    <t xml:space="preserve">City Government of Panabo </t>
  </si>
  <si>
    <t>STATEMENT OF COMPARISON OF BUDGET AND ACTUAL AMOUNTS</t>
  </si>
  <si>
    <t xml:space="preserve">Budgeted </t>
  </si>
  <si>
    <t xml:space="preserve">Difference </t>
  </si>
  <si>
    <t>Actual Amounts</t>
  </si>
  <si>
    <t>Amounts</t>
  </si>
  <si>
    <t>Original and</t>
  </si>
  <si>
    <t xml:space="preserve">Final Budget </t>
  </si>
  <si>
    <t>Original</t>
  </si>
  <si>
    <t>Final</t>
  </si>
  <si>
    <t>and Actual</t>
  </si>
  <si>
    <t>Revenue</t>
  </si>
  <si>
    <t xml:space="preserve">A.  Local Sources </t>
  </si>
  <si>
    <t>1.  Tax Revenue</t>
  </si>
  <si>
    <t>a.  Tax Revenue - Property</t>
  </si>
  <si>
    <t>b. Tax Revenue - Goods and Services</t>
  </si>
  <si>
    <t>c.  Other Local Taxes</t>
  </si>
  <si>
    <t>Total Tax Revenue</t>
  </si>
  <si>
    <t>2.  Non-Tax Revenue</t>
  </si>
  <si>
    <t>a.  Service Income</t>
  </si>
  <si>
    <t>b.  Business Income</t>
  </si>
  <si>
    <t>c.  Other Income and Receipts</t>
  </si>
  <si>
    <t>Total Non-Tax Revenue</t>
  </si>
  <si>
    <t>B.  External Sources</t>
  </si>
  <si>
    <t>1.  Share from the National Internal Revenue Taxes (IRA)</t>
  </si>
  <si>
    <t>2.  Share from GOCCs</t>
  </si>
  <si>
    <t>3.  Other Shares from National Tax Collections</t>
  </si>
  <si>
    <t>a.  Share from Ecozone</t>
  </si>
  <si>
    <t>b.  Share from EVAT</t>
  </si>
  <si>
    <t>c.  Share from National Wealth</t>
  </si>
  <si>
    <t>d. Share from Tobacco Excise Tax</t>
  </si>
  <si>
    <t>4.  Other Receipts</t>
  </si>
  <si>
    <t>a.  Grants and Donations</t>
  </si>
  <si>
    <t>b.  Other Subsidy Income</t>
  </si>
  <si>
    <t>5.  Inter-local Transfer</t>
  </si>
  <si>
    <t>6.  Capital /Investment Receipts</t>
  </si>
  <si>
    <t>a.  Sale of Capital Assets</t>
  </si>
  <si>
    <t>b.  Sale of Investments</t>
  </si>
  <si>
    <t>c.  Proceeds from Collections of Loan Receivable</t>
  </si>
  <si>
    <t>C. Receipts from Borrowings</t>
  </si>
  <si>
    <t>Total Revenue and Receipts</t>
  </si>
  <si>
    <t xml:space="preserve">Expenditures </t>
  </si>
  <si>
    <t>Current Aprropriations</t>
  </si>
  <si>
    <t>General Public Services</t>
  </si>
  <si>
    <t>Personnel Services</t>
  </si>
  <si>
    <t>Maintenance and Other Operating Expenses</t>
  </si>
  <si>
    <t>Capital Outlay</t>
  </si>
  <si>
    <t>Education</t>
  </si>
  <si>
    <t>Health, Nutrition and Population Control</t>
  </si>
  <si>
    <t>Labor and Employment</t>
  </si>
  <si>
    <t>Housing and Community Development</t>
  </si>
  <si>
    <t>Social Services and Social Welfare</t>
  </si>
  <si>
    <t>Economic Services</t>
  </si>
  <si>
    <t>Other Purposes:</t>
  </si>
  <si>
    <t>Debt Service</t>
  </si>
  <si>
    <t>Financial Expense</t>
  </si>
  <si>
    <t>Amortization</t>
  </si>
  <si>
    <t>LDRRMF</t>
  </si>
  <si>
    <t>20% Development Fund</t>
  </si>
  <si>
    <t>Share from National Wealth</t>
  </si>
  <si>
    <t>Allocation for Senior Citizens and PWD</t>
  </si>
  <si>
    <t>Others</t>
  </si>
  <si>
    <t>Total Current Appropriations</t>
  </si>
  <si>
    <t>Continuing Appropriations</t>
  </si>
  <si>
    <t>Total Continuing Approrpiations</t>
  </si>
  <si>
    <t>Total Appropriations</t>
  </si>
  <si>
    <t xml:space="preserve">Surplus (Deficit) for the current period </t>
  </si>
  <si>
    <t>Special Educational Fund</t>
  </si>
  <si>
    <t>Expenditures</t>
  </si>
  <si>
    <t>Total Current Approrpiations</t>
  </si>
  <si>
    <t>Continuing Aprropriations</t>
  </si>
  <si>
    <t xml:space="preserve">     Purchase/Construction of PPE</t>
  </si>
  <si>
    <t xml:space="preserve">     Proceeds from Domestic Loans</t>
  </si>
  <si>
    <t xml:space="preserve">     Payment of Long-Term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</si>
</sst>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0_);_(* \(#,##0.00\);_(* &quot;-&quot;??_);_(@_)"/>
    <numFmt numFmtId="165" formatCode="mmm&quot; &quot;d&quot;, &quot;yyyy"/>
    <numFmt numFmtId="166" formatCode="#,##0.00;\(#,##0.00\)"/>
    <numFmt numFmtId="167" formatCode="#,##0.00;[Red]#,##0.00"/>
    <numFmt numFmtId="168" formatCode="[$-409]mmmm\ d\,\ yyyy;@"/>
    <numFmt numFmtId="169" formatCode="[$-3409]dd\-mmm\-yy;@"/>
    <numFmt numFmtId="170" formatCode="mm/dd/yy;@"/>
    <numFmt numFmtId="171" formatCode="mm/dd/yyyy;@"/>
    <numFmt numFmtId="172" formatCode="#,##0.00_);\-#,##0.00"/>
    <numFmt numFmtId="173" formatCode="#,##0.00_ ;\-#,##0.00\ "/>
    <numFmt numFmtId="174" formatCode="#,##0.00;[Black]\(#,##0.00\)"/>
  </numFmts>
  <fonts count="54" x14ac:knownFonts="1">
    <font>
      <sz val="11"/>
      <color theme="1"/>
      <name val="Calibri"/>
      <family val="2"/>
      <scheme val="minor"/>
    </font>
    <font>
      <sz val="11"/>
      <color theme="1"/>
      <name val="Calibri"/>
      <family val="2"/>
      <scheme val="minor"/>
    </font>
    <font>
      <sz val="12"/>
      <name val="Times New Roman"/>
      <family val="1"/>
    </font>
    <font>
      <b/>
      <sz val="12"/>
      <name val="Times New Roman"/>
      <family val="1"/>
    </font>
    <font>
      <sz val="10"/>
      <color theme="1"/>
      <name val="Times New Roman"/>
      <family val="1"/>
    </font>
    <font>
      <b/>
      <sz val="10"/>
      <color theme="1"/>
      <name val="Times New Roman"/>
      <family val="1"/>
    </font>
    <font>
      <b/>
      <sz val="10"/>
      <color indexed="8"/>
      <name val="Times New Roman"/>
      <family val="1"/>
    </font>
    <font>
      <sz val="10"/>
      <color indexed="8"/>
      <name val="Times New Roman"/>
      <family val="1"/>
    </font>
    <font>
      <sz val="12"/>
      <color theme="1"/>
      <name val="Times New Roman"/>
      <family val="1"/>
    </font>
    <font>
      <b/>
      <sz val="12"/>
      <color theme="1"/>
      <name val="Times New Roman"/>
      <family val="1"/>
    </font>
    <font>
      <sz val="12"/>
      <color rgb="FFFF0000"/>
      <name val="Times New Roman"/>
      <family val="1"/>
    </font>
    <font>
      <b/>
      <i/>
      <sz val="12"/>
      <color theme="1"/>
      <name val="Times New Roman"/>
      <family val="1"/>
    </font>
    <font>
      <i/>
      <sz val="12"/>
      <color theme="1"/>
      <name val="Times New Roman"/>
      <family val="1"/>
    </font>
    <font>
      <sz val="12"/>
      <color theme="1"/>
      <name val="Calibri"/>
      <family val="2"/>
      <scheme val="minor"/>
    </font>
    <font>
      <sz val="7"/>
      <color theme="1"/>
      <name val="Times New Roman"/>
      <family val="1"/>
    </font>
    <font>
      <sz val="8"/>
      <color theme="1"/>
      <name val="Calibri"/>
      <family val="2"/>
      <scheme val="minor"/>
    </font>
    <font>
      <sz val="11"/>
      <color theme="1"/>
      <name val="Times New Roman"/>
      <family val="1"/>
    </font>
    <font>
      <b/>
      <i/>
      <sz val="10"/>
      <name val="Times New Roman"/>
      <family val="1"/>
    </font>
    <font>
      <b/>
      <i/>
      <sz val="10"/>
      <color theme="1"/>
      <name val="Times New Roman"/>
      <family val="1"/>
    </font>
    <font>
      <sz val="10"/>
      <color theme="9" tint="-0.499984740745262"/>
      <name val="Times New Roman"/>
      <family val="1"/>
    </font>
    <font>
      <sz val="10"/>
      <color theme="8" tint="-0.499984740745262"/>
      <name val="Times New Roman"/>
      <family val="1"/>
    </font>
    <font>
      <sz val="10"/>
      <color rgb="FF7030A0"/>
      <name val="Times New Roman"/>
      <family val="1"/>
    </font>
    <font>
      <sz val="10"/>
      <color theme="5" tint="-0.499984740745262"/>
      <name val="Times New Roman"/>
      <family val="1"/>
    </font>
    <font>
      <sz val="14"/>
      <name val="Times New Roman"/>
      <family val="1"/>
    </font>
    <font>
      <b/>
      <sz val="14"/>
      <name val="Times New Roman"/>
      <family val="1"/>
    </font>
    <font>
      <sz val="10"/>
      <color indexed="8"/>
      <name val="MS Sans Serif"/>
      <family val="2"/>
    </font>
    <font>
      <sz val="11"/>
      <color indexed="8"/>
      <name val="Times New Roman"/>
      <family val="1"/>
    </font>
    <font>
      <b/>
      <sz val="11"/>
      <color indexed="8"/>
      <name val="Times New Roman"/>
      <family val="1"/>
    </font>
    <font>
      <sz val="11"/>
      <color rgb="FFFF0000"/>
      <name val="Times New Roman"/>
      <family val="1"/>
    </font>
    <font>
      <sz val="11"/>
      <name val="Times New Roman"/>
      <family val="1"/>
    </font>
    <font>
      <b/>
      <sz val="11"/>
      <color theme="1"/>
      <name val="Times New Roman"/>
      <family val="1"/>
    </font>
    <font>
      <i/>
      <sz val="11"/>
      <color theme="1"/>
      <name val="Times New Roman"/>
      <family val="1"/>
    </font>
    <font>
      <b/>
      <sz val="11"/>
      <color rgb="FFFF0000"/>
      <name val="Times New Roman"/>
      <family val="1"/>
    </font>
    <font>
      <b/>
      <sz val="11"/>
      <name val="Times New Roman"/>
      <family val="1"/>
    </font>
    <font>
      <i/>
      <vertAlign val="superscript"/>
      <sz val="11"/>
      <color theme="1"/>
      <name val="Times New Roman"/>
      <family val="1"/>
    </font>
    <font>
      <b/>
      <i/>
      <sz val="11"/>
      <color theme="1"/>
      <name val="Times New Roman"/>
      <family val="1"/>
    </font>
    <font>
      <i/>
      <sz val="11"/>
      <name val="Times New Roman"/>
      <family val="1"/>
    </font>
    <font>
      <sz val="10"/>
      <name val="Times New Roman"/>
      <family val="1"/>
    </font>
    <font>
      <sz val="11"/>
      <color rgb="FFFF0000"/>
      <name val="Calibri"/>
      <family val="2"/>
      <scheme val="minor"/>
    </font>
    <font>
      <b/>
      <sz val="11"/>
      <color theme="1"/>
      <name val="Calibri"/>
      <family val="2"/>
      <scheme val="minor"/>
    </font>
    <font>
      <b/>
      <sz val="14"/>
      <color theme="1"/>
      <name val="Times New Roman"/>
      <family val="1"/>
    </font>
    <font>
      <sz val="14"/>
      <color theme="1"/>
      <name val="Times New Roman"/>
      <family val="1"/>
    </font>
    <font>
      <i/>
      <sz val="14"/>
      <color theme="1"/>
      <name val="Times New Roman"/>
      <family val="1"/>
    </font>
    <font>
      <sz val="11"/>
      <color theme="0" tint="-0.249977111117893"/>
      <name val="Calibri"/>
      <family val="2"/>
      <scheme val="minor"/>
    </font>
    <font>
      <sz val="11"/>
      <color theme="0" tint="-0.249977111117893"/>
      <name val="Times New Roman"/>
      <family val="1"/>
    </font>
    <font>
      <b/>
      <sz val="11"/>
      <color theme="0" tint="-0.249977111117893"/>
      <name val="Times New Roman"/>
      <family val="1"/>
    </font>
    <font>
      <sz val="10"/>
      <color theme="1"/>
      <name val="Verdana"/>
      <family val="2"/>
    </font>
    <font>
      <sz val="10"/>
      <color theme="0" tint="-0.249977111117893"/>
      <name val="Verdana"/>
      <family val="2"/>
    </font>
    <font>
      <sz val="11"/>
      <color theme="0" tint="-0.14999847407452621"/>
      <name val="Calibri"/>
      <family val="2"/>
      <scheme val="minor"/>
    </font>
    <font>
      <sz val="12"/>
      <color theme="0" tint="-0.14999847407452621"/>
      <name val="Calibri"/>
      <family val="2"/>
      <scheme val="minor"/>
    </font>
    <font>
      <b/>
      <sz val="12"/>
      <color rgb="FF010202"/>
      <name val="Times New Roman"/>
      <family val="1"/>
    </font>
    <font>
      <sz val="11"/>
      <name val="Calibri"/>
      <family val="2"/>
      <scheme val="minor"/>
    </font>
    <font>
      <sz val="10"/>
      <name val="Arial"/>
      <family val="2"/>
    </font>
    <font>
      <sz val="11"/>
      <color theme="0"/>
      <name val="Calibri"/>
      <family val="2"/>
      <scheme val="minor"/>
    </font>
  </fonts>
  <fills count="15">
    <fill>
      <patternFill patternType="none"/>
    </fill>
    <fill>
      <patternFill patternType="gray125"/>
    </fill>
    <fill>
      <patternFill patternType="solid">
        <fgColor theme="8"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s>
  <borders count="59">
    <border>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style="thin">
        <color indexed="64"/>
      </top>
      <bottom style="double">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top style="medium">
        <color indexed="64"/>
      </top>
      <bottom style="double">
        <color indexed="64"/>
      </bottom>
      <diagonal/>
    </border>
    <border>
      <left style="medium">
        <color indexed="64"/>
      </left>
      <right/>
      <top style="medium">
        <color indexed="64"/>
      </top>
      <bottom style="double">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double">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25" fillId="0" borderId="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52" fillId="0" borderId="0" applyFont="0" applyFill="0" applyBorder="0" applyAlignment="0" applyProtection="0"/>
    <xf numFmtId="0" fontId="52" fillId="0" borderId="0"/>
    <xf numFmtId="164" fontId="1" fillId="0" borderId="0" applyFont="0" applyFill="0" applyBorder="0" applyAlignment="0" applyProtection="0"/>
  </cellStyleXfs>
  <cellXfs count="892">
    <xf numFmtId="0" fontId="0" fillId="0" borderId="0" xfId="0"/>
    <xf numFmtId="0" fontId="2" fillId="0" borderId="0" xfId="0" applyFont="1"/>
    <xf numFmtId="0" fontId="3" fillId="0" borderId="0" xfId="0" applyFont="1"/>
    <xf numFmtId="0" fontId="2"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xf>
    <xf numFmtId="0" fontId="5" fillId="0" borderId="0" xfId="0" applyFont="1" applyAlignment="1">
      <alignment vertical="center"/>
    </xf>
    <xf numFmtId="0" fontId="6" fillId="0" borderId="6" xfId="0" applyFont="1" applyBorder="1" applyAlignment="1">
      <alignment horizontal="center" vertical="center" wrapText="1"/>
    </xf>
    <xf numFmtId="0" fontId="8" fillId="0" borderId="0" xfId="0" applyFont="1" applyAlignment="1">
      <alignment wrapText="1"/>
    </xf>
    <xf numFmtId="0" fontId="9" fillId="0" borderId="0" xfId="0" applyFont="1" applyAlignment="1">
      <alignment horizontal="right"/>
    </xf>
    <xf numFmtId="0" fontId="8" fillId="0" borderId="0" xfId="0" applyFont="1"/>
    <xf numFmtId="0" fontId="9" fillId="0" borderId="0" xfId="0" applyFont="1"/>
    <xf numFmtId="0" fontId="8" fillId="0" borderId="6" xfId="0" applyFont="1" applyBorder="1" applyAlignment="1">
      <alignment horizontal="center" vertical="top" wrapText="1"/>
    </xf>
    <xf numFmtId="43" fontId="8" fillId="0" borderId="0" xfId="1" applyFont="1"/>
    <xf numFmtId="0" fontId="8" fillId="0" borderId="0" xfId="0" applyFont="1" applyAlignment="1">
      <alignment vertical="center"/>
    </xf>
    <xf numFmtId="0" fontId="0" fillId="0" borderId="0" xfId="0" applyAlignment="1">
      <alignment horizontal="center" vertical="top"/>
    </xf>
    <xf numFmtId="0" fontId="9" fillId="0" borderId="0" xfId="0" applyFont="1" applyAlignment="1">
      <alignment vertical="center"/>
    </xf>
    <xf numFmtId="0" fontId="0" fillId="0" borderId="10" xfId="0" applyBorder="1"/>
    <xf numFmtId="0" fontId="8" fillId="0" borderId="10" xfId="0" applyFont="1" applyBorder="1"/>
    <xf numFmtId="0" fontId="0" fillId="0" borderId="10" xfId="0" applyBorder="1" applyAlignment="1">
      <alignment horizontal="center" vertical="top"/>
    </xf>
    <xf numFmtId="0" fontId="9" fillId="0" borderId="14" xfId="0" applyFont="1" applyBorder="1" applyAlignment="1">
      <alignment horizontal="center" wrapText="1"/>
    </xf>
    <xf numFmtId="0" fontId="9" fillId="0" borderId="14" xfId="0" applyFont="1" applyBorder="1" applyAlignment="1">
      <alignment horizontal="center" vertical="top" wrapText="1"/>
    </xf>
    <xf numFmtId="0" fontId="9" fillId="0" borderId="17" xfId="0" applyFont="1" applyBorder="1" applyAlignment="1">
      <alignment horizontal="center" vertical="center" wrapText="1"/>
    </xf>
    <xf numFmtId="0" fontId="8" fillId="0" borderId="17" xfId="0" applyFont="1" applyBorder="1" applyAlignment="1">
      <alignment horizontal="center" vertical="top" wrapText="1"/>
    </xf>
    <xf numFmtId="0" fontId="8" fillId="0" borderId="19" xfId="0" applyFont="1" applyBorder="1" applyAlignment="1">
      <alignment vertical="center" wrapText="1"/>
    </xf>
    <xf numFmtId="0" fontId="8" fillId="0" borderId="20" xfId="0" applyFont="1" applyBorder="1" applyAlignment="1">
      <alignment vertical="center" wrapText="1"/>
    </xf>
    <xf numFmtId="0" fontId="8" fillId="0" borderId="0" xfId="0" applyFont="1" applyAlignment="1">
      <alignment vertical="center" wrapText="1"/>
    </xf>
    <xf numFmtId="4" fontId="8" fillId="0" borderId="21" xfId="0" applyNumberFormat="1" applyFont="1" applyBorder="1" applyAlignment="1">
      <alignment vertical="center" wrapText="1"/>
    </xf>
    <xf numFmtId="10" fontId="8" fillId="0" borderId="21" xfId="0" applyNumberFormat="1" applyFont="1" applyBorder="1" applyAlignment="1">
      <alignment horizontal="center" vertical="top" wrapText="1"/>
    </xf>
    <xf numFmtId="0" fontId="8" fillId="0" borderId="21" xfId="0" applyFont="1" applyBorder="1" applyAlignment="1">
      <alignment horizontal="center" vertical="top" wrapText="1"/>
    </xf>
    <xf numFmtId="0" fontId="8" fillId="0" borderId="7" xfId="0" applyFont="1" applyBorder="1" applyAlignment="1">
      <alignment vertical="center" wrapText="1"/>
    </xf>
    <xf numFmtId="0" fontId="8" fillId="0" borderId="9" xfId="0" applyFont="1" applyBorder="1" applyAlignment="1">
      <alignment vertical="center" wrapText="1"/>
    </xf>
    <xf numFmtId="0" fontId="9" fillId="0" borderId="8" xfId="0" applyFont="1" applyBorder="1" applyAlignment="1">
      <alignment vertical="center" wrapText="1"/>
    </xf>
    <xf numFmtId="4" fontId="9" fillId="0" borderId="6" xfId="0" applyNumberFormat="1" applyFont="1" applyBorder="1" applyAlignment="1">
      <alignment horizontal="right" vertical="center" wrapText="1"/>
    </xf>
    <xf numFmtId="0" fontId="8" fillId="0" borderId="19" xfId="0" applyFont="1" applyBorder="1"/>
    <xf numFmtId="4" fontId="8" fillId="0" borderId="21" xfId="0" applyNumberFormat="1" applyFont="1" applyBorder="1" applyAlignment="1">
      <alignment horizontal="right" vertical="center" wrapText="1"/>
    </xf>
    <xf numFmtId="0" fontId="12" fillId="0" borderId="21" xfId="0" applyFont="1" applyBorder="1" applyAlignment="1">
      <alignment horizontal="right" vertical="center" wrapText="1"/>
    </xf>
    <xf numFmtId="0" fontId="11" fillId="0" borderId="6" xfId="0" applyFont="1" applyBorder="1" applyAlignment="1">
      <alignment horizontal="center" vertical="top" wrapText="1"/>
    </xf>
    <xf numFmtId="0" fontId="8" fillId="0" borderId="19" xfId="0" applyFont="1" applyBorder="1" applyAlignment="1">
      <alignment vertical="top" wrapText="1"/>
    </xf>
    <xf numFmtId="0" fontId="8" fillId="0" borderId="20" xfId="0" applyFont="1" applyBorder="1" applyAlignment="1">
      <alignment vertical="top" wrapText="1"/>
    </xf>
    <xf numFmtId="0" fontId="8" fillId="0" borderId="21" xfId="0" applyFont="1" applyBorder="1" applyAlignment="1">
      <alignment vertical="center" wrapText="1"/>
    </xf>
    <xf numFmtId="0" fontId="12" fillId="0" borderId="20" xfId="0" applyFont="1" applyBorder="1" applyAlignment="1">
      <alignment vertical="center" wrapText="1"/>
    </xf>
    <xf numFmtId="0" fontId="0" fillId="0" borderId="20" xfId="0" applyBorder="1"/>
    <xf numFmtId="0" fontId="0" fillId="0" borderId="20" xfId="0" applyBorder="1" applyAlignment="1">
      <alignment vertical="top" wrapText="1"/>
    </xf>
    <xf numFmtId="0" fontId="9" fillId="11" borderId="7" xfId="0" applyFont="1" applyFill="1" applyBorder="1" applyAlignment="1">
      <alignment vertical="center" wrapText="1"/>
    </xf>
    <xf numFmtId="0" fontId="9" fillId="11" borderId="9" xfId="0" applyFont="1" applyFill="1" applyBorder="1" applyAlignment="1">
      <alignment vertical="center" wrapText="1"/>
    </xf>
    <xf numFmtId="0" fontId="9" fillId="11" borderId="8" xfId="0" applyFont="1" applyFill="1" applyBorder="1" applyAlignment="1">
      <alignment vertical="center" wrapText="1"/>
    </xf>
    <xf numFmtId="4" fontId="9" fillId="11" borderId="6" xfId="0" applyNumberFormat="1" applyFont="1" applyFill="1" applyBorder="1" applyAlignment="1">
      <alignment horizontal="right" vertical="center" wrapText="1"/>
    </xf>
    <xf numFmtId="0" fontId="9" fillId="11" borderId="6" xfId="0" applyFont="1" applyFill="1" applyBorder="1" applyAlignment="1">
      <alignment horizontal="center" vertical="top" wrapText="1"/>
    </xf>
    <xf numFmtId="0" fontId="0" fillId="0" borderId="21" xfId="0" applyBorder="1"/>
    <xf numFmtId="4" fontId="8" fillId="0" borderId="21" xfId="0" applyNumberFormat="1" applyFont="1" applyBorder="1" applyAlignment="1">
      <alignment horizontal="right" vertical="top" wrapText="1"/>
    </xf>
    <xf numFmtId="0" fontId="8" fillId="12" borderId="7" xfId="0" applyFont="1" applyFill="1" applyBorder="1" applyAlignment="1">
      <alignment vertical="center" wrapText="1"/>
    </xf>
    <xf numFmtId="0" fontId="9" fillId="12" borderId="9" xfId="0" applyFont="1" applyFill="1" applyBorder="1" applyAlignment="1">
      <alignment vertical="center" wrapText="1"/>
    </xf>
    <xf numFmtId="0" fontId="9" fillId="12" borderId="8" xfId="0" applyFont="1" applyFill="1" applyBorder="1" applyAlignment="1">
      <alignment vertical="center" wrapText="1"/>
    </xf>
    <xf numFmtId="0" fontId="8" fillId="12" borderId="8" xfId="0" applyFont="1" applyFill="1" applyBorder="1" applyAlignment="1">
      <alignment vertical="center" wrapText="1"/>
    </xf>
    <xf numFmtId="4" fontId="9" fillId="12" borderId="6" xfId="0" applyNumberFormat="1" applyFont="1" applyFill="1" applyBorder="1" applyAlignment="1">
      <alignment horizontal="right" vertical="center" wrapText="1"/>
    </xf>
    <xf numFmtId="0" fontId="8" fillId="12" borderId="6" xfId="0" applyFont="1" applyFill="1" applyBorder="1" applyAlignment="1">
      <alignment horizontal="center" vertical="top" wrapText="1"/>
    </xf>
    <xf numFmtId="4" fontId="8" fillId="0" borderId="22" xfId="0" applyNumberFormat="1" applyFont="1" applyBorder="1" applyAlignment="1">
      <alignment vertical="center" wrapText="1"/>
    </xf>
    <xf numFmtId="0" fontId="8" fillId="0" borderId="22" xfId="0" applyFont="1" applyBorder="1" applyAlignment="1">
      <alignment horizontal="center" vertical="top" wrapText="1"/>
    </xf>
    <xf numFmtId="9" fontId="8" fillId="0" borderId="21" xfId="0" applyNumberFormat="1" applyFont="1" applyBorder="1" applyAlignment="1">
      <alignment horizontal="center" vertical="top" wrapText="1"/>
    </xf>
    <xf numFmtId="0" fontId="9" fillId="0" borderId="0" xfId="0" applyFont="1" applyAlignment="1">
      <alignment vertical="center" wrapText="1"/>
    </xf>
    <xf numFmtId="4" fontId="9" fillId="0" borderId="21" xfId="0" applyNumberFormat="1" applyFont="1" applyBorder="1" applyAlignment="1">
      <alignment horizontal="right" vertical="center" wrapText="1"/>
    </xf>
    <xf numFmtId="0" fontId="0" fillId="0" borderId="19" xfId="0" applyBorder="1"/>
    <xf numFmtId="0" fontId="8" fillId="0" borderId="0" xfId="0" applyFont="1" applyAlignment="1">
      <alignment vertical="top" wrapText="1"/>
    </xf>
    <xf numFmtId="4" fontId="8" fillId="0" borderId="21" xfId="0" applyNumberFormat="1" applyFont="1" applyBorder="1" applyAlignment="1">
      <alignment vertical="top" wrapText="1"/>
    </xf>
    <xf numFmtId="4" fontId="8" fillId="0" borderId="5" xfId="0" applyNumberFormat="1" applyFont="1" applyBorder="1" applyAlignment="1">
      <alignment vertical="center" wrapText="1"/>
    </xf>
    <xf numFmtId="0" fontId="8" fillId="12" borderId="19" xfId="0" applyFont="1" applyFill="1" applyBorder="1" applyAlignment="1">
      <alignment vertical="center" wrapText="1"/>
    </xf>
    <xf numFmtId="0" fontId="9" fillId="12" borderId="19" xfId="0" applyFont="1" applyFill="1" applyBorder="1" applyAlignment="1">
      <alignment vertical="center" wrapText="1"/>
    </xf>
    <xf numFmtId="0" fontId="9" fillId="12" borderId="0" xfId="0" applyFont="1" applyFill="1" applyAlignment="1">
      <alignment vertical="center" wrapText="1"/>
    </xf>
    <xf numFmtId="4" fontId="9" fillId="12" borderId="21" xfId="0" applyNumberFormat="1" applyFont="1" applyFill="1" applyBorder="1" applyAlignment="1">
      <alignment horizontal="right" vertical="center" wrapText="1"/>
    </xf>
    <xf numFmtId="4" fontId="9" fillId="12" borderId="22" xfId="0" applyNumberFormat="1" applyFont="1" applyFill="1" applyBorder="1" applyAlignment="1">
      <alignment horizontal="right" vertical="center" wrapText="1"/>
    </xf>
    <xf numFmtId="0" fontId="9" fillId="12" borderId="22" xfId="0" applyFont="1" applyFill="1" applyBorder="1" applyAlignment="1">
      <alignment horizontal="center" vertical="top" wrapText="1"/>
    </xf>
    <xf numFmtId="0" fontId="8" fillId="0" borderId="0" xfId="0" applyFont="1" applyAlignment="1">
      <alignment horizontal="justify" vertical="center" wrapText="1"/>
    </xf>
    <xf numFmtId="10" fontId="8" fillId="0" borderId="22" xfId="0" applyNumberFormat="1" applyFont="1" applyBorder="1" applyAlignment="1">
      <alignment horizontal="center" vertical="top" wrapText="1"/>
    </xf>
    <xf numFmtId="0" fontId="9" fillId="0" borderId="8" xfId="0" applyFont="1" applyBorder="1" applyAlignment="1">
      <alignment horizontal="justify" vertical="center" wrapText="1"/>
    </xf>
    <xf numFmtId="0" fontId="8" fillId="0" borderId="0" xfId="0" applyFont="1" applyAlignment="1">
      <alignment horizontal="left" vertical="center" wrapText="1" indent="2"/>
    </xf>
    <xf numFmtId="0" fontId="9" fillId="12" borderId="7" xfId="0" applyFont="1" applyFill="1" applyBorder="1" applyAlignment="1">
      <alignment vertical="center" wrapText="1"/>
    </xf>
    <xf numFmtId="0" fontId="9" fillId="12" borderId="8" xfId="0" applyFont="1" applyFill="1" applyBorder="1" applyAlignment="1">
      <alignment horizontal="justify" vertical="center" wrapText="1"/>
    </xf>
    <xf numFmtId="0" fontId="12" fillId="11" borderId="1" xfId="0" applyFont="1" applyFill="1" applyBorder="1" applyAlignment="1">
      <alignment vertical="center" wrapText="1"/>
    </xf>
    <xf numFmtId="0" fontId="9" fillId="11" borderId="3" xfId="0" applyFont="1" applyFill="1" applyBorder="1" applyAlignment="1">
      <alignment vertical="center" wrapText="1"/>
    </xf>
    <xf numFmtId="0" fontId="9" fillId="11" borderId="1" xfId="0" applyFont="1" applyFill="1" applyBorder="1" applyAlignment="1">
      <alignment vertical="center" wrapText="1"/>
    </xf>
    <xf numFmtId="0" fontId="11" fillId="11" borderId="2" xfId="0" applyFont="1" applyFill="1" applyBorder="1" applyAlignment="1">
      <alignment horizontal="justify" vertical="center" wrapText="1"/>
    </xf>
    <xf numFmtId="4" fontId="9" fillId="11" borderId="4" xfId="0" applyNumberFormat="1" applyFont="1" applyFill="1" applyBorder="1" applyAlignment="1">
      <alignment horizontal="right" vertical="center" wrapText="1"/>
    </xf>
    <xf numFmtId="0" fontId="12" fillId="11" borderId="4" xfId="0" applyFont="1" applyFill="1" applyBorder="1" applyAlignment="1">
      <alignment horizontal="center" vertical="top" wrapText="1"/>
    </xf>
    <xf numFmtId="0" fontId="9" fillId="9" borderId="23" xfId="0" applyFont="1" applyFill="1" applyBorder="1" applyAlignment="1">
      <alignment vertical="center" wrapText="1"/>
    </xf>
    <xf numFmtId="0" fontId="9" fillId="9" borderId="24" xfId="0" applyFont="1" applyFill="1" applyBorder="1" applyAlignment="1">
      <alignment vertical="center" wrapText="1"/>
    </xf>
    <xf numFmtId="0" fontId="9" fillId="9" borderId="25" xfId="0" applyFont="1" applyFill="1" applyBorder="1" applyAlignment="1">
      <alignment horizontal="center" vertical="center" wrapText="1"/>
    </xf>
    <xf numFmtId="4" fontId="9" fillId="9" borderId="26" xfId="0" applyNumberFormat="1" applyFont="1" applyFill="1" applyBorder="1" applyAlignment="1">
      <alignment horizontal="right" vertical="center" wrapText="1"/>
    </xf>
    <xf numFmtId="0" fontId="9" fillId="9" borderId="26" xfId="0" applyFont="1" applyFill="1" applyBorder="1" applyAlignment="1">
      <alignment horizontal="center" vertical="top" wrapText="1"/>
    </xf>
    <xf numFmtId="0" fontId="15" fillId="0" borderId="0" xfId="0" applyFont="1" applyAlignment="1">
      <alignment vertical="center"/>
    </xf>
    <xf numFmtId="0" fontId="4" fillId="0" borderId="0" xfId="0" applyFont="1" applyAlignment="1">
      <alignment vertical="top"/>
    </xf>
    <xf numFmtId="0" fontId="4" fillId="0" borderId="0" xfId="0" applyFont="1" applyAlignment="1">
      <alignment horizontal="center"/>
    </xf>
    <xf numFmtId="0" fontId="4" fillId="0" borderId="0" xfId="0" applyFont="1"/>
    <xf numFmtId="0" fontId="5" fillId="0" borderId="0" xfId="0" applyFont="1" applyAlignment="1">
      <alignment vertical="top"/>
    </xf>
    <xf numFmtId="0" fontId="17" fillId="7" borderId="7" xfId="0" applyFont="1" applyFill="1" applyBorder="1" applyAlignment="1">
      <alignment vertical="top"/>
    </xf>
    <xf numFmtId="0" fontId="6" fillId="7" borderId="6" xfId="0" applyFont="1" applyFill="1" applyBorder="1" applyAlignment="1">
      <alignment horizontal="center" vertical="top" wrapText="1"/>
    </xf>
    <xf numFmtId="0" fontId="4" fillId="0" borderId="6" xfId="0" applyFont="1" applyBorder="1" applyAlignment="1">
      <alignment vertical="top"/>
    </xf>
    <xf numFmtId="0" fontId="4" fillId="0" borderId="6" xfId="0" applyFont="1" applyBorder="1" applyAlignment="1">
      <alignment vertical="top" wrapText="1"/>
    </xf>
    <xf numFmtId="0" fontId="17" fillId="7" borderId="6" xfId="0" applyFont="1" applyFill="1" applyBorder="1" applyAlignment="1">
      <alignment vertical="top"/>
    </xf>
    <xf numFmtId="0" fontId="4" fillId="7" borderId="6" xfId="0" applyFont="1" applyFill="1" applyBorder="1" applyAlignment="1">
      <alignment vertical="top"/>
    </xf>
    <xf numFmtId="0" fontId="18" fillId="7" borderId="6" xfId="0" applyFont="1" applyFill="1" applyBorder="1" applyAlignment="1">
      <alignment vertical="top"/>
    </xf>
    <xf numFmtId="0" fontId="4" fillId="0" borderId="0" xfId="0" applyFont="1" applyAlignment="1">
      <alignment horizontal="left" vertical="top"/>
    </xf>
    <xf numFmtId="0" fontId="4" fillId="0" borderId="0" xfId="0" applyFont="1" applyAlignment="1">
      <alignment vertical="top" wrapText="1"/>
    </xf>
    <xf numFmtId="0" fontId="5" fillId="0" borderId="6" xfId="0" applyFont="1" applyBorder="1" applyAlignment="1">
      <alignment horizontal="center" vertical="center"/>
    </xf>
    <xf numFmtId="0" fontId="6" fillId="0" borderId="6" xfId="0" applyFont="1" applyBorder="1" applyAlignment="1">
      <alignment horizontal="center" vertical="center"/>
    </xf>
    <xf numFmtId="0" fontId="19" fillId="0" borderId="6" xfId="0" applyFont="1" applyBorder="1" applyAlignment="1">
      <alignment vertical="top" wrapText="1"/>
    </xf>
    <xf numFmtId="0" fontId="4" fillId="0" borderId="6" xfId="0" applyFont="1" applyBorder="1" applyAlignment="1">
      <alignment horizontal="left" vertical="top" wrapText="1"/>
    </xf>
    <xf numFmtId="0" fontId="7" fillId="0" borderId="6" xfId="0" applyFont="1" applyBorder="1" applyAlignment="1">
      <alignment horizontal="left" vertical="top" wrapText="1"/>
    </xf>
    <xf numFmtId="0" fontId="20" fillId="0" borderId="6" xfId="0" applyFont="1" applyBorder="1" applyAlignment="1">
      <alignment vertical="top" wrapText="1"/>
    </xf>
    <xf numFmtId="0" fontId="4" fillId="12" borderId="6" xfId="0" applyFont="1" applyFill="1" applyBorder="1"/>
    <xf numFmtId="0" fontId="4" fillId="12" borderId="6" xfId="0" applyFont="1" applyFill="1" applyBorder="1" applyAlignment="1">
      <alignment vertical="top"/>
    </xf>
    <xf numFmtId="0" fontId="4" fillId="12" borderId="6" xfId="0" applyFont="1" applyFill="1" applyBorder="1" applyAlignment="1">
      <alignment vertical="top" wrapText="1"/>
    </xf>
    <xf numFmtId="0" fontId="4" fillId="12" borderId="6" xfId="0" applyFont="1" applyFill="1" applyBorder="1" applyAlignment="1">
      <alignment horizontal="left" vertical="top" wrapText="1"/>
    </xf>
    <xf numFmtId="0" fontId="7" fillId="12" borderId="6" xfId="0" applyFont="1" applyFill="1" applyBorder="1" applyAlignment="1">
      <alignment horizontal="left" vertical="top" wrapText="1"/>
    </xf>
    <xf numFmtId="0" fontId="6" fillId="12" borderId="6" xfId="0" applyFont="1" applyFill="1" applyBorder="1" applyAlignment="1">
      <alignment vertical="center" wrapText="1"/>
    </xf>
    <xf numFmtId="0" fontId="21" fillId="0" borderId="6" xfId="0" applyFont="1" applyBorder="1" applyAlignment="1">
      <alignment vertical="top" wrapText="1"/>
    </xf>
    <xf numFmtId="0" fontId="22" fillId="0" borderId="6" xfId="0" applyFont="1" applyBorder="1" applyAlignment="1">
      <alignment vertical="top" wrapText="1"/>
    </xf>
    <xf numFmtId="39" fontId="5" fillId="12" borderId="6" xfId="0" applyNumberFormat="1" applyFont="1" applyFill="1" applyBorder="1"/>
    <xf numFmtId="0" fontId="4" fillId="0" borderId="6" xfId="0" applyFont="1" applyBorder="1" applyAlignment="1">
      <alignment horizontal="center" vertical="top" wrapText="1"/>
    </xf>
    <xf numFmtId="0" fontId="7" fillId="0" borderId="6" xfId="0" applyFont="1" applyBorder="1" applyAlignment="1">
      <alignment vertical="top" wrapText="1"/>
    </xf>
    <xf numFmtId="165" fontId="7" fillId="0" borderId="6" xfId="0" applyNumberFormat="1" applyFont="1" applyBorder="1" applyAlignment="1">
      <alignment vertical="top"/>
    </xf>
    <xf numFmtId="1" fontId="7" fillId="0" borderId="6" xfId="0" applyNumberFormat="1" applyFont="1" applyBorder="1" applyAlignment="1">
      <alignment horizontal="center" vertical="top"/>
    </xf>
    <xf numFmtId="39" fontId="7" fillId="0" borderId="6" xfId="0" applyNumberFormat="1" applyFont="1" applyBorder="1" applyAlignment="1">
      <alignment horizontal="right" vertical="top"/>
    </xf>
    <xf numFmtId="0" fontId="7" fillId="0" borderId="6" xfId="0" applyFont="1" applyBorder="1" applyAlignment="1">
      <alignment horizontal="center" vertical="top" wrapText="1"/>
    </xf>
    <xf numFmtId="0" fontId="7" fillId="12" borderId="6" xfId="0" applyFont="1" applyFill="1" applyBorder="1" applyAlignment="1">
      <alignment horizontal="center" vertical="top" wrapText="1"/>
    </xf>
    <xf numFmtId="0" fontId="7" fillId="12" borderId="6" xfId="0" applyFont="1" applyFill="1" applyBorder="1" applyAlignment="1">
      <alignment vertical="top" wrapText="1"/>
    </xf>
    <xf numFmtId="165" fontId="7" fillId="12" borderId="6" xfId="0" applyNumberFormat="1" applyFont="1" applyFill="1" applyBorder="1" applyAlignment="1">
      <alignment vertical="top"/>
    </xf>
    <xf numFmtId="1" fontId="7" fillId="12" borderId="6" xfId="0" applyNumberFormat="1" applyFont="1" applyFill="1" applyBorder="1" applyAlignment="1">
      <alignment horizontal="center" vertical="top"/>
    </xf>
    <xf numFmtId="0" fontId="6" fillId="12" borderId="6" xfId="0" applyFont="1" applyFill="1" applyBorder="1" applyAlignment="1">
      <alignment vertical="top" wrapText="1"/>
    </xf>
    <xf numFmtId="39" fontId="6" fillId="12" borderId="6" xfId="0" applyNumberFormat="1" applyFont="1" applyFill="1" applyBorder="1" applyAlignment="1">
      <alignment horizontal="right" vertical="top"/>
    </xf>
    <xf numFmtId="39" fontId="6" fillId="0" borderId="6" xfId="0" applyNumberFormat="1" applyFont="1" applyBorder="1" applyAlignment="1">
      <alignment horizontal="right" vertical="top"/>
    </xf>
    <xf numFmtId="0" fontId="7" fillId="0" borderId="6" xfId="0" applyFont="1" applyBorder="1" applyAlignment="1">
      <alignment vertical="top"/>
    </xf>
    <xf numFmtId="0" fontId="7" fillId="12" borderId="6" xfId="0" applyFont="1" applyFill="1" applyBorder="1" applyAlignment="1">
      <alignment horizontal="center" vertical="top"/>
    </xf>
    <xf numFmtId="0" fontId="7" fillId="12" borderId="6" xfId="0" applyFont="1" applyFill="1" applyBorder="1" applyAlignment="1">
      <alignment vertical="top"/>
    </xf>
    <xf numFmtId="0" fontId="4" fillId="12" borderId="6" xfId="0" applyFont="1" applyFill="1" applyBorder="1" applyAlignment="1">
      <alignment vertical="center" wrapText="1"/>
    </xf>
    <xf numFmtId="0" fontId="4" fillId="12" borderId="6" xfId="0" applyFont="1" applyFill="1" applyBorder="1" applyAlignment="1">
      <alignment horizontal="center" vertical="center" wrapText="1"/>
    </xf>
    <xf numFmtId="0" fontId="4" fillId="12" borderId="6" xfId="0" applyFont="1" applyFill="1" applyBorder="1" applyAlignment="1">
      <alignment wrapText="1"/>
    </xf>
    <xf numFmtId="0" fontId="3" fillId="0" borderId="0" xfId="0" applyFont="1" applyAlignment="1">
      <alignment wrapText="1"/>
    </xf>
    <xf numFmtId="0" fontId="2" fillId="0" borderId="0" xfId="0" applyFont="1" applyAlignment="1">
      <alignment horizontal="center"/>
    </xf>
    <xf numFmtId="0" fontId="8" fillId="0" borderId="0" xfId="0" applyFont="1" applyAlignment="1">
      <alignment horizontal="center"/>
    </xf>
    <xf numFmtId="0" fontId="8" fillId="0" borderId="0" xfId="0" applyFont="1" applyAlignment="1">
      <alignment horizontal="left"/>
    </xf>
    <xf numFmtId="0" fontId="3" fillId="0" borderId="22" xfId="0" applyFont="1" applyBorder="1" applyAlignment="1">
      <alignment horizontal="center" vertical="center" wrapText="1"/>
    </xf>
    <xf numFmtId="14" fontId="3" fillId="0" borderId="22" xfId="0" applyNumberFormat="1" applyFont="1" applyBorder="1" applyAlignment="1">
      <alignment horizontal="center" vertical="center" wrapText="1"/>
    </xf>
    <xf numFmtId="167" fontId="3" fillId="0" borderId="22" xfId="0" applyNumberFormat="1" applyFont="1" applyBorder="1" applyAlignment="1">
      <alignment horizontal="center" vertical="center" wrapText="1"/>
    </xf>
    <xf numFmtId="168" fontId="3" fillId="0" borderId="22" xfId="0" applyNumberFormat="1" applyFont="1" applyBorder="1" applyAlignment="1">
      <alignment horizontal="center" vertical="center" wrapText="1"/>
    </xf>
    <xf numFmtId="0" fontId="9" fillId="0" borderId="22" xfId="0" applyFont="1" applyBorder="1" applyAlignment="1">
      <alignment horizontal="center" vertical="center"/>
    </xf>
    <xf numFmtId="0" fontId="3"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vertical="center" wrapText="1"/>
    </xf>
    <xf numFmtId="0" fontId="3" fillId="0" borderId="0" xfId="0" applyFont="1" applyAlignment="1">
      <alignment horizontal="right"/>
    </xf>
    <xf numFmtId="0" fontId="3" fillId="0" borderId="0" xfId="0" applyFont="1" applyAlignment="1">
      <alignment horizontal="right" wrapText="1"/>
    </xf>
    <xf numFmtId="43" fontId="8" fillId="0" borderId="0" xfId="1" applyFont="1" applyFill="1" applyBorder="1" applyAlignment="1">
      <alignment horizontal="center"/>
    </xf>
    <xf numFmtId="0" fontId="2" fillId="0" borderId="0" xfId="0" applyFont="1" applyAlignment="1">
      <alignment horizontal="center" vertical="center"/>
    </xf>
    <xf numFmtId="170" fontId="2" fillId="0" borderId="0" xfId="0" applyNumberFormat="1" applyFont="1" applyAlignment="1">
      <alignment horizontal="center" vertical="center"/>
    </xf>
    <xf numFmtId="170" fontId="2" fillId="0" borderId="0" xfId="0" applyNumberFormat="1" applyFont="1" applyAlignment="1">
      <alignment horizontal="left" vertical="center" wrapText="1"/>
    </xf>
    <xf numFmtId="167" fontId="2" fillId="0" borderId="0" xfId="0" applyNumberFormat="1" applyFont="1" applyAlignment="1">
      <alignment horizontal="right" vertical="center" wrapText="1"/>
    </xf>
    <xf numFmtId="0" fontId="3" fillId="0" borderId="0" xfId="0" applyFont="1" applyAlignment="1">
      <alignment horizontal="left"/>
    </xf>
    <xf numFmtId="170" fontId="2" fillId="0" borderId="0" xfId="0" applyNumberFormat="1" applyFont="1"/>
    <xf numFmtId="170" fontId="3" fillId="0" borderId="0" xfId="0" applyNumberFormat="1" applyFont="1" applyAlignment="1">
      <alignment horizontal="left" wrapText="1"/>
    </xf>
    <xf numFmtId="0" fontId="2" fillId="0" borderId="0" xfId="0" applyFont="1" applyAlignment="1">
      <alignment horizontal="left" wrapText="1"/>
    </xf>
    <xf numFmtId="43" fontId="2" fillId="0" borderId="0" xfId="1" applyFont="1" applyFill="1" applyBorder="1" applyAlignment="1">
      <alignment horizontal="center" vertical="center"/>
    </xf>
    <xf numFmtId="0" fontId="2" fillId="0" borderId="0" xfId="0" applyFont="1" applyAlignment="1">
      <alignment horizontal="center" vertical="center" wrapText="1"/>
    </xf>
    <xf numFmtId="14" fontId="2" fillId="0" borderId="0" xfId="0" applyNumberFormat="1" applyFont="1" applyAlignment="1">
      <alignment horizontal="center" vertical="center"/>
    </xf>
    <xf numFmtId="14" fontId="2" fillId="0" borderId="0" xfId="0" applyNumberFormat="1" applyFont="1" applyAlignment="1">
      <alignment wrapText="1"/>
    </xf>
    <xf numFmtId="0" fontId="3" fillId="0" borderId="0" xfId="0" applyFont="1" applyAlignment="1">
      <alignment horizontal="left" wrapText="1"/>
    </xf>
    <xf numFmtId="43" fontId="8" fillId="0" borderId="0" xfId="1" applyFont="1" applyFill="1" applyAlignment="1">
      <alignment horizontal="center"/>
    </xf>
    <xf numFmtId="0" fontId="2" fillId="0" borderId="0" xfId="0" applyFont="1" applyAlignment="1">
      <alignment wrapText="1"/>
    </xf>
    <xf numFmtId="0" fontId="8" fillId="0" borderId="0" xfId="0" applyFont="1" applyAlignment="1">
      <alignment horizontal="center" wrapText="1"/>
    </xf>
    <xf numFmtId="170" fontId="2" fillId="0" borderId="0" xfId="0" applyNumberFormat="1" applyFont="1" applyAlignment="1">
      <alignment vertical="center" wrapText="1"/>
    </xf>
    <xf numFmtId="170" fontId="2" fillId="0" borderId="0" xfId="0" applyNumberFormat="1" applyFont="1" applyAlignment="1">
      <alignment horizontal="center"/>
    </xf>
    <xf numFmtId="167" fontId="2" fillId="0" borderId="0" xfId="0" applyNumberFormat="1" applyFont="1" applyAlignment="1">
      <alignment horizontal="right"/>
    </xf>
    <xf numFmtId="43" fontId="2" fillId="0" borderId="0" xfId="1" applyFont="1" applyFill="1" applyBorder="1" applyAlignment="1">
      <alignment horizontal="center" wrapText="1"/>
    </xf>
    <xf numFmtId="0" fontId="8" fillId="0" borderId="0" xfId="0" applyFont="1" applyAlignment="1">
      <alignment horizontal="left" wrapText="1"/>
    </xf>
    <xf numFmtId="167" fontId="2" fillId="0" borderId="0" xfId="0" applyNumberFormat="1" applyFont="1" applyAlignment="1">
      <alignment horizontal="right" vertical="center"/>
    </xf>
    <xf numFmtId="43" fontId="2" fillId="0" borderId="0" xfId="1" applyFont="1" applyFill="1" applyBorder="1" applyAlignment="1">
      <alignment horizontal="center" vertical="center" wrapText="1"/>
    </xf>
    <xf numFmtId="170" fontId="2" fillId="0" borderId="0" xfId="0" applyNumberFormat="1" applyFont="1" applyAlignment="1">
      <alignment wrapText="1"/>
    </xf>
    <xf numFmtId="171" fontId="2" fillId="0" borderId="0" xfId="0" applyNumberFormat="1" applyFont="1" applyAlignment="1">
      <alignment horizontal="center"/>
    </xf>
    <xf numFmtId="4" fontId="2" fillId="0" borderId="0" xfId="0" applyNumberFormat="1" applyFont="1" applyAlignment="1">
      <alignment horizontal="right"/>
    </xf>
    <xf numFmtId="0" fontId="2" fillId="0" borderId="0" xfId="0" applyFont="1" applyAlignment="1">
      <alignment horizontal="center" wrapText="1"/>
    </xf>
    <xf numFmtId="171" fontId="2" fillId="0" borderId="0" xfId="0" applyNumberFormat="1" applyFont="1" applyAlignment="1">
      <alignment horizontal="center" wrapText="1"/>
    </xf>
    <xf numFmtId="0" fontId="2" fillId="0" borderId="0" xfId="0" applyFont="1" applyAlignment="1">
      <alignment horizontal="right" wrapText="1"/>
    </xf>
    <xf numFmtId="4" fontId="2" fillId="0" borderId="0" xfId="0" applyNumberFormat="1" applyFont="1" applyAlignment="1">
      <alignment horizontal="right" wrapText="1"/>
    </xf>
    <xf numFmtId="0" fontId="2" fillId="0" borderId="0" xfId="0" applyFont="1" applyAlignment="1">
      <alignment horizontal="left" vertical="center" wrapText="1"/>
    </xf>
    <xf numFmtId="43" fontId="2" fillId="0" borderId="0" xfId="1" applyFont="1" applyFill="1" applyAlignment="1">
      <alignment horizontal="center"/>
    </xf>
    <xf numFmtId="0" fontId="23" fillId="0" borderId="0" xfId="0" applyFont="1" applyAlignment="1">
      <alignment horizontal="left"/>
    </xf>
    <xf numFmtId="0" fontId="24" fillId="0" borderId="0" xfId="0" applyFont="1" applyAlignment="1">
      <alignment horizontal="left"/>
    </xf>
    <xf numFmtId="0" fontId="26" fillId="0" borderId="0" xfId="4" applyFont="1" applyAlignment="1">
      <alignment vertical="center"/>
    </xf>
    <xf numFmtId="43" fontId="26" fillId="0" borderId="0" xfId="1" applyFont="1" applyFill="1" applyBorder="1" applyAlignment="1" applyProtection="1">
      <alignment vertical="center"/>
    </xf>
    <xf numFmtId="0" fontId="26" fillId="0" borderId="0" xfId="4" applyFont="1" applyAlignment="1">
      <alignment vertical="center" wrapText="1"/>
    </xf>
    <xf numFmtId="0" fontId="27" fillId="0" borderId="0" xfId="4" applyFont="1" applyAlignment="1">
      <alignment vertical="center"/>
    </xf>
    <xf numFmtId="0" fontId="27" fillId="0" borderId="6" xfId="1" applyNumberFormat="1" applyFont="1" applyFill="1" applyBorder="1" applyAlignment="1" applyProtection="1">
      <alignment horizontal="center" vertical="center"/>
    </xf>
    <xf numFmtId="0" fontId="27" fillId="0" borderId="7" xfId="1" applyNumberFormat="1" applyFont="1" applyFill="1" applyBorder="1" applyAlignment="1" applyProtection="1">
      <alignment horizontal="center" vertical="center"/>
    </xf>
    <xf numFmtId="0" fontId="26" fillId="0" borderId="6" xfId="4" applyFont="1" applyBorder="1" applyAlignment="1">
      <alignment vertical="center" wrapText="1"/>
    </xf>
    <xf numFmtId="43" fontId="26" fillId="0" borderId="6" xfId="1" applyFont="1" applyFill="1" applyBorder="1" applyAlignment="1" applyProtection="1">
      <alignment vertical="center"/>
    </xf>
    <xf numFmtId="43" fontId="26" fillId="0" borderId="7" xfId="1" applyFont="1" applyFill="1" applyBorder="1" applyAlignment="1" applyProtection="1">
      <alignment vertical="center"/>
    </xf>
    <xf numFmtId="0" fontId="26" fillId="0" borderId="5" xfId="4" applyFont="1" applyBorder="1" applyAlignment="1">
      <alignment vertical="center" wrapText="1"/>
    </xf>
    <xf numFmtId="0" fontId="27" fillId="9" borderId="6" xfId="4" applyFont="1" applyFill="1" applyBorder="1" applyAlignment="1">
      <alignment vertical="center" wrapText="1"/>
    </xf>
    <xf numFmtId="43" fontId="27" fillId="9" borderId="6" xfId="1" applyFont="1" applyFill="1" applyBorder="1" applyAlignment="1" applyProtection="1">
      <alignment vertical="center"/>
    </xf>
    <xf numFmtId="43" fontId="27" fillId="0" borderId="0" xfId="1" applyFont="1" applyAlignment="1">
      <alignment horizontal="center" vertical="center"/>
    </xf>
    <xf numFmtId="43" fontId="26" fillId="0" borderId="0" xfId="1" applyFont="1" applyAlignment="1">
      <alignment horizontal="center" vertical="center"/>
    </xf>
    <xf numFmtId="43" fontId="26" fillId="0" borderId="0" xfId="1" applyFont="1" applyBorder="1" applyAlignment="1">
      <alignment horizontal="center" vertical="center"/>
    </xf>
    <xf numFmtId="0" fontId="26" fillId="0" borderId="0" xfId="4" applyFont="1" applyAlignment="1">
      <alignment horizontal="left" vertical="center" wrapText="1"/>
    </xf>
    <xf numFmtId="43" fontId="26" fillId="0" borderId="0" xfId="1" applyFont="1" applyBorder="1" applyAlignment="1">
      <alignment horizontal="right" vertical="center"/>
    </xf>
    <xf numFmtId="4" fontId="16" fillId="0" borderId="0" xfId="0" applyNumberFormat="1" applyFont="1" applyAlignment="1">
      <alignment horizontal="right" vertical="center" wrapText="1"/>
    </xf>
    <xf numFmtId="0" fontId="9" fillId="0" borderId="6" xfId="0" applyFont="1" applyBorder="1" applyAlignment="1">
      <alignment horizontal="center" vertical="center" wrapText="1"/>
    </xf>
    <xf numFmtId="0" fontId="9" fillId="0" borderId="6" xfId="0" applyFont="1" applyBorder="1" applyAlignment="1">
      <alignment horizontal="center" vertical="center"/>
    </xf>
    <xf numFmtId="0" fontId="16" fillId="0" borderId="0" xfId="0" applyFont="1" applyAlignment="1">
      <alignment horizontal="left" vertical="top"/>
    </xf>
    <xf numFmtId="0" fontId="16" fillId="0" borderId="0" xfId="0" applyFont="1" applyAlignment="1">
      <alignment vertical="top" wrapText="1"/>
    </xf>
    <xf numFmtId="0" fontId="16" fillId="0" borderId="0" xfId="0" applyFont="1" applyAlignment="1">
      <alignment horizontal="center" vertical="top"/>
    </xf>
    <xf numFmtId="0" fontId="16" fillId="0" borderId="0" xfId="0" applyFont="1" applyAlignment="1">
      <alignment vertical="top"/>
    </xf>
    <xf numFmtId="0" fontId="16" fillId="0" borderId="0" xfId="0" applyFont="1" applyAlignment="1">
      <alignment wrapText="1"/>
    </xf>
    <xf numFmtId="0" fontId="16" fillId="0" borderId="0" xfId="0" applyFont="1"/>
    <xf numFmtId="0" fontId="30" fillId="0" borderId="0" xfId="0" applyFont="1" applyAlignment="1">
      <alignment horizontal="left" vertical="top"/>
    </xf>
    <xf numFmtId="0" fontId="31" fillId="0" borderId="0" xfId="0" applyFont="1" applyAlignment="1">
      <alignment horizontal="left" vertical="top"/>
    </xf>
    <xf numFmtId="0" fontId="30" fillId="0" borderId="6" xfId="0" applyFont="1" applyBorder="1" applyAlignment="1">
      <alignment horizontal="center" vertical="center" wrapText="1"/>
    </xf>
    <xf numFmtId="0" fontId="30" fillId="0" borderId="6" xfId="0" applyFont="1" applyBorder="1" applyAlignment="1">
      <alignment horizontal="center" vertical="center"/>
    </xf>
    <xf numFmtId="0" fontId="16" fillId="5" borderId="6" xfId="0" applyFont="1" applyFill="1" applyBorder="1" applyAlignment="1">
      <alignment horizontal="center" vertical="top"/>
    </xf>
    <xf numFmtId="0" fontId="16" fillId="5" borderId="6" xfId="0" applyFont="1" applyFill="1" applyBorder="1" applyAlignment="1">
      <alignment vertical="top" wrapText="1"/>
    </xf>
    <xf numFmtId="164" fontId="16" fillId="5" borderId="6" xfId="3" applyFont="1" applyFill="1" applyBorder="1" applyAlignment="1">
      <alignment horizontal="right" vertical="top"/>
    </xf>
    <xf numFmtId="164" fontId="29" fillId="5" borderId="6" xfId="3" applyFont="1" applyFill="1" applyBorder="1" applyAlignment="1">
      <alignment horizontal="right" vertical="top" wrapText="1"/>
    </xf>
    <xf numFmtId="164" fontId="16" fillId="5" borderId="6" xfId="3" applyFont="1" applyFill="1" applyBorder="1" applyAlignment="1">
      <alignment vertical="top"/>
    </xf>
    <xf numFmtId="164" fontId="30" fillId="9" borderId="6" xfId="3" applyFont="1" applyFill="1" applyBorder="1" applyAlignment="1">
      <alignment vertical="top"/>
    </xf>
    <xf numFmtId="0" fontId="16" fillId="9" borderId="6" xfId="0" applyFont="1" applyFill="1" applyBorder="1" applyAlignment="1">
      <alignment wrapText="1"/>
    </xf>
    <xf numFmtId="0" fontId="5" fillId="0" borderId="6" xfId="0" applyFont="1" applyBorder="1" applyAlignment="1">
      <alignment horizontal="center" vertical="center" wrapText="1"/>
    </xf>
    <xf numFmtId="0" fontId="30" fillId="0" borderId="0" xfId="0" applyFont="1"/>
    <xf numFmtId="0" fontId="16" fillId="0" borderId="22" xfId="0" applyFont="1" applyBorder="1" applyAlignment="1">
      <alignment vertical="center" wrapText="1"/>
    </xf>
    <xf numFmtId="0" fontId="31" fillId="0" borderId="21" xfId="0" applyFont="1" applyBorder="1" applyAlignment="1">
      <alignment vertical="center" wrapText="1"/>
    </xf>
    <xf numFmtId="0" fontId="16" fillId="0" borderId="21" xfId="0" applyFont="1" applyBorder="1" applyAlignment="1">
      <alignment vertical="center" wrapText="1"/>
    </xf>
    <xf numFmtId="0" fontId="0" fillId="0" borderId="5" xfId="0" applyBorder="1" applyAlignment="1">
      <alignment vertical="top" wrapText="1"/>
    </xf>
    <xf numFmtId="0" fontId="16" fillId="0" borderId="5" xfId="0" applyFont="1" applyBorder="1" applyAlignment="1">
      <alignment vertical="center" wrapText="1"/>
    </xf>
    <xf numFmtId="0" fontId="31" fillId="0" borderId="21" xfId="0" applyFont="1" applyBorder="1" applyAlignment="1">
      <alignment horizontal="left" wrapText="1"/>
    </xf>
    <xf numFmtId="0" fontId="16" fillId="0" borderId="22" xfId="0" applyFont="1" applyBorder="1" applyAlignment="1">
      <alignment wrapText="1"/>
    </xf>
    <xf numFmtId="0" fontId="16" fillId="0" borderId="6" xfId="0" applyFont="1" applyBorder="1" applyAlignment="1">
      <alignment vertical="center" wrapText="1"/>
    </xf>
    <xf numFmtId="0" fontId="16" fillId="0" borderId="5" xfId="0" applyFont="1" applyBorder="1" applyAlignment="1">
      <alignment vertical="top" wrapText="1"/>
    </xf>
    <xf numFmtId="4" fontId="16" fillId="0" borderId="21" xfId="0" applyNumberFormat="1" applyFont="1" applyBorder="1" applyAlignment="1">
      <alignment horizontal="left" vertical="center" wrapText="1"/>
    </xf>
    <xf numFmtId="171" fontId="8" fillId="0" borderId="0" xfId="0" applyNumberFormat="1" applyFont="1"/>
    <xf numFmtId="0" fontId="9" fillId="0" borderId="0" xfId="0" applyFont="1" applyAlignment="1">
      <alignment horizontal="left"/>
    </xf>
    <xf numFmtId="0" fontId="30" fillId="0" borderId="6" xfId="0" applyFont="1" applyBorder="1" applyAlignment="1">
      <alignment horizontal="center" wrapText="1"/>
    </xf>
    <xf numFmtId="0" fontId="30" fillId="0" borderId="7" xfId="0" applyFont="1" applyBorder="1" applyAlignment="1">
      <alignment horizontal="center" vertical="center"/>
    </xf>
    <xf numFmtId="171" fontId="30" fillId="0" borderId="6" xfId="0" applyNumberFormat="1" applyFont="1" applyBorder="1" applyAlignment="1">
      <alignment horizontal="center" vertical="center" wrapText="1"/>
    </xf>
    <xf numFmtId="0" fontId="16" fillId="0" borderId="6" xfId="0" applyFont="1" applyBorder="1" applyAlignment="1">
      <alignment horizontal="center"/>
    </xf>
    <xf numFmtId="0" fontId="16" fillId="0" borderId="6" xfId="0" applyFont="1" applyBorder="1" applyAlignment="1">
      <alignment horizontal="center" vertical="center"/>
    </xf>
    <xf numFmtId="0" fontId="16" fillId="0" borderId="6" xfId="0" applyFont="1" applyBorder="1"/>
    <xf numFmtId="0" fontId="30" fillId="0" borderId="6" xfId="0" applyFont="1" applyBorder="1"/>
    <xf numFmtId="0" fontId="9" fillId="0" borderId="7" xfId="0" applyFont="1" applyBorder="1" applyAlignment="1">
      <alignment horizontal="center" vertical="center"/>
    </xf>
    <xf numFmtId="0" fontId="16" fillId="0" borderId="0" xfId="0" applyFont="1" applyAlignment="1">
      <alignment horizontal="left" vertical="center"/>
    </xf>
    <xf numFmtId="0" fontId="16" fillId="0" borderId="0" xfId="0" applyFont="1" applyAlignment="1">
      <alignment horizontal="left" vertical="center" wrapText="1"/>
    </xf>
    <xf numFmtId="0" fontId="16" fillId="0" borderId="0" xfId="0" applyFont="1" applyAlignment="1">
      <alignment vertical="center"/>
    </xf>
    <xf numFmtId="164" fontId="16" fillId="0" borderId="0" xfId="3" applyFont="1" applyAlignment="1">
      <alignment horizontal="center" vertical="center" wrapText="1"/>
    </xf>
    <xf numFmtId="164" fontId="16" fillId="0" borderId="0" xfId="3" applyFont="1" applyAlignment="1">
      <alignment vertical="center"/>
    </xf>
    <xf numFmtId="164" fontId="30" fillId="0" borderId="0" xfId="3" applyFont="1" applyAlignment="1">
      <alignment vertical="center"/>
    </xf>
    <xf numFmtId="0" fontId="16" fillId="0" borderId="0" xfId="0" applyFont="1" applyAlignment="1">
      <alignment horizontal="center" vertical="center"/>
    </xf>
    <xf numFmtId="0" fontId="30" fillId="0" borderId="0" xfId="0" applyFont="1" applyAlignment="1">
      <alignment horizontal="left" vertical="center"/>
    </xf>
    <xf numFmtId="164" fontId="30" fillId="0" borderId="6" xfId="3" applyFont="1" applyBorder="1" applyAlignment="1">
      <alignment horizontal="center" vertical="center"/>
    </xf>
    <xf numFmtId="164" fontId="30" fillId="0" borderId="6" xfId="3" applyFont="1" applyBorder="1" applyAlignment="1">
      <alignment horizontal="center" vertical="center" wrapText="1"/>
    </xf>
    <xf numFmtId="164" fontId="16" fillId="0" borderId="0" xfId="3" applyFont="1" applyFill="1" applyBorder="1" applyAlignment="1">
      <alignment horizontal="center" vertical="center" wrapText="1"/>
    </xf>
    <xf numFmtId="0" fontId="29" fillId="0" borderId="0" xfId="0" applyFont="1" applyAlignment="1">
      <alignment vertical="top"/>
    </xf>
    <xf numFmtId="0" fontId="29" fillId="0" borderId="0" xfId="0" applyFont="1" applyAlignment="1">
      <alignment horizontal="center" vertical="top" wrapText="1"/>
    </xf>
    <xf numFmtId="0" fontId="29" fillId="0" borderId="0" xfId="0" applyFont="1" applyAlignment="1">
      <alignment vertical="top" wrapText="1"/>
    </xf>
    <xf numFmtId="0" fontId="29" fillId="0" borderId="0" xfId="0" applyFont="1"/>
    <xf numFmtId="0" fontId="33" fillId="0" borderId="0" xfId="0" applyFont="1" applyAlignment="1">
      <alignment vertical="top"/>
    </xf>
    <xf numFmtId="0" fontId="33" fillId="5" borderId="0" xfId="0" applyFont="1" applyFill="1" applyAlignment="1">
      <alignment horizontal="center" vertical="center" wrapText="1"/>
    </xf>
    <xf numFmtId="164" fontId="33" fillId="5" borderId="0" xfId="3" applyFont="1" applyFill="1" applyAlignment="1">
      <alignment horizontal="center" vertical="center"/>
    </xf>
    <xf numFmtId="0" fontId="33" fillId="0" borderId="0" xfId="0" applyFont="1" applyAlignment="1">
      <alignment horizontal="center" vertical="center"/>
    </xf>
    <xf numFmtId="0" fontId="29" fillId="0" borderId="0" xfId="0" applyFont="1" applyAlignment="1">
      <alignment horizontal="left" vertical="top" wrapText="1"/>
    </xf>
    <xf numFmtId="164" fontId="29" fillId="0" borderId="0" xfId="3" applyFont="1" applyFill="1" applyAlignment="1">
      <alignment vertical="top"/>
    </xf>
    <xf numFmtId="0" fontId="29" fillId="13" borderId="0" xfId="0" applyFont="1" applyFill="1" applyAlignment="1">
      <alignment horizontal="left" vertical="top" wrapText="1"/>
    </xf>
    <xf numFmtId="0" fontId="29" fillId="13" borderId="0" xfId="0" applyFont="1" applyFill="1" applyAlignment="1">
      <alignment horizontal="center" vertical="top" wrapText="1"/>
    </xf>
    <xf numFmtId="164" fontId="29" fillId="13" borderId="0" xfId="3" applyFont="1" applyFill="1" applyAlignment="1">
      <alignment vertical="top"/>
    </xf>
    <xf numFmtId="164" fontId="16" fillId="0" borderId="0" xfId="3" applyFont="1" applyAlignment="1">
      <alignment vertical="top"/>
    </xf>
    <xf numFmtId="0" fontId="29" fillId="13" borderId="0" xfId="0" applyFont="1" applyFill="1" applyAlignment="1">
      <alignment vertical="top"/>
    </xf>
    <xf numFmtId="0" fontId="16" fillId="13" borderId="0" xfId="0" applyFont="1" applyFill="1" applyAlignment="1">
      <alignment vertical="top" wrapText="1"/>
    </xf>
    <xf numFmtId="164" fontId="16" fillId="13" borderId="0" xfId="3" applyFont="1" applyFill="1" applyAlignment="1">
      <alignment vertical="top"/>
    </xf>
    <xf numFmtId="0" fontId="29" fillId="10" borderId="0" xfId="0" applyFont="1" applyFill="1" applyAlignment="1">
      <alignment vertical="top"/>
    </xf>
    <xf numFmtId="164" fontId="16" fillId="10" borderId="0" xfId="3" applyFont="1" applyFill="1" applyAlignment="1">
      <alignment vertical="top"/>
    </xf>
    <xf numFmtId="164" fontId="29" fillId="0" borderId="0" xfId="3" applyFont="1" applyAlignment="1">
      <alignment vertical="top"/>
    </xf>
    <xf numFmtId="0" fontId="29" fillId="13" borderId="0" xfId="0" applyFont="1" applyFill="1" applyAlignment="1">
      <alignment vertical="top" wrapText="1"/>
    </xf>
    <xf numFmtId="164" fontId="29" fillId="10" borderId="0" xfId="3" applyFont="1" applyFill="1" applyAlignment="1">
      <alignment vertical="top"/>
    </xf>
    <xf numFmtId="0" fontId="29" fillId="10" borderId="0" xfId="0" applyFont="1" applyFill="1" applyAlignment="1">
      <alignment horizontal="center" vertical="top" wrapText="1"/>
    </xf>
    <xf numFmtId="43" fontId="29" fillId="10" borderId="0" xfId="0" applyNumberFormat="1" applyFont="1" applyFill="1" applyAlignment="1">
      <alignment vertical="top"/>
    </xf>
    <xf numFmtId="0" fontId="29" fillId="9" borderId="0" xfId="0" applyFont="1" applyFill="1" applyAlignment="1">
      <alignment vertical="top"/>
    </xf>
    <xf numFmtId="0" fontId="29" fillId="9" borderId="0" xfId="0" applyFont="1" applyFill="1" applyAlignment="1">
      <alignment horizontal="center" vertical="top" wrapText="1"/>
    </xf>
    <xf numFmtId="0" fontId="29" fillId="9" borderId="0" xfId="0" applyFont="1" applyFill="1" applyAlignment="1">
      <alignment vertical="top" wrapText="1"/>
    </xf>
    <xf numFmtId="164" fontId="29" fillId="13" borderId="0" xfId="0" applyNumberFormat="1" applyFont="1" applyFill="1" applyAlignment="1">
      <alignment vertical="top"/>
    </xf>
    <xf numFmtId="0" fontId="29" fillId="10" borderId="0" xfId="0" applyFont="1" applyFill="1" applyAlignment="1">
      <alignment horizontal="left" vertical="top" wrapText="1"/>
    </xf>
    <xf numFmtId="0" fontId="29" fillId="10" borderId="0" xfId="0" applyFont="1" applyFill="1" applyAlignment="1">
      <alignment vertical="top" wrapText="1"/>
    </xf>
    <xf numFmtId="164" fontId="33" fillId="5" borderId="0" xfId="3" applyFont="1" applyFill="1" applyAlignment="1">
      <alignment horizontal="center" vertical="center" wrapText="1"/>
    </xf>
    <xf numFmtId="0" fontId="16" fillId="10" borderId="0" xfId="0" applyFont="1" applyFill="1"/>
    <xf numFmtId="164" fontId="16" fillId="10" borderId="0" xfId="0" applyNumberFormat="1" applyFont="1" applyFill="1"/>
    <xf numFmtId="164" fontId="29" fillId="0" borderId="0" xfId="3" applyFont="1"/>
    <xf numFmtId="0" fontId="33" fillId="0" borderId="6" xfId="0" applyFont="1" applyBorder="1" applyAlignment="1">
      <alignment horizontal="center" vertical="center" wrapText="1"/>
    </xf>
    <xf numFmtId="164" fontId="33" fillId="0" borderId="6" xfId="3" applyFont="1" applyFill="1" applyBorder="1" applyAlignment="1">
      <alignment horizontal="center" vertical="center"/>
    </xf>
    <xf numFmtId="0" fontId="29" fillId="0" borderId="6" xfId="0" applyFont="1" applyBorder="1" applyAlignment="1">
      <alignment vertical="top"/>
    </xf>
    <xf numFmtId="0" fontId="29" fillId="0" borderId="6" xfId="0" applyFont="1" applyBorder="1" applyAlignment="1">
      <alignment horizontal="center" vertical="center" wrapText="1"/>
    </xf>
    <xf numFmtId="164" fontId="29" fillId="0" borderId="6" xfId="3" applyFont="1" applyFill="1" applyBorder="1" applyAlignment="1">
      <alignment vertical="top"/>
    </xf>
    <xf numFmtId="164" fontId="16" fillId="0" borderId="6" xfId="0" applyNumberFormat="1" applyFont="1" applyBorder="1"/>
    <xf numFmtId="0" fontId="29" fillId="0" borderId="6" xfId="0" applyFont="1" applyBorder="1" applyAlignment="1">
      <alignment horizontal="center" wrapText="1"/>
    </xf>
    <xf numFmtId="0" fontId="29" fillId="0" borderId="6" xfId="0" applyFont="1" applyBorder="1" applyAlignment="1">
      <alignment horizontal="center" vertical="top" wrapText="1"/>
    </xf>
    <xf numFmtId="0" fontId="29" fillId="0" borderId="6" xfId="0" applyFont="1" applyBorder="1" applyAlignment="1">
      <alignment vertical="top" wrapText="1"/>
    </xf>
    <xf numFmtId="164" fontId="29" fillId="0" borderId="6" xfId="3" applyFont="1" applyFill="1" applyBorder="1" applyAlignment="1">
      <alignment horizontal="right" vertical="top"/>
    </xf>
    <xf numFmtId="0" fontId="29" fillId="0" borderId="6" xfId="0" applyFont="1" applyBorder="1" applyAlignment="1">
      <alignment horizontal="center"/>
    </xf>
    <xf numFmtId="0" fontId="29" fillId="0" borderId="6" xfId="0" applyFont="1" applyBorder="1"/>
    <xf numFmtId="164" fontId="16" fillId="0" borderId="6" xfId="0" applyNumberFormat="1" applyFont="1" applyBorder="1" applyAlignment="1">
      <alignment horizontal="right"/>
    </xf>
    <xf numFmtId="0" fontId="33" fillId="9" borderId="0" xfId="0" applyFont="1" applyFill="1" applyAlignment="1">
      <alignment vertical="top" wrapText="1"/>
    </xf>
    <xf numFmtId="43" fontId="33" fillId="9" borderId="0" xfId="0" applyNumberFormat="1" applyFont="1" applyFill="1" applyAlignment="1">
      <alignment vertical="top"/>
    </xf>
    <xf numFmtId="0" fontId="30" fillId="9" borderId="0" xfId="0" applyFont="1" applyFill="1"/>
    <xf numFmtId="164" fontId="30" fillId="9" borderId="0" xfId="0" applyNumberFormat="1" applyFont="1" applyFill="1"/>
    <xf numFmtId="0" fontId="38" fillId="0" borderId="0" xfId="0" applyFont="1"/>
    <xf numFmtId="0" fontId="9" fillId="0" borderId="18" xfId="0" applyFont="1" applyBorder="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justify" vertical="center" wrapText="1"/>
    </xf>
    <xf numFmtId="0" fontId="11" fillId="0" borderId="0" xfId="0" applyFont="1" applyAlignment="1">
      <alignment horizontal="justify" vertical="center" wrapText="1"/>
    </xf>
    <xf numFmtId="0" fontId="8" fillId="0" borderId="0" xfId="0" applyFont="1" applyAlignment="1">
      <alignment horizontal="center" vertical="center" wrapText="1"/>
    </xf>
    <xf numFmtId="164" fontId="8" fillId="0" borderId="0" xfId="3" applyFont="1" applyAlignment="1">
      <alignment horizontal="right" vertical="center" wrapText="1"/>
    </xf>
    <xf numFmtId="164" fontId="8" fillId="0" borderId="0" xfId="3" applyFont="1" applyBorder="1" applyAlignment="1">
      <alignment horizontal="right" vertical="center" wrapText="1"/>
    </xf>
    <xf numFmtId="43" fontId="0" fillId="0" borderId="0" xfId="0" applyNumberFormat="1"/>
    <xf numFmtId="43" fontId="38" fillId="0" borderId="0" xfId="0" applyNumberFormat="1" applyFont="1"/>
    <xf numFmtId="0" fontId="8" fillId="0" borderId="0" xfId="0" applyFont="1" applyAlignment="1">
      <alignment horizontal="left" vertical="center" wrapText="1"/>
    </xf>
    <xf numFmtId="164" fontId="8" fillId="0" borderId="18" xfId="3" applyFont="1" applyBorder="1" applyAlignment="1">
      <alignment horizontal="right" vertical="center" wrapText="1"/>
    </xf>
    <xf numFmtId="164" fontId="9" fillId="0" borderId="8" xfId="3" applyFont="1" applyBorder="1" applyAlignment="1">
      <alignment horizontal="right" vertical="center" wrapText="1"/>
    </xf>
    <xf numFmtId="164" fontId="9" fillId="0" borderId="0" xfId="3" applyFont="1" applyBorder="1" applyAlignment="1">
      <alignment horizontal="right" vertical="center" wrapText="1"/>
    </xf>
    <xf numFmtId="164" fontId="0" fillId="0" borderId="0" xfId="0" applyNumberFormat="1"/>
    <xf numFmtId="164" fontId="43" fillId="0" borderId="0" xfId="0" applyNumberFormat="1" applyFont="1"/>
    <xf numFmtId="0" fontId="43" fillId="0" borderId="0" xfId="0" applyFont="1"/>
    <xf numFmtId="43" fontId="16" fillId="0" borderId="0" xfId="0" applyNumberFormat="1" applyFont="1"/>
    <xf numFmtId="0" fontId="44" fillId="0" borderId="0" xfId="0" applyFont="1"/>
    <xf numFmtId="0" fontId="44" fillId="0" borderId="0" xfId="0" applyFont="1" applyAlignment="1">
      <alignment horizontal="center"/>
    </xf>
    <xf numFmtId="164" fontId="8" fillId="0" borderId="18" xfId="3" applyFont="1" applyFill="1" applyBorder="1" applyAlignment="1">
      <alignment horizontal="right" vertical="center" wrapText="1"/>
    </xf>
    <xf numFmtId="164" fontId="8" fillId="0" borderId="0" xfId="3" applyFont="1" applyFill="1" applyBorder="1" applyAlignment="1">
      <alignment horizontal="right" vertical="center" wrapText="1"/>
    </xf>
    <xf numFmtId="43" fontId="16" fillId="0" borderId="0" xfId="0" applyNumberFormat="1" applyFont="1" applyAlignment="1">
      <alignment horizontal="left" vertical="center" wrapText="1"/>
    </xf>
    <xf numFmtId="4" fontId="45" fillId="0" borderId="0" xfId="0" applyNumberFormat="1" applyFont="1"/>
    <xf numFmtId="4" fontId="46" fillId="0" borderId="0" xfId="0" applyNumberFormat="1" applyFont="1"/>
    <xf numFmtId="4" fontId="47" fillId="0" borderId="0" xfId="0" applyNumberFormat="1" applyFont="1"/>
    <xf numFmtId="164" fontId="9" fillId="0" borderId="30" xfId="3" applyFont="1" applyBorder="1" applyAlignment="1">
      <alignment horizontal="right" vertical="center" wrapText="1"/>
    </xf>
    <xf numFmtId="43" fontId="44" fillId="0" borderId="0" xfId="0" applyNumberFormat="1" applyFont="1"/>
    <xf numFmtId="164" fontId="44" fillId="0" borderId="0" xfId="0" applyNumberFormat="1" applyFont="1"/>
    <xf numFmtId="10" fontId="16" fillId="0" borderId="0" xfId="2" applyNumberFormat="1" applyFont="1" applyBorder="1"/>
    <xf numFmtId="10" fontId="44" fillId="0" borderId="0" xfId="2" applyNumberFormat="1" applyFont="1" applyBorder="1"/>
    <xf numFmtId="0" fontId="9" fillId="0" borderId="0" xfId="0" applyFont="1" applyAlignment="1">
      <alignment horizontal="left" vertical="center" wrapText="1"/>
    </xf>
    <xf numFmtId="43" fontId="44" fillId="0" borderId="0" xfId="0" applyNumberFormat="1" applyFont="1" applyAlignment="1">
      <alignment horizontal="left" vertical="center" wrapText="1"/>
    </xf>
    <xf numFmtId="164" fontId="45" fillId="0" borderId="0" xfId="3" applyFont="1" applyFill="1" applyBorder="1" applyAlignment="1">
      <alignment horizontal="right" vertical="center" wrapText="1"/>
    </xf>
    <xf numFmtId="43" fontId="43" fillId="0" borderId="0" xfId="0" applyNumberFormat="1" applyFont="1"/>
    <xf numFmtId="164" fontId="9" fillId="0" borderId="18" xfId="3" applyFont="1" applyBorder="1" applyAlignment="1">
      <alignment horizontal="right" vertical="center" wrapText="1"/>
    </xf>
    <xf numFmtId="164" fontId="8" fillId="0" borderId="0" xfId="3" applyFont="1" applyAlignment="1">
      <alignment vertical="center" wrapText="1"/>
    </xf>
    <xf numFmtId="164" fontId="8" fillId="0" borderId="0" xfId="3" applyFont="1" applyBorder="1" applyAlignment="1">
      <alignment vertical="center" wrapText="1"/>
    </xf>
    <xf numFmtId="164" fontId="9" fillId="0" borderId="25" xfId="3" applyFont="1" applyBorder="1" applyAlignment="1">
      <alignment horizontal="right" vertical="center" wrapText="1"/>
    </xf>
    <xf numFmtId="0" fontId="13" fillId="0" borderId="0" xfId="0" applyFont="1"/>
    <xf numFmtId="0" fontId="48" fillId="0" borderId="0" xfId="0" applyFont="1"/>
    <xf numFmtId="173" fontId="0" fillId="0" borderId="0" xfId="0" applyNumberFormat="1"/>
    <xf numFmtId="39" fontId="8" fillId="0" borderId="0" xfId="3" applyNumberFormat="1" applyFont="1" applyBorder="1" applyAlignment="1">
      <alignment horizontal="right" vertical="center" wrapText="1"/>
    </xf>
    <xf numFmtId="0" fontId="0" fillId="0" borderId="0" xfId="0" applyAlignment="1">
      <alignment horizontal="center"/>
    </xf>
    <xf numFmtId="43" fontId="39" fillId="0" borderId="0" xfId="0" applyNumberFormat="1" applyFont="1" applyAlignment="1">
      <alignment horizontal="center"/>
    </xf>
    <xf numFmtId="164" fontId="0" fillId="0" borderId="0" xfId="3" applyFont="1" applyBorder="1" applyAlignment="1">
      <alignment horizontal="right"/>
    </xf>
    <xf numFmtId="164" fontId="0" fillId="0" borderId="0" xfId="3" applyFont="1" applyBorder="1"/>
    <xf numFmtId="39" fontId="9" fillId="0" borderId="8" xfId="3" applyNumberFormat="1" applyFont="1" applyBorder="1" applyAlignment="1">
      <alignment horizontal="right" vertical="center" wrapText="1"/>
    </xf>
    <xf numFmtId="164" fontId="0" fillId="0" borderId="0" xfId="0" applyNumberFormat="1" applyAlignment="1">
      <alignment horizontal="left"/>
    </xf>
    <xf numFmtId="164" fontId="39" fillId="0" borderId="0" xfId="0" applyNumberFormat="1" applyFont="1" applyAlignment="1">
      <alignment horizontal="left"/>
    </xf>
    <xf numFmtId="164" fontId="39" fillId="0" borderId="0" xfId="0" applyNumberFormat="1" applyFont="1" applyAlignment="1">
      <alignment horizontal="right"/>
    </xf>
    <xf numFmtId="0" fontId="39" fillId="0" borderId="0" xfId="0" applyFont="1" applyAlignment="1">
      <alignment horizontal="left"/>
    </xf>
    <xf numFmtId="43" fontId="39" fillId="0" borderId="0" xfId="0" applyNumberFormat="1" applyFont="1" applyAlignment="1">
      <alignment horizontal="left"/>
    </xf>
    <xf numFmtId="0" fontId="8" fillId="0" borderId="0" xfId="0" applyFont="1" applyAlignment="1">
      <alignment horizontal="left" vertical="center" wrapText="1" indent="3"/>
    </xf>
    <xf numFmtId="43" fontId="0" fillId="0" borderId="0" xfId="0" applyNumberFormat="1" applyAlignment="1">
      <alignment horizontal="left"/>
    </xf>
    <xf numFmtId="164" fontId="39" fillId="0" borderId="0" xfId="3" applyFont="1" applyBorder="1"/>
    <xf numFmtId="39" fontId="8" fillId="0" borderId="18" xfId="3" applyNumberFormat="1" applyFont="1" applyBorder="1" applyAlignment="1">
      <alignment horizontal="right" vertical="center" wrapText="1"/>
    </xf>
    <xf numFmtId="164" fontId="0" fillId="0" borderId="0" xfId="0" applyNumberFormat="1" applyAlignment="1">
      <alignment horizontal="right"/>
    </xf>
    <xf numFmtId="39" fontId="9" fillId="0" borderId="30" xfId="3" applyNumberFormat="1" applyFont="1" applyBorder="1" applyAlignment="1">
      <alignment vertical="center" wrapText="1"/>
    </xf>
    <xf numFmtId="164" fontId="9" fillId="0" borderId="30" xfId="3" applyFont="1" applyBorder="1" applyAlignment="1">
      <alignment vertical="center" wrapText="1"/>
    </xf>
    <xf numFmtId="0" fontId="12" fillId="0" borderId="0" xfId="0" applyFont="1" applyAlignment="1">
      <alignment horizontal="center" vertical="center"/>
    </xf>
    <xf numFmtId="43" fontId="39" fillId="0" borderId="0" xfId="0" applyNumberFormat="1" applyFont="1"/>
    <xf numFmtId="164" fontId="0" fillId="0" borderId="0" xfId="3" applyFont="1"/>
    <xf numFmtId="39" fontId="48" fillId="0" borderId="0" xfId="3" applyNumberFormat="1" applyFont="1"/>
    <xf numFmtId="164" fontId="48" fillId="0" borderId="0" xfId="3" applyFont="1"/>
    <xf numFmtId="2" fontId="8" fillId="0" borderId="0" xfId="3" applyNumberFormat="1" applyFont="1" applyAlignment="1">
      <alignment horizontal="right" vertical="center" wrapText="1"/>
    </xf>
    <xf numFmtId="164" fontId="9" fillId="0" borderId="0" xfId="3" applyFont="1" applyFill="1" applyBorder="1" applyAlignment="1">
      <alignment horizontal="right" vertical="center" wrapText="1"/>
    </xf>
    <xf numFmtId="0" fontId="9" fillId="0" borderId="0" xfId="0" applyFont="1" applyAlignment="1">
      <alignment horizontal="left" vertical="center" wrapText="1" indent="2"/>
    </xf>
    <xf numFmtId="164" fontId="9" fillId="0" borderId="18" xfId="3" applyFont="1" applyBorder="1" applyAlignment="1">
      <alignment vertical="center"/>
    </xf>
    <xf numFmtId="0" fontId="11" fillId="0" borderId="0" xfId="0" applyFont="1" applyAlignment="1">
      <alignment horizontal="left" vertical="center" wrapText="1"/>
    </xf>
    <xf numFmtId="164" fontId="8" fillId="0" borderId="0" xfId="3" applyFont="1" applyAlignment="1">
      <alignment horizontal="center" vertical="center" wrapText="1"/>
    </xf>
    <xf numFmtId="164" fontId="8" fillId="0" borderId="0" xfId="3" applyFont="1" applyBorder="1" applyAlignment="1">
      <alignment horizontal="center" vertical="center" wrapText="1"/>
    </xf>
    <xf numFmtId="164" fontId="9" fillId="0" borderId="0" xfId="3" applyFont="1" applyAlignment="1">
      <alignment horizontal="right" vertical="center" wrapText="1"/>
    </xf>
    <xf numFmtId="164" fontId="8" fillId="0" borderId="0" xfId="3" applyFont="1" applyFill="1" applyAlignment="1">
      <alignment horizontal="right" vertical="center" wrapText="1"/>
    </xf>
    <xf numFmtId="0" fontId="9" fillId="0" borderId="0" xfId="0" applyFont="1" applyAlignment="1">
      <alignment horizontal="left" wrapText="1"/>
    </xf>
    <xf numFmtId="39" fontId="8" fillId="0" borderId="18" xfId="3" applyNumberFormat="1" applyFont="1" applyFill="1" applyBorder="1" applyAlignment="1">
      <alignment horizontal="right" vertical="center" wrapText="1"/>
    </xf>
    <xf numFmtId="39" fontId="9" fillId="0" borderId="0" xfId="3" applyNumberFormat="1" applyFont="1" applyBorder="1" applyAlignment="1">
      <alignment vertical="center" wrapText="1"/>
    </xf>
    <xf numFmtId="164" fontId="9" fillId="0" borderId="0" xfId="3" applyFont="1" applyBorder="1" applyAlignment="1">
      <alignment vertical="center" wrapText="1"/>
    </xf>
    <xf numFmtId="164" fontId="48" fillId="0" borderId="0" xfId="3" applyFont="1" applyBorder="1"/>
    <xf numFmtId="164" fontId="49" fillId="0" borderId="0" xfId="3" applyFont="1"/>
    <xf numFmtId="164" fontId="49" fillId="0" borderId="0" xfId="3" applyFont="1" applyBorder="1"/>
    <xf numFmtId="164" fontId="39" fillId="0" borderId="0" xfId="3" applyFont="1"/>
    <xf numFmtId="174" fontId="8" fillId="0" borderId="0" xfId="3" applyNumberFormat="1" applyFont="1" applyAlignment="1">
      <alignment horizontal="right" vertical="center" wrapText="1"/>
    </xf>
    <xf numFmtId="174" fontId="8" fillId="0" borderId="0" xfId="3" applyNumberFormat="1" applyFont="1" applyFill="1" applyAlignment="1">
      <alignment horizontal="right" vertical="center" wrapText="1"/>
    </xf>
    <xf numFmtId="43" fontId="48" fillId="0" borderId="0" xfId="0" applyNumberFormat="1" applyFont="1"/>
    <xf numFmtId="0" fontId="43" fillId="0" borderId="0" xfId="0" applyFont="1" applyAlignment="1">
      <alignment wrapText="1"/>
    </xf>
    <xf numFmtId="4" fontId="0" fillId="0" borderId="0" xfId="0" applyNumberFormat="1" applyAlignment="1">
      <alignment horizontal="center"/>
    </xf>
    <xf numFmtId="4" fontId="0" fillId="0" borderId="0" xfId="0" applyNumberFormat="1"/>
    <xf numFmtId="4" fontId="50" fillId="0" borderId="0" xfId="0" applyNumberFormat="1" applyFont="1"/>
    <xf numFmtId="174" fontId="9" fillId="0" borderId="0" xfId="3" applyNumberFormat="1" applyFont="1" applyAlignment="1">
      <alignment horizontal="right" vertical="center" wrapText="1"/>
    </xf>
    <xf numFmtId="174" fontId="9" fillId="0" borderId="0" xfId="3" applyNumberFormat="1" applyFont="1" applyBorder="1" applyAlignment="1">
      <alignment horizontal="right" vertical="center" wrapText="1"/>
    </xf>
    <xf numFmtId="174" fontId="9" fillId="0" borderId="0" xfId="1" applyNumberFormat="1" applyFont="1" applyAlignment="1">
      <alignment horizontal="right" vertical="center" wrapText="1"/>
    </xf>
    <xf numFmtId="174" fontId="8" fillId="0" borderId="0" xfId="3" applyNumberFormat="1" applyFont="1" applyBorder="1" applyAlignment="1">
      <alignment horizontal="right" vertical="center" wrapText="1"/>
    </xf>
    <xf numFmtId="164" fontId="9" fillId="0" borderId="8" xfId="3" applyFont="1" applyFill="1" applyBorder="1" applyAlignment="1">
      <alignment horizontal="right" vertical="center" wrapText="1"/>
    </xf>
    <xf numFmtId="2" fontId="48" fillId="0" borderId="0" xfId="0" applyNumberFormat="1" applyFont="1"/>
    <xf numFmtId="39" fontId="8" fillId="0" borderId="0" xfId="3" applyNumberFormat="1" applyFont="1" applyFill="1" applyAlignment="1">
      <alignment horizontal="right" vertical="center" wrapText="1"/>
    </xf>
    <xf numFmtId="39" fontId="8" fillId="0" borderId="0" xfId="3" applyNumberFormat="1" applyFont="1" applyFill="1" applyBorder="1" applyAlignment="1">
      <alignment horizontal="right" vertical="center" wrapText="1"/>
    </xf>
    <xf numFmtId="39" fontId="2" fillId="0" borderId="0" xfId="3" applyNumberFormat="1" applyFont="1" applyFill="1" applyBorder="1" applyAlignment="1">
      <alignment horizontal="right" vertical="center" wrapText="1"/>
    </xf>
    <xf numFmtId="39" fontId="9" fillId="0" borderId="8" xfId="3" applyNumberFormat="1" applyFont="1" applyFill="1" applyBorder="1" applyAlignment="1">
      <alignment horizontal="right" vertical="center" wrapText="1"/>
    </xf>
    <xf numFmtId="39" fontId="9" fillId="0" borderId="18" xfId="3" applyNumberFormat="1" applyFont="1" applyFill="1" applyBorder="1" applyAlignment="1">
      <alignment horizontal="right" vertical="center" wrapText="1"/>
    </xf>
    <xf numFmtId="164" fontId="9" fillId="0" borderId="18" xfId="3" applyFont="1" applyFill="1" applyBorder="1" applyAlignment="1">
      <alignment horizontal="right" vertical="center" wrapText="1"/>
    </xf>
    <xf numFmtId="174" fontId="8" fillId="0" borderId="0" xfId="1" applyNumberFormat="1" applyFont="1" applyFill="1" applyBorder="1" applyAlignment="1">
      <alignment horizontal="right" vertical="center" wrapText="1"/>
    </xf>
    <xf numFmtId="39" fontId="2" fillId="0" borderId="0" xfId="3" applyNumberFormat="1" applyFont="1" applyFill="1" applyAlignment="1">
      <alignment horizontal="right" vertical="center" wrapText="1"/>
    </xf>
    <xf numFmtId="164" fontId="2" fillId="0" borderId="0" xfId="3" applyFont="1" applyFill="1" applyAlignment="1">
      <alignment horizontal="right" vertical="center" wrapText="1"/>
    </xf>
    <xf numFmtId="43" fontId="51" fillId="0" borderId="0" xfId="0" applyNumberFormat="1" applyFont="1"/>
    <xf numFmtId="0" fontId="51" fillId="0" borderId="0" xfId="0" applyFont="1"/>
    <xf numFmtId="174" fontId="8" fillId="0" borderId="18" xfId="3" applyNumberFormat="1" applyFont="1" applyBorder="1" applyAlignment="1">
      <alignment horizontal="right" vertical="center" wrapText="1"/>
    </xf>
    <xf numFmtId="174" fontId="8" fillId="0" borderId="18" xfId="3" applyNumberFormat="1" applyFont="1" applyFill="1" applyBorder="1" applyAlignment="1">
      <alignment horizontal="right" vertical="center" wrapText="1"/>
    </xf>
    <xf numFmtId="174" fontId="9" fillId="0" borderId="31" xfId="3" applyNumberFormat="1" applyFont="1" applyBorder="1" applyAlignment="1">
      <alignment horizontal="right" vertical="center" wrapText="1"/>
    </xf>
    <xf numFmtId="174" fontId="9" fillId="0" borderId="8" xfId="3" applyNumberFormat="1" applyFont="1" applyBorder="1" applyAlignment="1">
      <alignment horizontal="right" vertical="center" wrapText="1"/>
    </xf>
    <xf numFmtId="164" fontId="13" fillId="0" borderId="0" xfId="3" applyFont="1" applyBorder="1"/>
    <xf numFmtId="43" fontId="0" fillId="0" borderId="0" xfId="1" applyFont="1"/>
    <xf numFmtId="2" fontId="8" fillId="0" borderId="0" xfId="1" applyNumberFormat="1" applyFont="1" applyFill="1" applyAlignment="1">
      <alignment horizontal="right" vertical="center" wrapText="1"/>
    </xf>
    <xf numFmtId="2" fontId="8" fillId="0" borderId="18" xfId="3" applyNumberFormat="1" applyFont="1" applyBorder="1" applyAlignment="1">
      <alignment horizontal="right" vertical="center" wrapText="1"/>
    </xf>
    <xf numFmtId="0" fontId="8" fillId="0" borderId="34" xfId="10" applyFont="1" applyBorder="1"/>
    <xf numFmtId="0" fontId="8" fillId="0" borderId="0" xfId="10" applyFont="1"/>
    <xf numFmtId="164" fontId="8" fillId="0" borderId="42" xfId="9" applyFont="1" applyFill="1" applyBorder="1"/>
    <xf numFmtId="164" fontId="8" fillId="0" borderId="20" xfId="9" applyFont="1" applyFill="1" applyBorder="1"/>
    <xf numFmtId="164" fontId="8" fillId="0" borderId="21" xfId="9" applyFont="1" applyFill="1" applyBorder="1"/>
    <xf numFmtId="164" fontId="8" fillId="0" borderId="0" xfId="9" applyFont="1" applyFill="1" applyBorder="1"/>
    <xf numFmtId="164" fontId="8" fillId="0" borderId="19" xfId="9" applyFont="1" applyFill="1" applyBorder="1"/>
    <xf numFmtId="164" fontId="8" fillId="0" borderId="34" xfId="9" applyFont="1" applyFill="1" applyBorder="1"/>
    <xf numFmtId="164" fontId="8" fillId="0" borderId="19" xfId="11" applyFont="1" applyFill="1" applyBorder="1"/>
    <xf numFmtId="164" fontId="8" fillId="0" borderId="21" xfId="11" applyFont="1" applyFill="1" applyBorder="1"/>
    <xf numFmtId="164" fontId="8" fillId="0" borderId="42" xfId="11" applyFont="1" applyFill="1" applyBorder="1"/>
    <xf numFmtId="164" fontId="8" fillId="0" borderId="20" xfId="11" applyFont="1" applyFill="1" applyBorder="1"/>
    <xf numFmtId="164" fontId="8" fillId="0" borderId="34" xfId="11" applyFont="1" applyFill="1" applyBorder="1"/>
    <xf numFmtId="164" fontId="8" fillId="0" borderId="0" xfId="11" applyFont="1" applyFill="1" applyBorder="1"/>
    <xf numFmtId="164" fontId="8" fillId="0" borderId="43" xfId="11" applyFont="1" applyFill="1" applyBorder="1"/>
    <xf numFmtId="0" fontId="9" fillId="0" borderId="34" xfId="10" applyFont="1" applyBorder="1"/>
    <xf numFmtId="0" fontId="8" fillId="0" borderId="35" xfId="10" applyFont="1" applyBorder="1"/>
    <xf numFmtId="0" fontId="8" fillId="0" borderId="19" xfId="10" applyFont="1" applyBorder="1"/>
    <xf numFmtId="0" fontId="8" fillId="0" borderId="21" xfId="10" applyFont="1" applyBorder="1"/>
    <xf numFmtId="0" fontId="8" fillId="0" borderId="14" xfId="10" applyFont="1" applyBorder="1"/>
    <xf numFmtId="0" fontId="8" fillId="0" borderId="35" xfId="10" applyFont="1" applyBorder="1" applyAlignment="1">
      <alignment horizontal="justify" vertical="center" wrapText="1"/>
    </xf>
    <xf numFmtId="0" fontId="8" fillId="0" borderId="42" xfId="10" applyFont="1" applyBorder="1"/>
    <xf numFmtId="0" fontId="8" fillId="0" borderId="20" xfId="10" applyFont="1" applyBorder="1"/>
    <xf numFmtId="164" fontId="8" fillId="0" borderId="43" xfId="9" applyFont="1" applyFill="1" applyBorder="1"/>
    <xf numFmtId="164" fontId="8" fillId="0" borderId="44" xfId="9" applyFont="1" applyFill="1" applyBorder="1"/>
    <xf numFmtId="164" fontId="8" fillId="0" borderId="45" xfId="9" applyFont="1" applyFill="1" applyBorder="1"/>
    <xf numFmtId="164" fontId="8" fillId="0" borderId="9" xfId="9" applyFont="1" applyFill="1" applyBorder="1"/>
    <xf numFmtId="164" fontId="8" fillId="0" borderId="6" xfId="9" applyFont="1" applyFill="1" applyBorder="1"/>
    <xf numFmtId="164" fontId="8" fillId="0" borderId="8" xfId="9" applyFont="1" applyFill="1" applyBorder="1"/>
    <xf numFmtId="164" fontId="8" fillId="0" borderId="7" xfId="9" applyFont="1" applyFill="1" applyBorder="1"/>
    <xf numFmtId="164" fontId="8" fillId="0" borderId="22" xfId="9" applyFont="1" applyFill="1" applyBorder="1"/>
    <xf numFmtId="164" fontId="8" fillId="0" borderId="47" xfId="9" applyFont="1" applyFill="1" applyBorder="1"/>
    <xf numFmtId="164" fontId="2" fillId="0" borderId="0" xfId="9" applyFont="1" applyFill="1" applyBorder="1"/>
    <xf numFmtId="164" fontId="2" fillId="0" borderId="21" xfId="9" applyFont="1" applyFill="1" applyBorder="1"/>
    <xf numFmtId="164" fontId="2" fillId="0" borderId="19" xfId="9" applyFont="1" applyFill="1" applyBorder="1"/>
    <xf numFmtId="0" fontId="2" fillId="0" borderId="35" xfId="10" applyFont="1" applyBorder="1" applyAlignment="1">
      <alignment wrapText="1"/>
    </xf>
    <xf numFmtId="164" fontId="8" fillId="0" borderId="5" xfId="9" applyFont="1" applyFill="1" applyBorder="1"/>
    <xf numFmtId="164" fontId="8" fillId="0" borderId="48" xfId="9" applyFont="1" applyFill="1" applyBorder="1"/>
    <xf numFmtId="43" fontId="8" fillId="0" borderId="0" xfId="10" applyNumberFormat="1" applyFont="1"/>
    <xf numFmtId="164" fontId="8" fillId="0" borderId="0" xfId="10" applyNumberFormat="1" applyFont="1"/>
    <xf numFmtId="164" fontId="9" fillId="0" borderId="40" xfId="9" applyFont="1" applyFill="1" applyBorder="1"/>
    <xf numFmtId="164" fontId="9" fillId="0" borderId="1" xfId="9" applyFont="1" applyFill="1" applyBorder="1"/>
    <xf numFmtId="164" fontId="9" fillId="0" borderId="4" xfId="9" applyFont="1" applyFill="1" applyBorder="1"/>
    <xf numFmtId="164" fontId="8" fillId="0" borderId="46" xfId="9" applyFont="1" applyFill="1" applyBorder="1"/>
    <xf numFmtId="0" fontId="9" fillId="0" borderId="38" xfId="0" applyFont="1" applyBorder="1" applyAlignment="1">
      <alignment horizontal="left"/>
    </xf>
    <xf numFmtId="0" fontId="8" fillId="0" borderId="10" xfId="10" applyFont="1" applyBorder="1"/>
    <xf numFmtId="0" fontId="9" fillId="0" borderId="32" xfId="10" applyFont="1" applyBorder="1" applyAlignment="1">
      <alignment horizontal="center"/>
    </xf>
    <xf numFmtId="0" fontId="9" fillId="0" borderId="34" xfId="10" applyFont="1" applyBorder="1" applyAlignment="1">
      <alignment horizontal="center"/>
    </xf>
    <xf numFmtId="0" fontId="9" fillId="0" borderId="38" xfId="10" applyFont="1" applyBorder="1" applyAlignment="1">
      <alignment horizontal="center"/>
    </xf>
    <xf numFmtId="164" fontId="8" fillId="0" borderId="28" xfId="9" applyFont="1" applyFill="1" applyBorder="1"/>
    <xf numFmtId="0" fontId="9" fillId="0" borderId="0" xfId="10" applyFont="1"/>
    <xf numFmtId="164" fontId="9" fillId="0" borderId="51" xfId="9" applyFont="1" applyFill="1" applyBorder="1"/>
    <xf numFmtId="0" fontId="8" fillId="0" borderId="39" xfId="10" applyFont="1" applyBorder="1"/>
    <xf numFmtId="164" fontId="8" fillId="0" borderId="50" xfId="10" applyNumberFormat="1" applyFont="1" applyBorder="1"/>
    <xf numFmtId="164" fontId="8" fillId="0" borderId="49" xfId="10" applyNumberFormat="1" applyFont="1" applyBorder="1"/>
    <xf numFmtId="0" fontId="29" fillId="0" borderId="22" xfId="3" applyNumberFormat="1" applyFont="1" applyBorder="1" applyAlignment="1">
      <alignment horizontal="center" vertical="top" wrapText="1"/>
    </xf>
    <xf numFmtId="164" fontId="29" fillId="0" borderId="22" xfId="3" applyFont="1" applyBorder="1" applyAlignment="1">
      <alignment horizontal="center" vertical="top" wrapText="1"/>
    </xf>
    <xf numFmtId="164" fontId="16" fillId="0" borderId="22" xfId="3" applyFont="1" applyBorder="1" applyAlignment="1">
      <alignment horizontal="center" vertical="top"/>
    </xf>
    <xf numFmtId="164" fontId="16" fillId="0" borderId="6" xfId="3" applyFont="1" applyBorder="1" applyAlignment="1">
      <alignment horizontal="center" vertical="top"/>
    </xf>
    <xf numFmtId="0" fontId="16" fillId="0" borderId="22" xfId="3" applyNumberFormat="1" applyFont="1" applyBorder="1" applyAlignment="1">
      <alignment horizontal="center" vertical="top"/>
    </xf>
    <xf numFmtId="164" fontId="16" fillId="0" borderId="22" xfId="3" applyFont="1" applyBorder="1" applyAlignment="1">
      <alignment horizontal="center" vertical="top" wrapText="1"/>
    </xf>
    <xf numFmtId="2" fontId="8" fillId="0" borderId="0" xfId="1" applyNumberFormat="1" applyFont="1" applyFill="1" applyBorder="1" applyAlignment="1">
      <alignment horizontal="right" vertical="center" wrapText="1"/>
    </xf>
    <xf numFmtId="39" fontId="9" fillId="0" borderId="0" xfId="3" applyNumberFormat="1" applyFont="1" applyFill="1" applyBorder="1" applyAlignment="1">
      <alignment horizontal="right" vertical="center" wrapText="1"/>
    </xf>
    <xf numFmtId="39" fontId="48" fillId="0" borderId="0" xfId="3" applyNumberFormat="1" applyFont="1" applyBorder="1"/>
    <xf numFmtId="2" fontId="8" fillId="0" borderId="0" xfId="3" applyNumberFormat="1" applyFont="1" applyBorder="1" applyAlignment="1">
      <alignment horizontal="right" vertical="center" wrapText="1"/>
    </xf>
    <xf numFmtId="164" fontId="9" fillId="0" borderId="0" xfId="3" applyFont="1" applyBorder="1" applyAlignment="1">
      <alignment vertical="center"/>
    </xf>
    <xf numFmtId="174" fontId="9" fillId="0" borderId="8" xfId="1" applyNumberFormat="1" applyFont="1" applyBorder="1" applyAlignment="1">
      <alignment horizontal="right" vertical="center" wrapText="1"/>
    </xf>
    <xf numFmtId="174" fontId="9" fillId="0" borderId="0" xfId="1" applyNumberFormat="1" applyFont="1" applyBorder="1" applyAlignment="1">
      <alignment horizontal="right" vertical="center" wrapText="1"/>
    </xf>
    <xf numFmtId="39" fontId="9" fillId="0" borderId="0" xfId="3" applyNumberFormat="1" applyFont="1" applyBorder="1" applyAlignment="1">
      <alignment horizontal="right" vertical="center" wrapText="1"/>
    </xf>
    <xf numFmtId="174" fontId="9" fillId="0" borderId="0" xfId="3" applyNumberFormat="1" applyFont="1" applyBorder="1" applyAlignment="1">
      <alignment vertical="center" wrapText="1"/>
    </xf>
    <xf numFmtId="4" fontId="8" fillId="0" borderId="21" xfId="9" applyNumberFormat="1" applyFont="1" applyFill="1" applyBorder="1"/>
    <xf numFmtId="4" fontId="8" fillId="0" borderId="6" xfId="9" applyNumberFormat="1" applyFont="1" applyFill="1" applyBorder="1"/>
    <xf numFmtId="4" fontId="8" fillId="0" borderId="19" xfId="9" applyNumberFormat="1" applyFont="1" applyFill="1" applyBorder="1"/>
    <xf numFmtId="4" fontId="8" fillId="0" borderId="42" xfId="9" applyNumberFormat="1" applyFont="1" applyFill="1" applyBorder="1"/>
    <xf numFmtId="0" fontId="8" fillId="0" borderId="36" xfId="10" applyFont="1" applyBorder="1"/>
    <xf numFmtId="0" fontId="8" fillId="0" borderId="18" xfId="10" applyFont="1" applyBorder="1"/>
    <xf numFmtId="0" fontId="8" fillId="0" borderId="37" xfId="10" applyFont="1" applyBorder="1"/>
    <xf numFmtId="164" fontId="8" fillId="0" borderId="44" xfId="11" applyFont="1" applyFill="1" applyBorder="1"/>
    <xf numFmtId="164" fontId="8" fillId="0" borderId="52" xfId="9" applyFont="1" applyFill="1" applyBorder="1"/>
    <xf numFmtId="164" fontId="8" fillId="0" borderId="5" xfId="11" applyFont="1" applyFill="1" applyBorder="1"/>
    <xf numFmtId="39" fontId="9" fillId="0" borderId="31" xfId="3" applyNumberFormat="1" applyFont="1" applyBorder="1" applyAlignment="1">
      <alignment horizontal="right" vertical="center" wrapText="1"/>
    </xf>
    <xf numFmtId="164" fontId="53" fillId="0" borderId="0" xfId="3" applyFont="1"/>
    <xf numFmtId="164" fontId="53" fillId="0" borderId="0" xfId="3" applyFont="1" applyBorder="1"/>
    <xf numFmtId="174" fontId="8" fillId="0" borderId="19" xfId="9" applyNumberFormat="1" applyFont="1" applyFill="1" applyBorder="1"/>
    <xf numFmtId="174" fontId="8" fillId="0" borderId="28" xfId="9" applyNumberFormat="1" applyFont="1" applyFill="1" applyBorder="1"/>
    <xf numFmtId="43" fontId="8" fillId="0" borderId="25" xfId="1" applyFont="1" applyFill="1" applyBorder="1"/>
    <xf numFmtId="164" fontId="8" fillId="0" borderId="25" xfId="1" applyNumberFormat="1" applyFont="1" applyFill="1" applyBorder="1"/>
    <xf numFmtId="0" fontId="8" fillId="0" borderId="0" xfId="10" applyFont="1" applyAlignment="1">
      <alignment horizontal="justify" vertical="center" wrapText="1"/>
    </xf>
    <xf numFmtId="0" fontId="9" fillId="0" borderId="0" xfId="10" applyFont="1" applyAlignment="1">
      <alignment wrapText="1"/>
    </xf>
    <xf numFmtId="0" fontId="2" fillId="0" borderId="0" xfId="10" applyFont="1" applyAlignment="1">
      <alignment wrapText="1"/>
    </xf>
    <xf numFmtId="4" fontId="9" fillId="0" borderId="8" xfId="3" applyNumberFormat="1" applyFont="1" applyBorder="1" applyAlignment="1">
      <alignment horizontal="right" vertical="center" wrapText="1"/>
    </xf>
    <xf numFmtId="4" fontId="9" fillId="0" borderId="8" xfId="3" applyNumberFormat="1" applyFont="1" applyFill="1" applyBorder="1" applyAlignment="1">
      <alignment horizontal="right" vertical="center" wrapText="1"/>
    </xf>
    <xf numFmtId="39" fontId="2" fillId="0" borderId="0" xfId="3" applyNumberFormat="1" applyFont="1" applyFill="1" applyBorder="1" applyAlignment="1">
      <alignment horizontal="left" vertical="center" wrapText="1"/>
    </xf>
    <xf numFmtId="174" fontId="8" fillId="0" borderId="0" xfId="1" applyNumberFormat="1" applyFont="1" applyFill="1" applyBorder="1" applyAlignment="1">
      <alignment horizontal="left" vertical="center" wrapText="1"/>
    </xf>
    <xf numFmtId="164" fontId="0" fillId="0" borderId="0" xfId="3" applyFont="1" applyBorder="1" applyAlignment="1">
      <alignment horizontal="left"/>
    </xf>
    <xf numFmtId="164" fontId="8" fillId="0" borderId="0" xfId="3" applyFont="1" applyBorder="1" applyAlignment="1">
      <alignment horizontal="left" vertical="center" wrapText="1"/>
    </xf>
    <xf numFmtId="39" fontId="8" fillId="0" borderId="0" xfId="3" applyNumberFormat="1" applyFont="1" applyFill="1" applyBorder="1" applyAlignment="1">
      <alignment horizontal="left" vertical="center" wrapText="1"/>
    </xf>
    <xf numFmtId="39" fontId="9" fillId="0" borderId="0" xfId="3" applyNumberFormat="1" applyFont="1" applyFill="1" applyBorder="1" applyAlignment="1">
      <alignment horizontal="left" vertical="center" wrapText="1"/>
    </xf>
    <xf numFmtId="39" fontId="9" fillId="0" borderId="0" xfId="3" applyNumberFormat="1" applyFont="1" applyBorder="1" applyAlignment="1">
      <alignment horizontal="left" vertical="center" wrapText="1"/>
    </xf>
    <xf numFmtId="0" fontId="12" fillId="0" borderId="0" xfId="0" applyFont="1" applyAlignment="1">
      <alignment horizontal="left" vertical="center"/>
    </xf>
    <xf numFmtId="39" fontId="48" fillId="0" borderId="0" xfId="3" applyNumberFormat="1" applyFont="1" applyBorder="1" applyAlignment="1">
      <alignment horizontal="left"/>
    </xf>
    <xf numFmtId="164" fontId="48" fillId="0" borderId="0" xfId="3" applyFont="1" applyBorder="1" applyAlignment="1">
      <alignment horizontal="left"/>
    </xf>
    <xf numFmtId="164" fontId="9" fillId="0" borderId="2" xfId="3" applyFont="1" applyBorder="1" applyAlignment="1">
      <alignment horizontal="right" vertical="center" wrapText="1"/>
    </xf>
    <xf numFmtId="43" fontId="8" fillId="0" borderId="54" xfId="1" applyFont="1" applyFill="1" applyBorder="1"/>
    <xf numFmtId="43" fontId="8" fillId="0" borderId="53" xfId="1" applyFont="1" applyFill="1" applyBorder="1"/>
    <xf numFmtId="0" fontId="9" fillId="0" borderId="55" xfId="10" applyFont="1" applyBorder="1" applyAlignment="1">
      <alignment horizontal="center"/>
    </xf>
    <xf numFmtId="0" fontId="9" fillId="0" borderId="56" xfId="10" applyFont="1" applyBorder="1" applyAlignment="1">
      <alignment horizontal="center"/>
    </xf>
    <xf numFmtId="0" fontId="9" fillId="0" borderId="57" xfId="10" applyFont="1" applyBorder="1" applyAlignment="1">
      <alignment horizontal="center"/>
    </xf>
    <xf numFmtId="164" fontId="8" fillId="0" borderId="58" xfId="10" applyNumberFormat="1" applyFont="1" applyBorder="1"/>
    <xf numFmtId="0" fontId="9" fillId="5" borderId="6" xfId="0" applyFont="1" applyFill="1" applyBorder="1" applyAlignment="1">
      <alignment horizontal="center" vertical="center" wrapText="1"/>
    </xf>
    <xf numFmtId="43" fontId="9" fillId="5" borderId="6" xfId="1" applyFont="1" applyFill="1" applyBorder="1" applyAlignment="1">
      <alignment horizontal="center" vertical="center" wrapText="1"/>
    </xf>
    <xf numFmtId="0" fontId="16" fillId="0" borderId="6" xfId="0" applyFont="1" applyBorder="1" applyAlignment="1">
      <alignment vertical="top" wrapText="1"/>
    </xf>
    <xf numFmtId="0" fontId="16" fillId="0" borderId="6" xfId="0" applyFont="1" applyBorder="1" applyAlignment="1">
      <alignment horizontal="center" vertical="top" wrapText="1"/>
    </xf>
    <xf numFmtId="0" fontId="16" fillId="0" borderId="6" xfId="0" applyFont="1" applyBorder="1" applyAlignment="1">
      <alignment vertical="top"/>
    </xf>
    <xf numFmtId="0" fontId="16" fillId="0" borderId="7" xfId="0" applyFont="1" applyBorder="1" applyAlignment="1">
      <alignment vertical="top" wrapText="1"/>
    </xf>
    <xf numFmtId="172" fontId="16" fillId="0" borderId="6" xfId="0" applyNumberFormat="1" applyFont="1" applyBorder="1" applyAlignment="1">
      <alignment horizontal="right" vertical="top"/>
    </xf>
    <xf numFmtId="171" fontId="16" fillId="0" borderId="6" xfId="0" applyNumberFormat="1" applyFont="1" applyBorder="1" applyAlignment="1">
      <alignment horizontal="center" vertical="top"/>
    </xf>
    <xf numFmtId="17" fontId="16" fillId="0" borderId="6" xfId="0" quotePrefix="1" applyNumberFormat="1" applyFont="1" applyBorder="1" applyAlignment="1">
      <alignment horizontal="left" vertical="top" wrapText="1"/>
    </xf>
    <xf numFmtId="0" fontId="8" fillId="0" borderId="0" xfId="0" applyFont="1" applyAlignment="1">
      <alignment vertical="top"/>
    </xf>
    <xf numFmtId="0" fontId="16" fillId="0" borderId="6" xfId="0" applyFont="1" applyBorder="1" applyAlignment="1">
      <alignment horizontal="left" vertical="top" wrapText="1"/>
    </xf>
    <xf numFmtId="14" fontId="16" fillId="0" borderId="6" xfId="0" applyNumberFormat="1" applyFont="1" applyBorder="1" applyAlignment="1">
      <alignment horizontal="left" vertical="top" wrapText="1"/>
    </xf>
    <xf numFmtId="0" fontId="16" fillId="0" borderId="6" xfId="0" applyFont="1" applyBorder="1" applyAlignment="1">
      <alignment horizontal="left" vertical="top"/>
    </xf>
    <xf numFmtId="0" fontId="16" fillId="4" borderId="6" xfId="0" applyFont="1" applyFill="1" applyBorder="1" applyAlignment="1">
      <alignment vertical="top" wrapText="1"/>
    </xf>
    <xf numFmtId="0" fontId="30" fillId="4" borderId="6" xfId="0" applyFont="1" applyFill="1" applyBorder="1" applyAlignment="1">
      <alignment horizontal="center" vertical="top"/>
    </xf>
    <xf numFmtId="0" fontId="16" fillId="4" borderId="6" xfId="0" applyFont="1" applyFill="1" applyBorder="1" applyAlignment="1">
      <alignment vertical="top"/>
    </xf>
    <xf numFmtId="172" fontId="30" fillId="4" borderId="6" xfId="0" applyNumberFormat="1" applyFont="1" applyFill="1" applyBorder="1" applyAlignment="1">
      <alignment horizontal="right" vertical="top"/>
    </xf>
    <xf numFmtId="171" fontId="16" fillId="4" borderId="6" xfId="0" applyNumberFormat="1" applyFont="1" applyFill="1" applyBorder="1" applyAlignment="1">
      <alignment horizontal="center" vertical="top"/>
    </xf>
    <xf numFmtId="0" fontId="16" fillId="4" borderId="6" xfId="0" applyFont="1" applyFill="1" applyBorder="1" applyAlignment="1">
      <alignment horizontal="left" vertical="top"/>
    </xf>
    <xf numFmtId="0" fontId="16" fillId="0" borderId="6" xfId="0" applyFont="1" applyBorder="1" applyAlignment="1">
      <alignment horizontal="center" vertical="top"/>
    </xf>
    <xf numFmtId="0" fontId="16" fillId="13" borderId="6" xfId="0" applyFont="1" applyFill="1" applyBorder="1" applyAlignment="1">
      <alignment vertical="top" wrapText="1"/>
    </xf>
    <xf numFmtId="0" fontId="30" fillId="13" borderId="6" xfId="0" applyFont="1" applyFill="1" applyBorder="1" applyAlignment="1">
      <alignment horizontal="center" vertical="top" wrapText="1"/>
    </xf>
    <xf numFmtId="0" fontId="16" fillId="13" borderId="6" xfId="0" applyFont="1" applyFill="1" applyBorder="1" applyAlignment="1">
      <alignment vertical="top"/>
    </xf>
    <xf numFmtId="172" fontId="30" fillId="13" borderId="6" xfId="0" applyNumberFormat="1" applyFont="1" applyFill="1" applyBorder="1" applyAlignment="1">
      <alignment horizontal="right" vertical="top"/>
    </xf>
    <xf numFmtId="171" fontId="16" fillId="13" borderId="6" xfId="0" applyNumberFormat="1" applyFont="1" applyFill="1" applyBorder="1" applyAlignment="1">
      <alignment horizontal="center" vertical="top"/>
    </xf>
    <xf numFmtId="0" fontId="16" fillId="13" borderId="6" xfId="0" applyFont="1" applyFill="1" applyBorder="1" applyAlignment="1">
      <alignment horizontal="left" vertical="top"/>
    </xf>
    <xf numFmtId="171" fontId="16" fillId="0" borderId="6" xfId="0" applyNumberFormat="1" applyFont="1" applyBorder="1" applyAlignment="1">
      <alignment horizontal="left" vertical="top"/>
    </xf>
    <xf numFmtId="171" fontId="16" fillId="4" borderId="6" xfId="0" applyNumberFormat="1" applyFont="1" applyFill="1" applyBorder="1" applyAlignment="1">
      <alignment horizontal="center" vertical="top" wrapText="1"/>
    </xf>
    <xf numFmtId="0" fontId="8" fillId="4" borderId="6" xfId="0" applyFont="1" applyFill="1" applyBorder="1" applyAlignment="1">
      <alignment vertical="top"/>
    </xf>
    <xf numFmtId="172" fontId="9" fillId="4" borderId="6" xfId="0" applyNumberFormat="1" applyFont="1" applyFill="1" applyBorder="1" applyAlignment="1">
      <alignment vertical="top"/>
    </xf>
    <xf numFmtId="171" fontId="8" fillId="4" borderId="6" xfId="0" applyNumberFormat="1" applyFont="1" applyFill="1" applyBorder="1" applyAlignment="1">
      <alignment vertical="top"/>
    </xf>
    <xf numFmtId="0" fontId="8" fillId="4" borderId="6" xfId="0" applyFont="1" applyFill="1" applyBorder="1" applyAlignment="1">
      <alignment horizontal="left" vertical="top"/>
    </xf>
    <xf numFmtId="0" fontId="8" fillId="13" borderId="6" xfId="0" applyFont="1" applyFill="1" applyBorder="1" applyAlignment="1">
      <alignment vertical="top"/>
    </xf>
    <xf numFmtId="172" fontId="9" fillId="13" borderId="6" xfId="0" applyNumberFormat="1" applyFont="1" applyFill="1" applyBorder="1" applyAlignment="1">
      <alignment vertical="top"/>
    </xf>
    <xf numFmtId="171" fontId="8" fillId="13" borderId="6" xfId="0" applyNumberFormat="1" applyFont="1" applyFill="1" applyBorder="1" applyAlignment="1">
      <alignment vertical="top"/>
    </xf>
    <xf numFmtId="0" fontId="8" fillId="13" borderId="6" xfId="0" applyFont="1" applyFill="1" applyBorder="1" applyAlignment="1">
      <alignment horizontal="left" vertical="top"/>
    </xf>
    <xf numFmtId="171" fontId="16" fillId="0" borderId="6" xfId="0" applyNumberFormat="1" applyFont="1" applyBorder="1" applyAlignment="1">
      <alignment horizontal="center" vertical="top" wrapText="1"/>
    </xf>
    <xf numFmtId="0" fontId="30" fillId="0" borderId="9" xfId="0" applyFont="1" applyBorder="1" applyAlignment="1">
      <alignment horizontal="center" vertical="center" wrapText="1"/>
    </xf>
    <xf numFmtId="0" fontId="30" fillId="0" borderId="0" xfId="0" applyFont="1" applyAlignment="1">
      <alignment horizontal="center" vertical="center" wrapText="1"/>
    </xf>
    <xf numFmtId="0" fontId="16" fillId="0" borderId="9" xfId="0" applyFont="1" applyBorder="1" applyAlignment="1">
      <alignment horizontal="center" vertical="top" wrapText="1"/>
    </xf>
    <xf numFmtId="171" fontId="16" fillId="0" borderId="6" xfId="0" quotePrefix="1" applyNumberFormat="1" applyFont="1" applyBorder="1" applyAlignment="1">
      <alignment horizontal="center" vertical="top" wrapText="1"/>
    </xf>
    <xf numFmtId="0" fontId="9" fillId="4" borderId="6" xfId="0" applyFont="1" applyFill="1" applyBorder="1" applyAlignment="1">
      <alignment horizontal="center" vertical="top"/>
    </xf>
    <xf numFmtId="0" fontId="9" fillId="13" borderId="6" xfId="0" applyFont="1" applyFill="1" applyBorder="1" applyAlignment="1">
      <alignment horizontal="center" vertical="top"/>
    </xf>
    <xf numFmtId="0" fontId="16" fillId="4" borderId="7" xfId="0" applyFont="1" applyFill="1" applyBorder="1" applyAlignment="1">
      <alignment vertical="top" wrapText="1"/>
    </xf>
    <xf numFmtId="0" fontId="16" fillId="4" borderId="6" xfId="0" applyFont="1" applyFill="1" applyBorder="1" applyAlignment="1">
      <alignment horizontal="center" vertical="top" wrapText="1"/>
    </xf>
    <xf numFmtId="0" fontId="16" fillId="4" borderId="6" xfId="0" applyFont="1" applyFill="1" applyBorder="1" applyAlignment="1">
      <alignment horizontal="center" vertical="top"/>
    </xf>
    <xf numFmtId="0" fontId="8" fillId="0" borderId="6" xfId="0" applyFont="1" applyBorder="1" applyAlignment="1">
      <alignment vertical="top"/>
    </xf>
    <xf numFmtId="0" fontId="8" fillId="0" borderId="6" xfId="0" applyFont="1" applyBorder="1" applyAlignment="1">
      <alignment vertical="top" wrapText="1"/>
    </xf>
    <xf numFmtId="0" fontId="8" fillId="0" borderId="7" xfId="0" applyFont="1" applyBorder="1" applyAlignment="1">
      <alignment vertical="top" wrapText="1"/>
    </xf>
    <xf numFmtId="172" fontId="8" fillId="0" borderId="6" xfId="0" applyNumberFormat="1" applyFont="1" applyBorder="1" applyAlignment="1">
      <alignment horizontal="right" vertical="top"/>
    </xf>
    <xf numFmtId="0" fontId="8" fillId="0" borderId="6" xfId="0" applyFont="1" applyBorder="1" applyAlignment="1">
      <alignment horizontal="left" vertical="top" wrapText="1"/>
    </xf>
    <xf numFmtId="0" fontId="26" fillId="0" borderId="6" xfId="4" applyFont="1" applyBorder="1" applyAlignment="1">
      <alignment vertical="top" wrapText="1"/>
    </xf>
    <xf numFmtId="43" fontId="26" fillId="0" borderId="6" xfId="1" applyFont="1" applyFill="1" applyBorder="1" applyAlignment="1" applyProtection="1">
      <alignment vertical="top"/>
    </xf>
    <xf numFmtId="43" fontId="26" fillId="0" borderId="7" xfId="1" applyFont="1" applyFill="1" applyBorder="1" applyAlignment="1" applyProtection="1">
      <alignment vertical="top"/>
    </xf>
    <xf numFmtId="0" fontId="27" fillId="0" borderId="0" xfId="4" applyFont="1" applyAlignment="1">
      <alignment vertical="top"/>
    </xf>
    <xf numFmtId="0" fontId="26" fillId="0" borderId="0" xfId="4" applyFont="1" applyAlignment="1">
      <alignment vertical="top"/>
    </xf>
    <xf numFmtId="43" fontId="26" fillId="0" borderId="6" xfId="1" applyFont="1" applyBorder="1" applyAlignment="1">
      <alignment horizontal="right" vertical="top"/>
    </xf>
    <xf numFmtId="43" fontId="26" fillId="0" borderId="7" xfId="1" applyFont="1" applyBorder="1" applyAlignment="1">
      <alignment horizontal="right" vertical="top"/>
    </xf>
    <xf numFmtId="0" fontId="26" fillId="0" borderId="6" xfId="4" applyFont="1" applyBorder="1" applyAlignment="1">
      <alignment horizontal="left" vertical="top" wrapText="1"/>
    </xf>
    <xf numFmtId="0" fontId="26" fillId="0" borderId="6" xfId="0" applyFont="1" applyBorder="1" applyAlignment="1">
      <alignment vertical="top" wrapText="1"/>
    </xf>
    <xf numFmtId="0" fontId="28" fillId="0" borderId="0" xfId="4" applyFont="1" applyAlignment="1">
      <alignment vertical="top"/>
    </xf>
    <xf numFmtId="0" fontId="29" fillId="0" borderId="6" xfId="4" applyFont="1" applyBorder="1" applyAlignment="1">
      <alignment vertical="top" wrapText="1"/>
    </xf>
    <xf numFmtId="43" fontId="29" fillId="0" borderId="6" xfId="1" applyFont="1" applyFill="1" applyBorder="1" applyAlignment="1" applyProtection="1">
      <alignment vertical="top"/>
    </xf>
    <xf numFmtId="43" fontId="29" fillId="0" borderId="7" xfId="1" applyFont="1" applyFill="1" applyBorder="1" applyAlignment="1" applyProtection="1">
      <alignment vertical="top"/>
    </xf>
    <xf numFmtId="0" fontId="29" fillId="0" borderId="0" xfId="4" applyFont="1" applyAlignment="1">
      <alignment vertical="top"/>
    </xf>
    <xf numFmtId="0" fontId="8" fillId="9" borderId="6" xfId="0" applyFont="1" applyFill="1" applyBorder="1"/>
    <xf numFmtId="0" fontId="9" fillId="9" borderId="6" xfId="0" applyFont="1" applyFill="1" applyBorder="1"/>
    <xf numFmtId="172" fontId="9" fillId="9" borderId="6" xfId="0" applyNumberFormat="1" applyFont="1" applyFill="1" applyBorder="1"/>
    <xf numFmtId="0" fontId="8" fillId="9" borderId="6" xfId="0" applyFont="1" applyFill="1" applyBorder="1" applyAlignment="1">
      <alignment vertical="top"/>
    </xf>
    <xf numFmtId="0" fontId="9" fillId="9" borderId="6" xfId="0" applyFont="1" applyFill="1" applyBorder="1" applyAlignment="1">
      <alignment horizontal="center" vertical="top"/>
    </xf>
    <xf numFmtId="172" fontId="9" fillId="9" borderId="6" xfId="0" applyNumberFormat="1" applyFont="1" applyFill="1" applyBorder="1" applyAlignment="1">
      <alignment vertical="top"/>
    </xf>
    <xf numFmtId="171" fontId="8" fillId="9" borderId="6" xfId="0" applyNumberFormat="1" applyFont="1" applyFill="1" applyBorder="1" applyAlignment="1">
      <alignment vertical="top"/>
    </xf>
    <xf numFmtId="0" fontId="8" fillId="9" borderId="6" xfId="0" applyFont="1" applyFill="1" applyBorder="1" applyAlignment="1">
      <alignment horizontal="left" vertical="top"/>
    </xf>
    <xf numFmtId="0" fontId="4" fillId="9" borderId="6" xfId="0" applyFont="1" applyFill="1" applyBorder="1" applyAlignment="1">
      <alignment vertical="center" wrapText="1"/>
    </xf>
    <xf numFmtId="0" fontId="4" fillId="9" borderId="6" xfId="0" applyFont="1" applyFill="1" applyBorder="1" applyAlignment="1">
      <alignment horizontal="center" vertical="center" wrapText="1"/>
    </xf>
    <xf numFmtId="0" fontId="4" fillId="9" borderId="6" xfId="0" applyFont="1" applyFill="1" applyBorder="1" applyAlignment="1">
      <alignment wrapText="1"/>
    </xf>
    <xf numFmtId="0" fontId="4" fillId="9" borderId="6" xfId="0" applyFont="1" applyFill="1" applyBorder="1"/>
    <xf numFmtId="0" fontId="5" fillId="9" borderId="6" xfId="0" applyFont="1" applyFill="1" applyBorder="1" applyAlignment="1">
      <alignment wrapText="1"/>
    </xf>
    <xf numFmtId="39" fontId="5" fillId="9" borderId="6" xfId="0" applyNumberFormat="1" applyFont="1" applyFill="1" applyBorder="1"/>
    <xf numFmtId="0" fontId="4" fillId="9" borderId="6" xfId="0" applyFont="1" applyFill="1" applyBorder="1" applyAlignment="1">
      <alignment vertical="top"/>
    </xf>
    <xf numFmtId="0" fontId="4" fillId="9" borderId="6" xfId="0" applyFont="1" applyFill="1" applyBorder="1" applyAlignment="1">
      <alignment vertical="top" wrapText="1"/>
    </xf>
    <xf numFmtId="0" fontId="4" fillId="9" borderId="6" xfId="0" applyFont="1" applyFill="1" applyBorder="1" applyAlignment="1">
      <alignment horizontal="left" vertical="top" wrapText="1"/>
    </xf>
    <xf numFmtId="0" fontId="29" fillId="0" borderId="6" xfId="0" applyFont="1" applyBorder="1" applyAlignment="1">
      <alignment horizontal="left" vertical="top" wrapText="1"/>
    </xf>
    <xf numFmtId="0" fontId="32" fillId="0" borderId="0" xfId="0" applyFont="1" applyAlignment="1">
      <alignment horizontal="left" vertical="top" wrapText="1"/>
    </xf>
    <xf numFmtId="0" fontId="28" fillId="0" borderId="0" xfId="0" applyFont="1" applyAlignment="1">
      <alignment horizontal="left" vertical="top" wrapText="1"/>
    </xf>
    <xf numFmtId="0" fontId="33" fillId="0" borderId="0" xfId="0" applyFont="1" applyAlignment="1">
      <alignment horizontal="left" vertical="top" wrapText="1"/>
    </xf>
    <xf numFmtId="0" fontId="30" fillId="0" borderId="6" xfId="0" applyFont="1" applyBorder="1" applyAlignment="1">
      <alignment horizontal="left" vertical="top"/>
    </xf>
    <xf numFmtId="164" fontId="16" fillId="0" borderId="6" xfId="3" applyFont="1" applyBorder="1" applyAlignment="1">
      <alignment horizontal="center" vertical="top" wrapText="1"/>
    </xf>
    <xf numFmtId="164" fontId="16" fillId="0" borderId="6" xfId="3" applyFont="1" applyBorder="1" applyAlignment="1">
      <alignment vertical="top"/>
    </xf>
    <xf numFmtId="164" fontId="30" fillId="0" borderId="6" xfId="3" applyFont="1" applyBorder="1" applyAlignment="1">
      <alignment vertical="top"/>
    </xf>
    <xf numFmtId="0" fontId="35" fillId="0" borderId="6" xfId="0" applyFont="1" applyBorder="1" applyAlignment="1">
      <alignment horizontal="left" vertical="top" wrapText="1"/>
    </xf>
    <xf numFmtId="164" fontId="16" fillId="0" borderId="6" xfId="3" applyFont="1" applyFill="1" applyBorder="1" applyAlignment="1">
      <alignment horizontal="center" vertical="top" wrapText="1"/>
    </xf>
    <xf numFmtId="0" fontId="36" fillId="0" borderId="6" xfId="0" applyFont="1" applyBorder="1" applyAlignment="1">
      <alignment horizontal="left" vertical="top" wrapText="1"/>
    </xf>
    <xf numFmtId="164" fontId="16" fillId="0" borderId="6" xfId="3" applyFont="1" applyFill="1" applyBorder="1" applyAlignment="1">
      <alignment horizontal="center" vertical="top"/>
    </xf>
    <xf numFmtId="164" fontId="4" fillId="0" borderId="6" xfId="3" applyFont="1" applyFill="1" applyBorder="1" applyAlignment="1">
      <alignment horizontal="center" vertical="top" wrapText="1"/>
    </xf>
    <xf numFmtId="0" fontId="31" fillId="0" borderId="6" xfId="0" applyFont="1" applyBorder="1" applyAlignment="1">
      <alignment horizontal="left" vertical="top" wrapText="1"/>
    </xf>
    <xf numFmtId="0" fontId="30" fillId="0" borderId="6" xfId="0" applyFont="1" applyBorder="1" applyAlignment="1">
      <alignment horizontal="left" vertical="top" wrapText="1"/>
    </xf>
    <xf numFmtId="164" fontId="16" fillId="0" borderId="6" xfId="3" applyFont="1" applyFill="1" applyBorder="1" applyAlignment="1">
      <alignment vertical="top"/>
    </xf>
    <xf numFmtId="0" fontId="37" fillId="0" borderId="6" xfId="0" applyFont="1" applyBorder="1" applyAlignment="1">
      <alignment horizontal="left" vertical="top" wrapText="1"/>
    </xf>
    <xf numFmtId="164" fontId="29" fillId="0" borderId="6" xfId="3" applyFont="1" applyFill="1" applyBorder="1" applyAlignment="1">
      <alignment horizontal="center" vertical="top"/>
    </xf>
    <xf numFmtId="0" fontId="16" fillId="0" borderId="6" xfId="0" quotePrefix="1" applyFont="1" applyBorder="1" applyAlignment="1">
      <alignment horizontal="left" vertical="top" wrapText="1"/>
    </xf>
    <xf numFmtId="164" fontId="29" fillId="14" borderId="6" xfId="3" applyFont="1" applyFill="1" applyBorder="1" applyAlignment="1">
      <alignment horizontal="center" vertical="top" wrapText="1"/>
    </xf>
    <xf numFmtId="0" fontId="16" fillId="5" borderId="6" xfId="0" applyFont="1" applyFill="1" applyBorder="1" applyAlignment="1">
      <alignment horizontal="left" vertical="top"/>
    </xf>
    <xf numFmtId="0" fontId="30" fillId="5" borderId="6" xfId="0" applyFont="1" applyFill="1" applyBorder="1" applyAlignment="1">
      <alignment horizontal="left" vertical="top" wrapText="1"/>
    </xf>
    <xf numFmtId="0" fontId="16" fillId="5" borderId="6" xfId="0" applyFont="1" applyFill="1" applyBorder="1" applyAlignment="1">
      <alignment vertical="top"/>
    </xf>
    <xf numFmtId="164" fontId="16" fillId="5" borderId="6" xfId="3" applyFont="1" applyFill="1" applyBorder="1" applyAlignment="1">
      <alignment horizontal="center" vertical="top" wrapText="1"/>
    </xf>
    <xf numFmtId="164" fontId="30" fillId="5" borderId="6" xfId="3" applyFont="1" applyFill="1" applyBorder="1" applyAlignment="1">
      <alignment vertical="top"/>
    </xf>
    <xf numFmtId="0" fontId="16" fillId="5" borderId="6" xfId="0" applyFont="1" applyFill="1" applyBorder="1" applyAlignment="1">
      <alignment horizontal="left" vertical="top" wrapText="1"/>
    </xf>
    <xf numFmtId="164" fontId="30" fillId="0" borderId="6" xfId="3" applyFont="1" applyBorder="1" applyAlignment="1">
      <alignment horizontal="center" vertical="top" wrapText="1"/>
    </xf>
    <xf numFmtId="0" fontId="30" fillId="0" borderId="6" xfId="0" applyFont="1" applyBorder="1" applyAlignment="1">
      <alignment horizontal="center" vertical="top"/>
    </xf>
    <xf numFmtId="0" fontId="30" fillId="0" borderId="0" xfId="0" applyFont="1" applyAlignment="1">
      <alignment horizontal="center" vertical="top"/>
    </xf>
    <xf numFmtId="0" fontId="30" fillId="0" borderId="0" xfId="0" applyFont="1" applyAlignment="1">
      <alignment vertical="top"/>
    </xf>
    <xf numFmtId="164" fontId="4" fillId="14" borderId="6" xfId="3" applyFont="1" applyFill="1" applyBorder="1" applyAlignment="1">
      <alignment horizontal="center" vertical="top" wrapText="1"/>
    </xf>
    <xf numFmtId="164" fontId="5" fillId="14" borderId="6" xfId="3" applyFont="1" applyFill="1" applyBorder="1" applyAlignment="1">
      <alignment horizontal="center" vertical="top" wrapText="1"/>
    </xf>
    <xf numFmtId="0" fontId="16" fillId="0" borderId="0" xfId="0" applyFont="1" applyAlignment="1">
      <alignment horizontal="center" vertical="top" wrapText="1"/>
    </xf>
    <xf numFmtId="0" fontId="31" fillId="0" borderId="6" xfId="0" applyFont="1" applyBorder="1" applyAlignment="1">
      <alignment horizontal="left" vertical="top"/>
    </xf>
    <xf numFmtId="0" fontId="35" fillId="0" borderId="6" xfId="0" applyFont="1" applyBorder="1" applyAlignment="1">
      <alignment horizontal="left" vertical="top"/>
    </xf>
    <xf numFmtId="164" fontId="35" fillId="0" borderId="6" xfId="3" applyFont="1" applyBorder="1" applyAlignment="1">
      <alignment horizontal="center" vertical="top" wrapText="1"/>
    </xf>
    <xf numFmtId="164" fontId="35" fillId="0" borderId="6" xfId="3" applyFont="1" applyBorder="1" applyAlignment="1">
      <alignment horizontal="left" vertical="top"/>
    </xf>
    <xf numFmtId="10" fontId="35" fillId="0" borderId="6" xfId="2" applyNumberFormat="1" applyFont="1" applyBorder="1" applyAlignment="1">
      <alignment horizontal="center" vertical="top"/>
    </xf>
    <xf numFmtId="0" fontId="31" fillId="0" borderId="0" xfId="0" applyFont="1" applyAlignment="1">
      <alignment horizontal="center" vertical="top"/>
    </xf>
    <xf numFmtId="43" fontId="8" fillId="0" borderId="6" xfId="1" applyFont="1" applyBorder="1" applyAlignment="1">
      <alignment vertical="top"/>
    </xf>
    <xf numFmtId="0" fontId="10" fillId="0" borderId="0" xfId="0" applyFont="1" applyAlignment="1">
      <alignment vertical="top"/>
    </xf>
    <xf numFmtId="43" fontId="11" fillId="8" borderId="6" xfId="0" applyNumberFormat="1" applyFont="1" applyFill="1" applyBorder="1" applyAlignment="1">
      <alignment vertical="top"/>
    </xf>
    <xf numFmtId="0" fontId="12" fillId="0" borderId="0" xfId="0" applyFont="1" applyAlignment="1">
      <alignment vertical="top"/>
    </xf>
    <xf numFmtId="166" fontId="8" fillId="0" borderId="6" xfId="1" applyNumberFormat="1" applyFont="1" applyBorder="1" applyAlignment="1">
      <alignment horizontal="right" vertical="top"/>
    </xf>
    <xf numFmtId="166" fontId="11" fillId="8" borderId="6" xfId="0" applyNumberFormat="1" applyFont="1" applyFill="1" applyBorder="1" applyAlignment="1">
      <alignment horizontal="right" vertical="top"/>
    </xf>
    <xf numFmtId="43" fontId="9" fillId="9" borderId="6" xfId="0" applyNumberFormat="1" applyFont="1" applyFill="1" applyBorder="1" applyAlignment="1">
      <alignment vertical="top"/>
    </xf>
    <xf numFmtId="0" fontId="2" fillId="0" borderId="0" xfId="0" applyFont="1" applyAlignment="1">
      <alignment vertical="top"/>
    </xf>
    <xf numFmtId="0" fontId="2" fillId="0" borderId="6" xfId="0" applyFont="1" applyBorder="1" applyAlignment="1">
      <alignment horizontal="center" vertical="top"/>
    </xf>
    <xf numFmtId="14" fontId="2" fillId="0" borderId="6" xfId="0" applyNumberFormat="1" applyFont="1" applyBorder="1" applyAlignment="1">
      <alignment horizontal="center" vertical="top"/>
    </xf>
    <xf numFmtId="169" fontId="2" fillId="0" borderId="6" xfId="0" applyNumberFormat="1" applyFont="1" applyBorder="1" applyAlignment="1">
      <alignment horizontal="center" vertical="top"/>
    </xf>
    <xf numFmtId="0" fontId="2" fillId="0" borderId="6" xfId="0" applyFont="1" applyBorder="1" applyAlignment="1">
      <alignment vertical="top" wrapText="1"/>
    </xf>
    <xf numFmtId="43" fontId="2" fillId="0" borderId="6" xfId="1" applyFont="1" applyFill="1" applyBorder="1" applyAlignment="1">
      <alignment horizontal="center" vertical="top"/>
    </xf>
    <xf numFmtId="0" fontId="2" fillId="0" borderId="6" xfId="0" applyFont="1" applyBorder="1" applyAlignment="1">
      <alignment horizontal="left" vertical="top" wrapText="1"/>
    </xf>
    <xf numFmtId="14" fontId="3" fillId="0" borderId="14" xfId="1" applyNumberFormat="1" applyFont="1" applyFill="1" applyBorder="1" applyAlignment="1">
      <alignment vertical="top" wrapText="1"/>
    </xf>
    <xf numFmtId="0" fontId="3" fillId="0" borderId="27" xfId="0" quotePrefix="1" applyFont="1" applyBorder="1" applyAlignment="1">
      <alignment vertical="top" wrapText="1"/>
    </xf>
    <xf numFmtId="43" fontId="3" fillId="0" borderId="21" xfId="1" applyFont="1" applyFill="1" applyBorder="1" applyAlignment="1">
      <alignment vertical="top" wrapText="1"/>
    </xf>
    <xf numFmtId="0" fontId="3" fillId="0" borderId="28" xfId="0" applyFont="1" applyBorder="1" applyAlignment="1">
      <alignment vertical="top" wrapText="1"/>
    </xf>
    <xf numFmtId="43" fontId="3" fillId="0" borderId="17" xfId="1" applyFont="1" applyFill="1" applyBorder="1" applyAlignment="1">
      <alignment vertical="top" wrapText="1"/>
    </xf>
    <xf numFmtId="0" fontId="3" fillId="0" borderId="29" xfId="0" applyFont="1" applyBorder="1" applyAlignment="1">
      <alignment vertical="top" wrapText="1"/>
    </xf>
    <xf numFmtId="43" fontId="3" fillId="0" borderId="14" xfId="1" applyFont="1" applyFill="1" applyBorder="1" applyAlignment="1">
      <alignment vertical="top" wrapText="1"/>
    </xf>
    <xf numFmtId="0" fontId="3" fillId="0" borderId="27" xfId="0" applyFont="1" applyBorder="1" applyAlignment="1">
      <alignment vertical="top" wrapText="1"/>
    </xf>
    <xf numFmtId="14" fontId="3" fillId="0" borderId="21" xfId="1" applyNumberFormat="1" applyFont="1" applyFill="1" applyBorder="1" applyAlignment="1">
      <alignment vertical="top" wrapText="1"/>
    </xf>
    <xf numFmtId="0" fontId="3" fillId="0" borderId="28" xfId="0" quotePrefix="1" applyFont="1" applyBorder="1" applyAlignment="1">
      <alignment vertical="top" wrapText="1"/>
    </xf>
    <xf numFmtId="17" fontId="3" fillId="0" borderId="27" xfId="0" quotePrefix="1" applyNumberFormat="1" applyFont="1" applyBorder="1" applyAlignment="1">
      <alignment vertical="top" wrapText="1"/>
    </xf>
    <xf numFmtId="17" fontId="3" fillId="0" borderId="28" xfId="0" quotePrefix="1" applyNumberFormat="1" applyFont="1" applyBorder="1" applyAlignment="1">
      <alignment vertical="top" wrapText="1"/>
    </xf>
    <xf numFmtId="43" fontId="2" fillId="0" borderId="21" xfId="1" applyFont="1" applyFill="1" applyBorder="1" applyAlignment="1">
      <alignment horizontal="center" vertical="top"/>
    </xf>
    <xf numFmtId="0" fontId="2" fillId="0" borderId="28" xfId="0" applyFont="1" applyBorder="1" applyAlignment="1">
      <alignment horizontal="left" vertical="top"/>
    </xf>
    <xf numFmtId="43" fontId="8" fillId="0" borderId="21" xfId="1" applyFont="1" applyFill="1" applyBorder="1" applyAlignment="1">
      <alignment horizontal="center" vertical="top"/>
    </xf>
    <xf numFmtId="0" fontId="8" fillId="0" borderId="28" xfId="0" applyFont="1" applyBorder="1" applyAlignment="1">
      <alignment horizontal="left" vertical="top"/>
    </xf>
    <xf numFmtId="43" fontId="8" fillId="0" borderId="17" xfId="1" applyFont="1" applyFill="1" applyBorder="1" applyAlignment="1">
      <alignment horizontal="center" vertical="top"/>
    </xf>
    <xf numFmtId="0" fontId="8" fillId="0" borderId="29" xfId="0" applyFont="1" applyBorder="1" applyAlignment="1">
      <alignment horizontal="left" vertical="top"/>
    </xf>
    <xf numFmtId="43" fontId="3" fillId="0" borderId="0" xfId="1" applyFont="1" applyFill="1" applyBorder="1" applyAlignment="1">
      <alignment vertical="top" wrapText="1"/>
    </xf>
    <xf numFmtId="17" fontId="3" fillId="0" borderId="0" xfId="0" quotePrefix="1" applyNumberFormat="1" applyFont="1" applyAlignment="1">
      <alignment vertical="top" wrapText="1"/>
    </xf>
    <xf numFmtId="0" fontId="8" fillId="0" borderId="0" xfId="0" applyFont="1" applyAlignment="1">
      <alignment horizontal="left" vertical="top"/>
    </xf>
    <xf numFmtId="0" fontId="3" fillId="0" borderId="0" xfId="0" applyFont="1" applyAlignment="1">
      <alignment vertical="top" wrapText="1"/>
    </xf>
    <xf numFmtId="0" fontId="6" fillId="7" borderId="6" xfId="0" applyFont="1" applyFill="1" applyBorder="1" applyAlignment="1">
      <alignment horizontal="center" vertical="top"/>
    </xf>
    <xf numFmtId="165" fontId="7" fillId="0" borderId="6" xfId="0" applyNumberFormat="1" applyFont="1" applyBorder="1" applyAlignment="1">
      <alignment horizontal="center" vertical="top"/>
    </xf>
    <xf numFmtId="0" fontId="4" fillId="0" borderId="6" xfId="0" applyFont="1" applyBorder="1" applyAlignment="1">
      <alignment horizontal="center" vertical="top"/>
    </xf>
    <xf numFmtId="0" fontId="5" fillId="0" borderId="6" xfId="0" applyFont="1" applyBorder="1" applyAlignment="1">
      <alignment vertical="top" wrapText="1"/>
    </xf>
    <xf numFmtId="39" fontId="5" fillId="0" borderId="6" xfId="0" applyNumberFormat="1" applyFont="1" applyBorder="1" applyAlignment="1">
      <alignment vertical="top"/>
    </xf>
    <xf numFmtId="0" fontId="4" fillId="7" borderId="6" xfId="0" applyFont="1" applyFill="1" applyBorder="1" applyAlignment="1">
      <alignment horizontal="center" vertical="top"/>
    </xf>
    <xf numFmtId="4" fontId="5" fillId="0" borderId="6" xfId="0" applyNumberFormat="1" applyFont="1" applyBorder="1" applyAlignment="1">
      <alignment vertical="top"/>
    </xf>
    <xf numFmtId="0" fontId="4" fillId="9" borderId="6" xfId="0" applyFont="1" applyFill="1" applyBorder="1" applyAlignment="1">
      <alignment horizontal="center" vertical="top"/>
    </xf>
    <xf numFmtId="0" fontId="5" fillId="9" borderId="6" xfId="0" applyFont="1" applyFill="1" applyBorder="1" applyAlignment="1">
      <alignment vertical="top"/>
    </xf>
    <xf numFmtId="39" fontId="5" fillId="9" borderId="6" xfId="0" applyNumberFormat="1" applyFont="1" applyFill="1" applyBorder="1" applyAlignment="1">
      <alignment vertical="top"/>
    </xf>
    <xf numFmtId="165" fontId="7" fillId="12" borderId="6" xfId="0" applyNumberFormat="1" applyFont="1" applyFill="1" applyBorder="1" applyAlignment="1">
      <alignment horizontal="center" vertical="top"/>
    </xf>
    <xf numFmtId="0" fontId="4" fillId="12" borderId="6" xfId="0" applyFont="1" applyFill="1" applyBorder="1" applyAlignment="1">
      <alignment horizontal="center" vertical="top"/>
    </xf>
    <xf numFmtId="0" fontId="5" fillId="12" borderId="6" xfId="0" applyFont="1" applyFill="1" applyBorder="1" applyAlignment="1">
      <alignment vertical="top"/>
    </xf>
    <xf numFmtId="39" fontId="5" fillId="12" borderId="6" xfId="0" applyNumberFormat="1" applyFont="1" applyFill="1" applyBorder="1" applyAlignment="1">
      <alignment vertical="top"/>
    </xf>
    <xf numFmtId="4" fontId="5" fillId="9" borderId="6" xfId="0" applyNumberFormat="1" applyFont="1" applyFill="1" applyBorder="1" applyAlignment="1">
      <alignment vertical="top"/>
    </xf>
    <xf numFmtId="0" fontId="4" fillId="0" borderId="0" xfId="0" applyFont="1" applyAlignment="1">
      <alignment horizontal="center" vertical="top"/>
    </xf>
    <xf numFmtId="39" fontId="7" fillId="0" borderId="6" xfId="0" applyNumberFormat="1" applyFont="1" applyBorder="1" applyAlignment="1">
      <alignment horizontal="center" vertical="top" wrapText="1"/>
    </xf>
    <xf numFmtId="39" fontId="7" fillId="0" borderId="6" xfId="0" applyNumberFormat="1" applyFont="1" applyBorder="1" applyAlignment="1">
      <alignment horizontal="center" vertical="top"/>
    </xf>
    <xf numFmtId="39" fontId="6" fillId="4" borderId="6" xfId="0" applyNumberFormat="1" applyFont="1" applyFill="1" applyBorder="1" applyAlignment="1">
      <alignment horizontal="right" vertical="top"/>
    </xf>
    <xf numFmtId="39" fontId="6" fillId="4" borderId="6" xfId="0" applyNumberFormat="1" applyFont="1" applyFill="1" applyBorder="1" applyAlignment="1">
      <alignment horizontal="center" vertical="top"/>
    </xf>
    <xf numFmtId="39" fontId="6" fillId="5" borderId="6" xfId="0" applyNumberFormat="1" applyFont="1" applyFill="1" applyBorder="1" applyAlignment="1">
      <alignment horizontal="right" vertical="top"/>
    </xf>
    <xf numFmtId="39" fontId="6" fillId="5" borderId="6" xfId="0" applyNumberFormat="1" applyFont="1" applyFill="1" applyBorder="1" applyAlignment="1">
      <alignment horizontal="center" vertical="top"/>
    </xf>
    <xf numFmtId="39" fontId="6" fillId="6" borderId="6" xfId="0" applyNumberFormat="1" applyFont="1" applyFill="1" applyBorder="1" applyAlignment="1">
      <alignment horizontal="right" vertical="top"/>
    </xf>
    <xf numFmtId="39" fontId="6" fillId="6" borderId="6" xfId="0" applyNumberFormat="1" applyFont="1" applyFill="1" applyBorder="1" applyAlignment="1">
      <alignment horizontal="center" vertical="top"/>
    </xf>
    <xf numFmtId="39" fontId="5" fillId="5" borderId="6" xfId="0" applyNumberFormat="1" applyFont="1" applyFill="1" applyBorder="1" applyAlignment="1">
      <alignment vertical="top"/>
    </xf>
    <xf numFmtId="39" fontId="5" fillId="5" borderId="6" xfId="0" applyNumberFormat="1" applyFont="1" applyFill="1" applyBorder="1" applyAlignment="1">
      <alignment horizontal="center" vertical="top"/>
    </xf>
    <xf numFmtId="39" fontId="5" fillId="6" borderId="6" xfId="0" applyNumberFormat="1" applyFont="1" applyFill="1" applyBorder="1" applyAlignment="1">
      <alignment vertical="top"/>
    </xf>
    <xf numFmtId="39" fontId="5" fillId="6" borderId="6" xfId="0" applyNumberFormat="1" applyFont="1" applyFill="1" applyBorder="1" applyAlignment="1">
      <alignment horizontal="center" vertical="top"/>
    </xf>
    <xf numFmtId="39" fontId="5" fillId="9" borderId="6" xfId="0" applyNumberFormat="1" applyFont="1" applyFill="1" applyBorder="1" applyAlignment="1">
      <alignment horizontal="center" vertical="top"/>
    </xf>
    <xf numFmtId="39" fontId="6" fillId="0" borderId="31" xfId="0" applyNumberFormat="1" applyFont="1" applyBorder="1" applyAlignment="1">
      <alignment horizontal="right" vertical="top" wrapText="1"/>
    </xf>
    <xf numFmtId="39" fontId="6" fillId="0" borderId="31" xfId="0" applyNumberFormat="1" applyFont="1" applyBorder="1" applyAlignment="1">
      <alignment horizontal="right" vertical="top"/>
    </xf>
    <xf numFmtId="39" fontId="6" fillId="0" borderId="31" xfId="0" applyNumberFormat="1" applyFont="1" applyBorder="1" applyAlignment="1">
      <alignment horizontal="center" vertical="top"/>
    </xf>
    <xf numFmtId="39" fontId="6" fillId="0" borderId="18" xfId="0" applyNumberFormat="1" applyFont="1" applyBorder="1" applyAlignment="1">
      <alignment horizontal="right" vertical="top" wrapText="1"/>
    </xf>
    <xf numFmtId="39" fontId="6" fillId="0" borderId="18" xfId="0" applyNumberFormat="1" applyFont="1" applyBorder="1" applyAlignment="1">
      <alignment horizontal="right" vertical="top"/>
    </xf>
    <xf numFmtId="39" fontId="6" fillId="0" borderId="18" xfId="0" applyNumberFormat="1" applyFont="1" applyBorder="1" applyAlignment="1">
      <alignment horizontal="center" vertical="top"/>
    </xf>
    <xf numFmtId="0" fontId="16" fillId="9" borderId="6" xfId="0" applyFont="1" applyFill="1" applyBorder="1" applyAlignment="1">
      <alignment horizontal="left" vertical="top"/>
    </xf>
    <xf numFmtId="0" fontId="16" fillId="9" borderId="6" xfId="0" applyFont="1" applyFill="1" applyBorder="1" applyAlignment="1">
      <alignment vertical="top"/>
    </xf>
    <xf numFmtId="164" fontId="16" fillId="9" borderId="6" xfId="3" applyFont="1" applyFill="1" applyBorder="1" applyAlignment="1">
      <alignment horizontal="center" vertical="top" wrapText="1"/>
    </xf>
    <xf numFmtId="0" fontId="16" fillId="9" borderId="6" xfId="0" applyFont="1" applyFill="1" applyBorder="1" applyAlignment="1">
      <alignment horizontal="left" vertical="top" wrapText="1"/>
    </xf>
    <xf numFmtId="0" fontId="30" fillId="9" borderId="6" xfId="0" applyFont="1" applyFill="1" applyBorder="1" applyAlignment="1">
      <alignment horizontal="left" vertical="top"/>
    </xf>
    <xf numFmtId="0" fontId="30" fillId="5" borderId="6" xfId="0" applyFont="1" applyFill="1" applyBorder="1" applyAlignment="1">
      <alignment horizontal="left" vertical="top"/>
    </xf>
    <xf numFmtId="0" fontId="29" fillId="13" borderId="0" xfId="0" applyFont="1" applyFill="1" applyAlignment="1">
      <alignment horizontal="left" vertical="top"/>
    </xf>
    <xf numFmtId="164" fontId="16" fillId="0" borderId="22" xfId="3" applyFont="1" applyBorder="1" applyAlignment="1">
      <alignment vertical="top"/>
    </xf>
    <xf numFmtId="0" fontId="16" fillId="0" borderId="21" xfId="3" applyNumberFormat="1" applyFont="1" applyBorder="1" applyAlignment="1">
      <alignment vertical="top"/>
    </xf>
    <xf numFmtId="164" fontId="16" fillId="0" borderId="21" xfId="3" applyFont="1" applyBorder="1" applyAlignment="1">
      <alignment vertical="top" wrapText="1"/>
    </xf>
    <xf numFmtId="164" fontId="16" fillId="0" borderId="21" xfId="3" applyFont="1" applyBorder="1" applyAlignment="1">
      <alignment vertical="top"/>
    </xf>
    <xf numFmtId="0" fontId="16" fillId="0" borderId="5" xfId="3" applyNumberFormat="1" applyFont="1" applyBorder="1" applyAlignment="1">
      <alignment vertical="top"/>
    </xf>
    <xf numFmtId="164" fontId="16" fillId="0" borderId="5" xfId="3" applyFont="1" applyBorder="1" applyAlignment="1">
      <alignment vertical="top" wrapText="1"/>
    </xf>
    <xf numFmtId="164" fontId="16" fillId="0" borderId="5" xfId="3" applyFont="1" applyBorder="1" applyAlignment="1">
      <alignment vertical="top"/>
    </xf>
    <xf numFmtId="164" fontId="29" fillId="0" borderId="22" xfId="3" applyFont="1" applyBorder="1" applyAlignment="1">
      <alignment vertical="top" wrapText="1"/>
    </xf>
    <xf numFmtId="0" fontId="29" fillId="0" borderId="21" xfId="3" applyNumberFormat="1" applyFont="1" applyBorder="1" applyAlignment="1">
      <alignment vertical="top" wrapText="1"/>
    </xf>
    <xf numFmtId="164" fontId="29" fillId="0" borderId="21" xfId="3" applyFont="1" applyBorder="1" applyAlignment="1">
      <alignment vertical="top" wrapText="1"/>
    </xf>
    <xf numFmtId="0" fontId="29" fillId="0" borderId="5" xfId="3" applyNumberFormat="1" applyFont="1" applyBorder="1" applyAlignment="1">
      <alignment vertical="top" wrapText="1"/>
    </xf>
    <xf numFmtId="164" fontId="29" fillId="0" borderId="5" xfId="3" applyFont="1" applyBorder="1" applyAlignment="1">
      <alignment vertical="top" wrapText="1"/>
    </xf>
    <xf numFmtId="0" fontId="29" fillId="0" borderId="5" xfId="0" applyFont="1" applyBorder="1" applyAlignment="1">
      <alignment horizontal="left" vertical="top" wrapText="1"/>
    </xf>
    <xf numFmtId="0" fontId="30" fillId="9" borderId="6" xfId="0" applyFont="1" applyFill="1" applyBorder="1" applyAlignment="1">
      <alignment horizontal="justify" vertical="center" wrapText="1"/>
    </xf>
    <xf numFmtId="4" fontId="30" fillId="9" borderId="6" xfId="0" applyNumberFormat="1" applyFont="1" applyFill="1" applyBorder="1" applyAlignment="1">
      <alignment horizontal="right" vertical="center" wrapText="1"/>
    </xf>
    <xf numFmtId="0" fontId="30" fillId="9" borderId="6" xfId="0" applyFont="1" applyFill="1" applyBorder="1" applyAlignment="1">
      <alignment horizontal="right" vertical="center" wrapText="1"/>
    </xf>
    <xf numFmtId="10" fontId="30" fillId="9" borderId="6" xfId="0" applyNumberFormat="1" applyFont="1" applyFill="1" applyBorder="1" applyAlignment="1">
      <alignment horizontal="right" vertical="center" wrapText="1"/>
    </xf>
    <xf numFmtId="0" fontId="41" fillId="0" borderId="0" xfId="0" applyFont="1" applyAlignment="1">
      <alignment horizontal="center" vertical="center"/>
    </xf>
    <xf numFmtId="0" fontId="42" fillId="0" borderId="0" xfId="0" applyFont="1" applyAlignment="1">
      <alignment horizontal="center" vertical="center"/>
    </xf>
    <xf numFmtId="0" fontId="12" fillId="0" borderId="0" xfId="0" applyFont="1" applyAlignment="1">
      <alignment horizontal="center" vertical="center"/>
    </xf>
    <xf numFmtId="0" fontId="40" fillId="0" borderId="0" xfId="0" applyFont="1" applyAlignment="1">
      <alignment horizontal="center"/>
    </xf>
    <xf numFmtId="0" fontId="40" fillId="0" borderId="0" xfId="0" applyFont="1" applyAlignment="1">
      <alignment horizontal="center" vertical="center"/>
    </xf>
    <xf numFmtId="0" fontId="9" fillId="0" borderId="32" xfId="10" applyFont="1" applyBorder="1" applyAlignment="1">
      <alignment horizontal="center" vertical="center" wrapText="1"/>
    </xf>
    <xf numFmtId="0" fontId="9" fillId="0" borderId="13" xfId="10" applyFont="1" applyBorder="1" applyAlignment="1">
      <alignment horizontal="center" vertical="center" wrapText="1"/>
    </xf>
    <xf numFmtId="0" fontId="9" fillId="0" borderId="33" xfId="10" applyFont="1" applyBorder="1" applyAlignment="1">
      <alignment horizontal="center" vertical="center" wrapText="1"/>
    </xf>
    <xf numFmtId="0" fontId="9" fillId="0" borderId="34" xfId="10" applyFont="1" applyBorder="1" applyAlignment="1">
      <alignment horizontal="center" vertical="center" wrapText="1"/>
    </xf>
    <xf numFmtId="0" fontId="9" fillId="0" borderId="0" xfId="10" applyFont="1" applyAlignment="1">
      <alignment horizontal="center" vertical="center" wrapText="1"/>
    </xf>
    <xf numFmtId="0" fontId="9" fillId="0" borderId="35" xfId="10" applyFont="1" applyBorder="1" applyAlignment="1">
      <alignment horizontal="center" vertical="center" wrapText="1"/>
    </xf>
    <xf numFmtId="0" fontId="9" fillId="0" borderId="38" xfId="10" applyFont="1" applyBorder="1" applyAlignment="1">
      <alignment horizontal="center" vertical="center" wrapText="1"/>
    </xf>
    <xf numFmtId="0" fontId="9" fillId="0" borderId="10" xfId="10" applyFont="1" applyBorder="1" applyAlignment="1">
      <alignment horizontal="center" vertical="center" wrapText="1"/>
    </xf>
    <xf numFmtId="0" fontId="9" fillId="0" borderId="39" xfId="10" applyFont="1" applyBorder="1" applyAlignment="1">
      <alignment horizontal="center" vertical="center" wrapText="1"/>
    </xf>
    <xf numFmtId="0" fontId="9" fillId="0" borderId="32" xfId="10" applyFont="1" applyBorder="1" applyAlignment="1">
      <alignment horizontal="center"/>
    </xf>
    <xf numFmtId="0" fontId="9" fillId="0" borderId="13" xfId="10" applyFont="1" applyBorder="1" applyAlignment="1">
      <alignment horizontal="center"/>
    </xf>
    <xf numFmtId="0" fontId="9" fillId="0" borderId="33" xfId="10" applyFont="1" applyBorder="1" applyAlignment="1">
      <alignment horizontal="center"/>
    </xf>
    <xf numFmtId="0" fontId="9" fillId="0" borderId="0" xfId="0" applyFont="1" applyAlignment="1">
      <alignment horizontal="center" vertical="center"/>
    </xf>
    <xf numFmtId="0" fontId="8" fillId="0" borderId="0" xfId="0" applyFont="1" applyAlignment="1">
      <alignment horizontal="center" vertical="center"/>
    </xf>
    <xf numFmtId="0" fontId="9" fillId="0" borderId="34" xfId="10" applyFont="1" applyBorder="1" applyAlignment="1">
      <alignment horizontal="center"/>
    </xf>
    <xf numFmtId="0" fontId="9" fillId="0" borderId="35" xfId="10" applyFont="1" applyBorder="1" applyAlignment="1">
      <alignment horizontal="center"/>
    </xf>
    <xf numFmtId="0" fontId="9" fillId="0" borderId="38" xfId="10" applyFont="1" applyBorder="1" applyAlignment="1">
      <alignment horizontal="center"/>
    </xf>
    <xf numFmtId="0" fontId="9" fillId="0" borderId="39" xfId="10" applyFont="1" applyBorder="1" applyAlignment="1">
      <alignment horizontal="center"/>
    </xf>
    <xf numFmtId="0" fontId="9" fillId="0" borderId="36" xfId="10" applyFont="1" applyBorder="1" applyAlignment="1">
      <alignment horizontal="center"/>
    </xf>
    <xf numFmtId="0" fontId="9" fillId="0" borderId="18" xfId="10" applyFont="1" applyBorder="1" applyAlignment="1">
      <alignment horizontal="center"/>
    </xf>
    <xf numFmtId="0" fontId="9" fillId="0" borderId="37" xfId="10" applyFont="1" applyBorder="1" applyAlignment="1">
      <alignment horizontal="center"/>
    </xf>
    <xf numFmtId="0" fontId="9" fillId="0" borderId="40" xfId="10" applyFont="1" applyBorder="1" applyAlignment="1">
      <alignment horizontal="center"/>
    </xf>
    <xf numFmtId="0" fontId="9" fillId="0" borderId="2" xfId="10" applyFont="1" applyBorder="1" applyAlignment="1">
      <alignment horizontal="center"/>
    </xf>
    <xf numFmtId="0" fontId="9" fillId="0" borderId="1" xfId="10" applyFont="1" applyBorder="1" applyAlignment="1">
      <alignment horizontal="center"/>
    </xf>
    <xf numFmtId="0" fontId="9" fillId="0" borderId="41" xfId="10" applyFont="1" applyBorder="1" applyAlignment="1">
      <alignment horizontal="center"/>
    </xf>
    <xf numFmtId="0" fontId="9" fillId="0" borderId="32" xfId="10" applyFont="1" applyBorder="1" applyAlignment="1">
      <alignment horizontal="center" vertical="center"/>
    </xf>
    <xf numFmtId="0" fontId="9" fillId="0" borderId="33" xfId="10" applyFont="1" applyBorder="1" applyAlignment="1">
      <alignment horizontal="center" vertical="center"/>
    </xf>
    <xf numFmtId="0" fontId="9" fillId="0" borderId="34" xfId="10" applyFont="1" applyBorder="1" applyAlignment="1">
      <alignment horizontal="center" vertical="center"/>
    </xf>
    <xf numFmtId="0" fontId="9" fillId="0" borderId="35" xfId="10" applyFont="1" applyBorder="1" applyAlignment="1">
      <alignment horizontal="center" vertical="center"/>
    </xf>
    <xf numFmtId="0" fontId="9" fillId="0" borderId="38" xfId="10" applyFont="1" applyBorder="1" applyAlignment="1">
      <alignment horizontal="center" vertical="center"/>
    </xf>
    <xf numFmtId="0" fontId="9" fillId="0" borderId="39" xfId="10" applyFont="1" applyBorder="1" applyAlignment="1">
      <alignment horizontal="center" vertical="center"/>
    </xf>
    <xf numFmtId="0" fontId="9" fillId="7" borderId="6" xfId="0" applyFont="1" applyFill="1" applyBorder="1" applyAlignment="1">
      <alignment horizontal="left" vertical="top" wrapText="1"/>
    </xf>
    <xf numFmtId="0" fontId="11" fillId="8" borderId="7" xfId="0" applyFont="1" applyFill="1" applyBorder="1" applyAlignment="1">
      <alignment horizontal="right" vertical="top" wrapText="1"/>
    </xf>
    <xf numFmtId="0" fontId="11" fillId="8" borderId="9" xfId="0" applyFont="1" applyFill="1" applyBorder="1" applyAlignment="1">
      <alignment horizontal="right" vertical="top" wrapText="1"/>
    </xf>
    <xf numFmtId="0" fontId="9" fillId="9" borderId="7" xfId="0" applyFont="1" applyFill="1" applyBorder="1" applyAlignment="1">
      <alignment horizontal="left" vertical="top" wrapText="1"/>
    </xf>
    <xf numFmtId="0" fontId="9" fillId="9" borderId="9" xfId="0" applyFont="1" applyFill="1" applyBorder="1" applyAlignment="1">
      <alignment horizontal="left" vertical="top" wrapText="1"/>
    </xf>
    <xf numFmtId="0" fontId="3" fillId="0" borderId="0" xfId="0" applyFont="1" applyAlignment="1">
      <alignment horizontal="left"/>
    </xf>
    <xf numFmtId="0" fontId="2" fillId="0" borderId="18" xfId="0" applyFont="1" applyBorder="1" applyAlignment="1">
      <alignment horizontal="left"/>
    </xf>
    <xf numFmtId="0" fontId="4" fillId="0" borderId="6" xfId="0" applyFont="1" applyBorder="1" applyAlignment="1">
      <alignment horizontal="center" vertical="top"/>
    </xf>
    <xf numFmtId="0" fontId="4" fillId="0" borderId="6" xfId="0" applyFont="1" applyBorder="1" applyAlignment="1">
      <alignment horizontal="center" vertical="top" wrapText="1"/>
    </xf>
    <xf numFmtId="0" fontId="5" fillId="7" borderId="7" xfId="0" applyFont="1" applyFill="1" applyBorder="1" applyAlignment="1">
      <alignment horizontal="center" vertical="top" wrapText="1"/>
    </xf>
    <xf numFmtId="0" fontId="5" fillId="7" borderId="8" xfId="0" applyFont="1" applyFill="1" applyBorder="1" applyAlignment="1">
      <alignment horizontal="center" vertical="top" wrapText="1"/>
    </xf>
    <xf numFmtId="0" fontId="5" fillId="7" borderId="9" xfId="0" applyFont="1" applyFill="1" applyBorder="1" applyAlignment="1">
      <alignment horizontal="center" vertical="top" wrapText="1"/>
    </xf>
    <xf numFmtId="0" fontId="5" fillId="9" borderId="7" xfId="0" applyFont="1" applyFill="1" applyBorder="1" applyAlignment="1">
      <alignment horizontal="right" vertical="top"/>
    </xf>
    <xf numFmtId="0" fontId="5" fillId="9" borderId="8" xfId="0" applyFont="1" applyFill="1" applyBorder="1" applyAlignment="1">
      <alignment horizontal="right" vertical="top"/>
    </xf>
    <xf numFmtId="0" fontId="5" fillId="9" borderId="9" xfId="0" applyFont="1" applyFill="1" applyBorder="1" applyAlignment="1">
      <alignment horizontal="right" vertical="top"/>
    </xf>
    <xf numFmtId="39" fontId="6" fillId="5" borderId="7" xfId="0" applyNumberFormat="1" applyFont="1" applyFill="1" applyBorder="1" applyAlignment="1">
      <alignment horizontal="right" vertical="top" wrapText="1"/>
    </xf>
    <xf numFmtId="39" fontId="6" fillId="5" borderId="8" xfId="0" applyNumberFormat="1" applyFont="1" applyFill="1" applyBorder="1" applyAlignment="1">
      <alignment horizontal="right" vertical="top" wrapText="1"/>
    </xf>
    <xf numFmtId="39" fontId="6" fillId="5" borderId="9" xfId="0" applyNumberFormat="1" applyFont="1" applyFill="1" applyBorder="1" applyAlignment="1">
      <alignment horizontal="right" vertical="top" wrapText="1"/>
    </xf>
    <xf numFmtId="0" fontId="5" fillId="3" borderId="7" xfId="0" applyFont="1" applyFill="1" applyBorder="1" applyAlignment="1">
      <alignment vertical="top" wrapText="1"/>
    </xf>
    <xf numFmtId="0" fontId="5" fillId="3" borderId="8" xfId="0" applyFont="1" applyFill="1" applyBorder="1" applyAlignment="1">
      <alignment vertical="top" wrapText="1"/>
    </xf>
    <xf numFmtId="0" fontId="5" fillId="3" borderId="9" xfId="0" applyFont="1" applyFill="1" applyBorder="1" applyAlignment="1">
      <alignment vertical="top" wrapText="1"/>
    </xf>
    <xf numFmtId="39" fontId="6" fillId="6" borderId="7" xfId="0" applyNumberFormat="1" applyFont="1" applyFill="1" applyBorder="1" applyAlignment="1">
      <alignment horizontal="right" vertical="top"/>
    </xf>
    <xf numFmtId="39" fontId="6" fillId="6" borderId="8" xfId="0" applyNumberFormat="1" applyFont="1" applyFill="1" applyBorder="1" applyAlignment="1">
      <alignment horizontal="right" vertical="top"/>
    </xf>
    <xf numFmtId="39" fontId="6" fillId="6" borderId="9" xfId="0" applyNumberFormat="1" applyFont="1" applyFill="1" applyBorder="1" applyAlignment="1">
      <alignment horizontal="right" vertical="top"/>
    </xf>
    <xf numFmtId="0" fontId="5" fillId="2" borderId="7" xfId="0" applyFont="1" applyFill="1" applyBorder="1" applyAlignment="1">
      <alignment horizontal="center" vertical="top" wrapText="1"/>
    </xf>
    <xf numFmtId="0" fontId="5" fillId="2" borderId="8" xfId="0" applyFont="1" applyFill="1" applyBorder="1" applyAlignment="1">
      <alignment horizontal="center" vertical="top" wrapText="1"/>
    </xf>
    <xf numFmtId="0" fontId="5" fillId="2" borderId="9" xfId="0" applyFont="1" applyFill="1" applyBorder="1" applyAlignment="1">
      <alignment horizontal="center" vertical="top" wrapText="1"/>
    </xf>
    <xf numFmtId="39" fontId="6" fillId="4" borderId="7" xfId="0" applyNumberFormat="1" applyFont="1" applyFill="1" applyBorder="1" applyAlignment="1">
      <alignment horizontal="right" vertical="top" wrapText="1"/>
    </xf>
    <xf numFmtId="39" fontId="6" fillId="4" borderId="8" xfId="0" applyNumberFormat="1" applyFont="1" applyFill="1" applyBorder="1" applyAlignment="1">
      <alignment horizontal="right" vertical="top" wrapText="1"/>
    </xf>
    <xf numFmtId="39" fontId="6" fillId="4" borderId="9" xfId="0" applyNumberFormat="1" applyFont="1" applyFill="1" applyBorder="1" applyAlignment="1">
      <alignment horizontal="right" vertical="top" wrapText="1"/>
    </xf>
    <xf numFmtId="0" fontId="8" fillId="0" borderId="22" xfId="0" applyFont="1" applyBorder="1" applyAlignment="1">
      <alignment horizontal="left" vertical="top" wrapText="1"/>
    </xf>
    <xf numFmtId="0" fontId="8" fillId="0" borderId="21" xfId="0" applyFont="1" applyBorder="1" applyAlignment="1">
      <alignment horizontal="left" vertical="top" wrapText="1"/>
    </xf>
    <xf numFmtId="0" fontId="8" fillId="0" borderId="5" xfId="0" applyFont="1" applyBorder="1" applyAlignment="1">
      <alignment horizontal="left" vertical="top" wrapText="1"/>
    </xf>
    <xf numFmtId="0" fontId="27" fillId="0" borderId="6" xfId="4" applyFont="1" applyBorder="1" applyAlignment="1">
      <alignment horizontal="center" vertical="center" wrapText="1"/>
    </xf>
    <xf numFmtId="43" fontId="27" fillId="0" borderId="6" xfId="1" applyFont="1" applyFill="1" applyBorder="1" applyAlignment="1" applyProtection="1">
      <alignment horizontal="center" vertical="center"/>
    </xf>
    <xf numFmtId="43" fontId="27" fillId="0" borderId="7" xfId="1" applyFont="1" applyFill="1" applyBorder="1" applyAlignment="1" applyProtection="1">
      <alignment horizontal="center" vertical="center"/>
    </xf>
    <xf numFmtId="0" fontId="8" fillId="0" borderId="0" xfId="0" applyFont="1" applyAlignment="1">
      <alignment horizontal="left" vertical="center" wrapText="1"/>
    </xf>
    <xf numFmtId="0" fontId="9" fillId="10" borderId="8" xfId="0" applyFont="1" applyFill="1" applyBorder="1" applyAlignment="1">
      <alignment horizontal="center" vertical="center" wrapText="1"/>
    </xf>
    <xf numFmtId="0" fontId="9" fillId="0" borderId="11" xfId="0" applyFont="1" applyBorder="1" applyAlignment="1">
      <alignment horizontal="center" wrapText="1"/>
    </xf>
    <xf numFmtId="0" fontId="9" fillId="0" borderId="12" xfId="0" applyFont="1" applyBorder="1" applyAlignment="1">
      <alignment horizontal="center" wrapText="1"/>
    </xf>
    <xf numFmtId="0" fontId="9" fillId="0" borderId="11"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7"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9" fillId="10" borderId="18" xfId="0" applyFont="1" applyFill="1" applyBorder="1" applyAlignment="1">
      <alignment horizontal="center" vertical="center" wrapText="1"/>
    </xf>
    <xf numFmtId="10" fontId="16" fillId="0" borderId="6" xfId="0" applyNumberFormat="1" applyFont="1" applyBorder="1" applyAlignment="1">
      <alignment horizontal="right" vertical="center" wrapText="1"/>
    </xf>
    <xf numFmtId="10" fontId="16" fillId="0" borderId="22" xfId="0" applyNumberFormat="1" applyFont="1" applyBorder="1" applyAlignment="1">
      <alignment horizontal="right" vertical="center" wrapText="1"/>
    </xf>
    <xf numFmtId="0" fontId="16" fillId="0" borderId="5" xfId="0" applyFont="1" applyBorder="1" applyAlignment="1">
      <alignment vertical="center" wrapText="1"/>
    </xf>
    <xf numFmtId="0" fontId="16" fillId="0" borderId="6" xfId="0" applyFont="1" applyBorder="1" applyAlignment="1">
      <alignment vertical="center" wrapText="1"/>
    </xf>
    <xf numFmtId="4" fontId="16" fillId="0" borderId="5" xfId="0" applyNumberFormat="1" applyFont="1" applyBorder="1" applyAlignment="1">
      <alignment horizontal="right" vertical="center" wrapText="1"/>
    </xf>
    <xf numFmtId="4" fontId="16" fillId="0" borderId="6" xfId="0" applyNumberFormat="1" applyFont="1" applyBorder="1" applyAlignment="1">
      <alignment horizontal="right" vertical="center" wrapText="1"/>
    </xf>
    <xf numFmtId="10" fontId="16" fillId="0" borderId="5" xfId="0" applyNumberFormat="1" applyFont="1" applyBorder="1" applyAlignment="1">
      <alignment horizontal="right" vertical="center" wrapText="1"/>
    </xf>
    <xf numFmtId="0" fontId="16" fillId="0" borderId="22" xfId="0" applyFont="1" applyBorder="1" applyAlignment="1">
      <alignment vertical="center" wrapText="1"/>
    </xf>
    <xf numFmtId="4" fontId="16" fillId="0" borderId="22" xfId="0" applyNumberFormat="1" applyFont="1" applyBorder="1" applyAlignment="1">
      <alignment horizontal="right" vertical="center" wrapText="1"/>
    </xf>
    <xf numFmtId="0" fontId="31" fillId="0" borderId="6" xfId="0" applyFont="1" applyBorder="1" applyAlignment="1">
      <alignment vertical="center" wrapText="1"/>
    </xf>
    <xf numFmtId="0" fontId="30" fillId="0" borderId="22" xfId="0" applyFont="1" applyBorder="1" applyAlignment="1">
      <alignment horizontal="center" vertical="center" wrapText="1"/>
    </xf>
    <xf numFmtId="0" fontId="30" fillId="0" borderId="21"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6" xfId="0" applyFont="1" applyBorder="1" applyAlignment="1">
      <alignment horizontal="center" vertical="center" wrapText="1"/>
    </xf>
    <xf numFmtId="0" fontId="16" fillId="0" borderId="6" xfId="0" applyFont="1" applyBorder="1" applyAlignment="1">
      <alignment horizontal="center" vertical="center" wrapText="1"/>
    </xf>
    <xf numFmtId="164" fontId="16" fillId="0" borderId="22" xfId="3" applyFont="1" applyBorder="1" applyAlignment="1">
      <alignment horizontal="center" vertical="top"/>
    </xf>
    <xf numFmtId="164" fontId="16" fillId="0" borderId="21" xfId="3" applyFont="1" applyBorder="1" applyAlignment="1">
      <alignment horizontal="center" vertical="top"/>
    </xf>
    <xf numFmtId="164" fontId="16" fillId="0" borderId="5" xfId="3" applyFont="1" applyBorder="1" applyAlignment="1">
      <alignment horizontal="center" vertical="top"/>
    </xf>
    <xf numFmtId="0" fontId="30" fillId="9" borderId="7" xfId="0" applyFont="1" applyFill="1" applyBorder="1" applyAlignment="1">
      <alignment horizontal="left" vertical="top" wrapText="1"/>
    </xf>
    <xf numFmtId="0" fontId="30" fillId="9" borderId="8" xfId="0" applyFont="1" applyFill="1" applyBorder="1" applyAlignment="1">
      <alignment horizontal="left" vertical="top" wrapText="1"/>
    </xf>
    <xf numFmtId="0" fontId="30" fillId="9" borderId="9" xfId="0" applyFont="1" applyFill="1" applyBorder="1" applyAlignment="1">
      <alignment horizontal="left" vertical="top" wrapText="1"/>
    </xf>
    <xf numFmtId="0" fontId="16" fillId="0" borderId="22" xfId="3" applyNumberFormat="1" applyFont="1" applyBorder="1" applyAlignment="1">
      <alignment horizontal="center" vertical="top"/>
    </xf>
    <xf numFmtId="0" fontId="16" fillId="0" borderId="21" xfId="3" applyNumberFormat="1" applyFont="1" applyBorder="1" applyAlignment="1">
      <alignment horizontal="center" vertical="top"/>
    </xf>
    <xf numFmtId="0" fontId="16" fillId="0" borderId="5" xfId="3" applyNumberFormat="1" applyFont="1" applyBorder="1" applyAlignment="1">
      <alignment horizontal="center" vertical="top"/>
    </xf>
    <xf numFmtId="164" fontId="16" fillId="0" borderId="22" xfId="3" applyFont="1" applyBorder="1" applyAlignment="1">
      <alignment horizontal="center" vertical="top" wrapText="1"/>
    </xf>
    <xf numFmtId="164" fontId="16" fillId="0" borderId="21" xfId="3" applyFont="1" applyBorder="1" applyAlignment="1">
      <alignment horizontal="center" vertical="top" wrapText="1"/>
    </xf>
    <xf numFmtId="164" fontId="16" fillId="0" borderId="5" xfId="3" applyFont="1" applyBorder="1" applyAlignment="1">
      <alignment horizontal="center" vertical="top" wrapText="1"/>
    </xf>
    <xf numFmtId="0" fontId="29" fillId="0" borderId="22" xfId="3" applyNumberFormat="1" applyFont="1" applyBorder="1" applyAlignment="1">
      <alignment horizontal="center" vertical="top" wrapText="1"/>
    </xf>
    <xf numFmtId="0" fontId="29" fillId="0" borderId="21" xfId="3" applyNumberFormat="1" applyFont="1" applyBorder="1" applyAlignment="1">
      <alignment horizontal="center" vertical="top" wrapText="1"/>
    </xf>
    <xf numFmtId="0" fontId="29" fillId="0" borderId="5" xfId="3" applyNumberFormat="1" applyFont="1" applyBorder="1" applyAlignment="1">
      <alignment horizontal="center" vertical="top" wrapText="1"/>
    </xf>
    <xf numFmtId="164" fontId="29" fillId="0" borderId="22" xfId="3" applyFont="1" applyBorder="1" applyAlignment="1">
      <alignment horizontal="center" vertical="top" wrapText="1"/>
    </xf>
    <xf numFmtId="164" fontId="29" fillId="0" borderId="21" xfId="3" applyFont="1" applyBorder="1" applyAlignment="1">
      <alignment horizontal="center" vertical="top" wrapText="1"/>
    </xf>
    <xf numFmtId="164" fontId="29" fillId="0" borderId="5" xfId="3" applyFont="1" applyBorder="1" applyAlignment="1">
      <alignment horizontal="center" vertical="top" wrapText="1"/>
    </xf>
    <xf numFmtId="0" fontId="16" fillId="0" borderId="22" xfId="0" applyFont="1" applyBorder="1" applyAlignment="1">
      <alignment horizontal="center" vertical="top"/>
    </xf>
    <xf numFmtId="0" fontId="16" fillId="0" borderId="21" xfId="0" applyFont="1" applyBorder="1" applyAlignment="1">
      <alignment horizontal="center" vertical="top"/>
    </xf>
    <xf numFmtId="0" fontId="16" fillId="0" borderId="5" xfId="0" applyFont="1" applyBorder="1" applyAlignment="1">
      <alignment horizontal="center" vertical="top"/>
    </xf>
    <xf numFmtId="0" fontId="16" fillId="0" borderId="22" xfId="0" applyFont="1" applyBorder="1" applyAlignment="1">
      <alignment horizontal="center" vertical="top" wrapText="1"/>
    </xf>
    <xf numFmtId="0" fontId="16" fillId="0" borderId="21" xfId="0" applyFont="1" applyBorder="1" applyAlignment="1">
      <alignment horizontal="center" vertical="top" wrapText="1"/>
    </xf>
    <xf numFmtId="0" fontId="16" fillId="0" borderId="5" xfId="0" applyFont="1" applyBorder="1" applyAlignment="1">
      <alignment horizontal="center" vertical="top" wrapText="1"/>
    </xf>
    <xf numFmtId="164" fontId="16" fillId="0" borderId="6" xfId="3" applyFont="1" applyBorder="1" applyAlignment="1">
      <alignment horizontal="center" vertical="top"/>
    </xf>
    <xf numFmtId="0" fontId="30" fillId="0" borderId="7" xfId="0" applyFont="1" applyBorder="1" applyAlignment="1">
      <alignment horizontal="center" vertical="center"/>
    </xf>
    <xf numFmtId="0" fontId="30" fillId="0" borderId="8" xfId="0" applyFont="1" applyBorder="1" applyAlignment="1">
      <alignment horizontal="center" vertical="center"/>
    </xf>
    <xf numFmtId="0" fontId="30" fillId="0" borderId="9" xfId="0" applyFont="1" applyBorder="1" applyAlignment="1">
      <alignment horizontal="center" vertical="center"/>
    </xf>
    <xf numFmtId="0" fontId="16" fillId="0" borderId="6" xfId="0" applyFont="1" applyBorder="1" applyAlignment="1">
      <alignment horizontal="center" vertical="top"/>
    </xf>
    <xf numFmtId="164" fontId="16" fillId="0" borderId="22" xfId="3" applyFont="1" applyFill="1" applyBorder="1" applyAlignment="1">
      <alignment horizontal="center" vertical="top" wrapText="1"/>
    </xf>
    <xf numFmtId="164" fontId="16" fillId="0" borderId="21" xfId="3" applyFont="1" applyFill="1" applyBorder="1" applyAlignment="1">
      <alignment horizontal="center" vertical="top" wrapText="1"/>
    </xf>
    <xf numFmtId="164" fontId="16" fillId="0" borderId="5" xfId="3" applyFont="1" applyFill="1" applyBorder="1" applyAlignment="1">
      <alignment horizontal="center" vertical="top" wrapText="1"/>
    </xf>
    <xf numFmtId="0" fontId="35" fillId="8" borderId="7" xfId="0" applyFont="1" applyFill="1" applyBorder="1" applyAlignment="1">
      <alignment horizontal="left" vertical="top" wrapText="1"/>
    </xf>
    <xf numFmtId="0" fontId="35" fillId="8" borderId="8" xfId="0" applyFont="1" applyFill="1" applyBorder="1" applyAlignment="1">
      <alignment horizontal="left" vertical="top" wrapText="1"/>
    </xf>
    <xf numFmtId="0" fontId="35" fillId="8" borderId="9" xfId="0" applyFont="1" applyFill="1" applyBorder="1" applyAlignment="1">
      <alignment horizontal="left" vertical="top" wrapText="1"/>
    </xf>
    <xf numFmtId="0" fontId="30" fillId="0" borderId="22" xfId="0" applyFont="1" applyBorder="1" applyAlignment="1">
      <alignment horizontal="left" vertical="center"/>
    </xf>
    <xf numFmtId="0" fontId="30" fillId="0" borderId="5" xfId="0" applyFont="1" applyBorder="1" applyAlignment="1">
      <alignment horizontal="left" vertical="center"/>
    </xf>
    <xf numFmtId="164" fontId="30" fillId="0" borderId="22" xfId="3" applyFont="1" applyBorder="1" applyAlignment="1">
      <alignment horizontal="center" vertical="center" wrapText="1"/>
    </xf>
    <xf numFmtId="164" fontId="30" fillId="0" borderId="5" xfId="3" applyFont="1" applyBorder="1" applyAlignment="1">
      <alignment horizontal="center" vertical="center" wrapText="1"/>
    </xf>
    <xf numFmtId="0" fontId="30" fillId="13" borderId="7" xfId="0" applyFont="1" applyFill="1" applyBorder="1" applyAlignment="1">
      <alignment horizontal="center" vertical="top"/>
    </xf>
    <xf numFmtId="0" fontId="30" fillId="13" borderId="8" xfId="0" applyFont="1" applyFill="1" applyBorder="1" applyAlignment="1">
      <alignment horizontal="center" vertical="top"/>
    </xf>
    <xf numFmtId="0" fontId="30" fillId="13" borderId="9" xfId="0" applyFont="1" applyFill="1" applyBorder="1" applyAlignment="1">
      <alignment horizontal="center" vertical="top"/>
    </xf>
    <xf numFmtId="0" fontId="30" fillId="8" borderId="7" xfId="0" applyFont="1" applyFill="1" applyBorder="1" applyAlignment="1">
      <alignment horizontal="left" vertical="top" wrapText="1"/>
    </xf>
    <xf numFmtId="0" fontId="30" fillId="8" borderId="8" xfId="0" applyFont="1" applyFill="1" applyBorder="1" applyAlignment="1">
      <alignment horizontal="left" vertical="top" wrapText="1"/>
    </xf>
    <xf numFmtId="0" fontId="30" fillId="8" borderId="9" xfId="0" applyFont="1" applyFill="1" applyBorder="1" applyAlignment="1">
      <alignment horizontal="left" vertical="top" wrapText="1"/>
    </xf>
  </cellXfs>
  <cellStyles count="12">
    <cellStyle name="Comma" xfId="1" builtinId="3"/>
    <cellStyle name="Comma 2" xfId="3" xr:uid="{00000000-0005-0000-0000-000001000000}"/>
    <cellStyle name="Comma 2 2" xfId="6" xr:uid="{00000000-0005-0000-0000-000002000000}"/>
    <cellStyle name="Comma 2 3" xfId="5" xr:uid="{00000000-0005-0000-0000-000003000000}"/>
    <cellStyle name="Comma 2 3 2" xfId="7" xr:uid="{00000000-0005-0000-0000-000004000000}"/>
    <cellStyle name="Comma 2 3 2 2" xfId="11" xr:uid="{00000000-0005-0000-0000-000005000000}"/>
    <cellStyle name="Comma 2 4" xfId="9" xr:uid="{00000000-0005-0000-0000-000006000000}"/>
    <cellStyle name="Comma 3" xfId="8" xr:uid="{00000000-0005-0000-0000-000007000000}"/>
    <cellStyle name="Normal" xfId="0" builtinId="0"/>
    <cellStyle name="Normal 2" xfId="4" xr:uid="{00000000-0005-0000-0000-000009000000}"/>
    <cellStyle name="Normal 3 2" xfId="10" xr:uid="{00000000-0005-0000-0000-00000A000000}"/>
    <cellStyle name="Percent" xfId="2" builtinId="5"/>
  </cellStyles>
  <dxfs count="3">
    <dxf>
      <fill>
        <patternFill>
          <bgColor theme="4"/>
        </patternFill>
      </fill>
    </dxf>
    <dxf>
      <fill>
        <patternFill>
          <bgColor theme="4"/>
        </patternFill>
      </fill>
    </dxf>
    <dxf>
      <fill>
        <patternFill>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GF-Final%20Drafted%20Panabo%20City%202022%20Financial%20Statements%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ownloads\SEF-Final%20Drafted%20Panabo%20City%202022%20Financial%20Statements%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User\Downloads\TF-Final%20Drafted%20Panabo%20City%202022%20Financial%20Statement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FPO"/>
      <sheetName val="SFPER"/>
      <sheetName val="SCNAE"/>
      <sheetName val="SCF"/>
      <sheetName val="SCBAA"/>
    </sheetNames>
    <sheetDataSet>
      <sheetData sheetId="0">
        <row r="12">
          <cell r="D12">
            <v>1139812999.8799999</v>
          </cell>
          <cell r="E12">
            <v>778461814.31999993</v>
          </cell>
        </row>
      </sheetData>
      <sheetData sheetId="1">
        <row r="30">
          <cell r="D30">
            <v>571077669.69562495</v>
          </cell>
          <cell r="E30">
            <v>282369660.09999996</v>
          </cell>
        </row>
      </sheetData>
      <sheetData sheetId="2">
        <row r="18">
          <cell r="D18">
            <v>3177194118.8499994</v>
          </cell>
        </row>
      </sheetData>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FPO"/>
      <sheetName val="SFPER"/>
      <sheetName val="SCNAE"/>
      <sheetName val="SCF"/>
      <sheetName val="SCBAA"/>
    </sheetNames>
    <sheetDataSet>
      <sheetData sheetId="0">
        <row r="12">
          <cell r="D12">
            <v>62791853.049999997</v>
          </cell>
          <cell r="E12">
            <v>81255687.969999984</v>
          </cell>
        </row>
      </sheetData>
      <sheetData sheetId="1">
        <row r="30">
          <cell r="D30">
            <v>40988539.469999991</v>
          </cell>
          <cell r="E30">
            <v>43668115.359999992</v>
          </cell>
        </row>
      </sheetData>
      <sheetData sheetId="2">
        <row r="18">
          <cell r="D18">
            <v>189905958.54999998</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FPER"/>
      <sheetName val="SFPO"/>
      <sheetName val="SCNAE"/>
      <sheetName val="SCF"/>
      <sheetName val="SCBAA"/>
    </sheetNames>
    <sheetDataSet>
      <sheetData sheetId="0">
        <row r="30">
          <cell r="D30">
            <v>58566692.729999997</v>
          </cell>
          <cell r="E30">
            <v>97042104.609999999</v>
          </cell>
        </row>
      </sheetData>
      <sheetData sheetId="1">
        <row r="12">
          <cell r="D12">
            <v>297672222.92000002</v>
          </cell>
          <cell r="E12">
            <v>495363755.80000013</v>
          </cell>
        </row>
      </sheetData>
      <sheetData sheetId="2">
        <row r="18">
          <cell r="D18">
            <v>203628272.41999999</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7"/>
  <sheetViews>
    <sheetView tabSelected="1" zoomScaleNormal="100" workbookViewId="0">
      <selection sqref="A1:E1"/>
    </sheetView>
  </sheetViews>
  <sheetFormatPr defaultRowHeight="14.4" x14ac:dyDescent="0.3"/>
  <cols>
    <col min="1" max="1" width="38.88671875" customWidth="1"/>
    <col min="2" max="2" width="21.33203125" customWidth="1"/>
    <col min="3" max="3" width="3.6640625" customWidth="1"/>
    <col min="4" max="4" width="21.33203125" customWidth="1"/>
    <col min="5" max="5" width="0.88671875" customWidth="1"/>
    <col min="6" max="6" width="15.33203125" hidden="1" customWidth="1"/>
    <col min="7" max="7" width="16.88671875" hidden="1" customWidth="1"/>
    <col min="8" max="9" width="16.88671875" style="308" bestFit="1" customWidth="1"/>
    <col min="10" max="10" width="16.88671875" bestFit="1" customWidth="1"/>
  </cols>
  <sheetData>
    <row r="1" spans="1:10" ht="17.399999999999999" x14ac:dyDescent="0.3">
      <c r="A1" s="750" t="s">
        <v>0</v>
      </c>
      <c r="B1" s="750"/>
      <c r="C1" s="750"/>
      <c r="D1" s="750"/>
      <c r="E1" s="750"/>
      <c r="I1"/>
    </row>
    <row r="2" spans="1:10" ht="17.399999999999999" x14ac:dyDescent="0.3">
      <c r="A2" s="751" t="s">
        <v>2371</v>
      </c>
      <c r="B2" s="751"/>
      <c r="C2" s="751"/>
      <c r="D2" s="751"/>
      <c r="E2" s="751"/>
      <c r="I2"/>
    </row>
    <row r="3" spans="1:10" ht="17.399999999999999" x14ac:dyDescent="0.3">
      <c r="A3" s="751" t="s">
        <v>2372</v>
      </c>
      <c r="B3" s="751"/>
      <c r="C3" s="751"/>
      <c r="D3" s="751"/>
      <c r="E3" s="751"/>
      <c r="I3"/>
    </row>
    <row r="4" spans="1:10" ht="17.399999999999999" x14ac:dyDescent="0.3">
      <c r="A4" s="751" t="s">
        <v>860</v>
      </c>
      <c r="B4" s="751"/>
      <c r="C4" s="751"/>
      <c r="D4" s="751"/>
      <c r="E4" s="751"/>
      <c r="I4"/>
    </row>
    <row r="5" spans="1:10" ht="18" x14ac:dyDescent="0.3">
      <c r="A5" s="747" t="s">
        <v>5</v>
      </c>
      <c r="B5" s="747"/>
      <c r="C5" s="747"/>
      <c r="D5" s="747"/>
      <c r="E5" s="747"/>
      <c r="I5"/>
      <c r="J5" t="s">
        <v>2466</v>
      </c>
    </row>
    <row r="6" spans="1:10" ht="18" x14ac:dyDescent="0.3">
      <c r="A6" s="747" t="s">
        <v>2373</v>
      </c>
      <c r="B6" s="747"/>
      <c r="C6" s="747"/>
      <c r="D6" s="747"/>
      <c r="E6" s="747"/>
      <c r="I6"/>
    </row>
    <row r="7" spans="1:10" ht="18" x14ac:dyDescent="0.3">
      <c r="A7" s="748" t="s">
        <v>2374</v>
      </c>
      <c r="B7" s="748"/>
      <c r="C7" s="748"/>
      <c r="D7" s="748"/>
      <c r="E7" s="748"/>
      <c r="I7"/>
    </row>
    <row r="9" spans="1:10" ht="15.6" x14ac:dyDescent="0.3">
      <c r="A9" s="73"/>
      <c r="B9" s="309">
        <v>2022</v>
      </c>
      <c r="C9" s="310"/>
      <c r="D9" s="309">
        <v>2021</v>
      </c>
      <c r="E9" s="310"/>
      <c r="I9"/>
    </row>
    <row r="10" spans="1:10" ht="15.6" x14ac:dyDescent="0.3">
      <c r="A10" s="311" t="s">
        <v>2375</v>
      </c>
      <c r="B10" s="73"/>
      <c r="C10" s="73"/>
      <c r="D10" s="73"/>
      <c r="E10" s="73"/>
      <c r="I10"/>
    </row>
    <row r="11" spans="1:10" ht="16.2" x14ac:dyDescent="0.3">
      <c r="A11" s="312" t="s">
        <v>2376</v>
      </c>
      <c r="B11" s="73"/>
      <c r="C11" s="73"/>
      <c r="D11" s="73"/>
      <c r="E11" s="73"/>
      <c r="I11"/>
    </row>
    <row r="12" spans="1:10" ht="15.6" x14ac:dyDescent="0.3">
      <c r="A12" s="73" t="s">
        <v>2377</v>
      </c>
      <c r="B12" s="314">
        <v>1139812999.8799999</v>
      </c>
      <c r="C12" s="315"/>
      <c r="D12" s="314">
        <v>778461814.31999993</v>
      </c>
      <c r="E12" s="315"/>
      <c r="F12" s="316" t="e">
        <f>B12-#REF!</f>
        <v>#REF!</v>
      </c>
      <c r="G12" s="316" t="e">
        <f>D12-#REF!</f>
        <v>#REF!</v>
      </c>
      <c r="H12" s="317"/>
      <c r="I12"/>
    </row>
    <row r="13" spans="1:10" ht="15.6" x14ac:dyDescent="0.3">
      <c r="A13" s="73" t="s">
        <v>2378</v>
      </c>
      <c r="B13" s="314">
        <v>29392916.52</v>
      </c>
      <c r="C13" s="315"/>
      <c r="D13" s="314">
        <v>27454222.23</v>
      </c>
      <c r="E13" s="315"/>
      <c r="F13" s="316" t="e">
        <f>B13-#REF!</f>
        <v>#REF!</v>
      </c>
      <c r="G13" s="316" t="e">
        <f>D13-#REF!</f>
        <v>#REF!</v>
      </c>
      <c r="I13"/>
    </row>
    <row r="14" spans="1:10" ht="15.6" x14ac:dyDescent="0.3">
      <c r="A14" s="73" t="s">
        <v>2379</v>
      </c>
      <c r="B14" s="314">
        <v>197074543.53</v>
      </c>
      <c r="C14" s="315"/>
      <c r="D14" s="314">
        <v>142327779.26000005</v>
      </c>
      <c r="E14" s="315"/>
      <c r="F14" s="316" t="e">
        <f>B14-#REF!</f>
        <v>#REF!</v>
      </c>
      <c r="G14" s="316" t="e">
        <f>D14-#REF!</f>
        <v>#REF!</v>
      </c>
      <c r="I14"/>
    </row>
    <row r="15" spans="1:10" ht="15.6" x14ac:dyDescent="0.3">
      <c r="A15" s="73" t="s">
        <v>2380</v>
      </c>
      <c r="B15" s="314">
        <v>149790853.67000002</v>
      </c>
      <c r="C15" s="315"/>
      <c r="D15" s="314">
        <v>136905565.26000002</v>
      </c>
      <c r="E15" s="315"/>
      <c r="F15" s="316" t="e">
        <f>B15-#REF!</f>
        <v>#REF!</v>
      </c>
      <c r="G15" s="316" t="e">
        <f>D15-#REF!</f>
        <v>#REF!</v>
      </c>
      <c r="I15"/>
    </row>
    <row r="16" spans="1:10" ht="15.6" x14ac:dyDescent="0.3">
      <c r="A16" s="318" t="s">
        <v>2381</v>
      </c>
      <c r="B16" s="319">
        <v>54624492.800000004</v>
      </c>
      <c r="C16" s="315"/>
      <c r="D16" s="319">
        <v>9824027.2300000023</v>
      </c>
      <c r="E16" s="315"/>
      <c r="F16" s="316" t="e">
        <f>B16-#REF!</f>
        <v>#REF!</v>
      </c>
      <c r="G16" s="316" t="e">
        <f>D16-#REF!</f>
        <v>#REF!</v>
      </c>
      <c r="I16"/>
    </row>
    <row r="17" spans="1:10" ht="15.6" x14ac:dyDescent="0.3">
      <c r="A17" s="311" t="s">
        <v>2382</v>
      </c>
      <c r="B17" s="320">
        <f>SUM(B12:B16)</f>
        <v>1570695806.3999999</v>
      </c>
      <c r="C17" s="321"/>
      <c r="D17" s="320">
        <f>SUM(D12:D16)</f>
        <v>1094973408.3</v>
      </c>
      <c r="E17" s="321"/>
      <c r="F17" s="316" t="e">
        <f>B17-#REF!</f>
        <v>#REF!</v>
      </c>
      <c r="G17" s="322" t="e">
        <f>D17-#REF!</f>
        <v>#REF!</v>
      </c>
      <c r="H17" s="323"/>
      <c r="I17" s="324"/>
      <c r="J17" s="323"/>
    </row>
    <row r="18" spans="1:10" ht="15.6" x14ac:dyDescent="0.3">
      <c r="A18" s="73"/>
      <c r="B18" s="314"/>
      <c r="C18" s="315"/>
      <c r="D18" s="314"/>
      <c r="E18" s="315"/>
      <c r="G18" s="322"/>
      <c r="H18" s="323"/>
      <c r="I18" s="324"/>
      <c r="J18" s="324"/>
    </row>
    <row r="19" spans="1:10" ht="16.2" x14ac:dyDescent="0.3">
      <c r="A19" s="312" t="s">
        <v>2383</v>
      </c>
      <c r="B19" s="314"/>
      <c r="C19" s="315"/>
      <c r="D19" s="314"/>
      <c r="E19" s="315"/>
      <c r="H19" s="324"/>
      <c r="I19" s="324"/>
      <c r="J19" s="324"/>
    </row>
    <row r="20" spans="1:10" ht="15.6" x14ac:dyDescent="0.3">
      <c r="A20" s="73" t="s">
        <v>2384</v>
      </c>
      <c r="B20" s="314">
        <v>2596062996.3400002</v>
      </c>
      <c r="C20" s="315"/>
      <c r="D20" s="314">
        <v>2204345191.6799998</v>
      </c>
      <c r="E20" s="315"/>
      <c r="F20" s="316" t="e">
        <f>B20-#REF!</f>
        <v>#REF!</v>
      </c>
      <c r="G20" s="325" t="e">
        <f>D20-#REF!</f>
        <v>#REF!</v>
      </c>
      <c r="H20" s="326"/>
      <c r="I20" s="324"/>
      <c r="J20" s="326"/>
    </row>
    <row r="21" spans="1:10" ht="15.6" x14ac:dyDescent="0.3">
      <c r="A21" s="73" t="s">
        <v>2385</v>
      </c>
      <c r="B21" s="420">
        <v>0</v>
      </c>
      <c r="C21" s="483"/>
      <c r="D21" s="314">
        <v>124150</v>
      </c>
      <c r="E21" s="315"/>
      <c r="F21" s="316" t="e">
        <f>B21-#REF!</f>
        <v>#REF!</v>
      </c>
      <c r="G21" s="325" t="e">
        <f>D21-#REF!</f>
        <v>#REF!</v>
      </c>
      <c r="H21" s="327"/>
      <c r="I21" s="324"/>
      <c r="J21" s="327"/>
    </row>
    <row r="22" spans="1:10" ht="15.6" x14ac:dyDescent="0.3">
      <c r="A22" s="73" t="s">
        <v>2386</v>
      </c>
      <c r="B22" s="328">
        <v>42783.33</v>
      </c>
      <c r="C22" s="329"/>
      <c r="D22" s="328">
        <v>430673.03000000026</v>
      </c>
      <c r="E22" s="329"/>
      <c r="F22" s="316" t="e">
        <f>B22-#REF!</f>
        <v>#REF!</v>
      </c>
      <c r="G22" s="330" t="e">
        <f>D22-#REF!</f>
        <v>#REF!</v>
      </c>
      <c r="H22" s="331"/>
      <c r="I22" s="324"/>
      <c r="J22" s="331"/>
    </row>
    <row r="23" spans="1:10" ht="15.6" x14ac:dyDescent="0.3">
      <c r="A23" s="311" t="s">
        <v>2387</v>
      </c>
      <c r="B23" s="320">
        <f>SUM(B20:B22)</f>
        <v>2596105779.6700001</v>
      </c>
      <c r="C23" s="321"/>
      <c r="D23" s="320">
        <f>SUM(D20:D22)</f>
        <v>2204900014.71</v>
      </c>
      <c r="E23" s="321"/>
      <c r="F23" s="316" t="e">
        <f>B23-#REF!</f>
        <v>#REF!</v>
      </c>
      <c r="G23" s="332" t="e">
        <f>D23-#REF!</f>
        <v>#REF!</v>
      </c>
      <c r="H23" s="333"/>
      <c r="I23" s="324"/>
      <c r="J23" s="323"/>
    </row>
    <row r="24" spans="1:10" ht="16.2" thickBot="1" x14ac:dyDescent="0.35">
      <c r="A24" s="311" t="s">
        <v>2388</v>
      </c>
      <c r="B24" s="334">
        <f>B23+B17</f>
        <v>4166801586.0699997</v>
      </c>
      <c r="C24" s="321"/>
      <c r="D24" s="334">
        <f>D23+D17</f>
        <v>3299873423.0100002</v>
      </c>
      <c r="E24" s="321"/>
      <c r="F24" s="316" t="e">
        <f>B24-#REF!</f>
        <v>#REF!</v>
      </c>
      <c r="G24" s="325" t="e">
        <f>D24-#REF!</f>
        <v>#REF!</v>
      </c>
      <c r="H24" s="335"/>
      <c r="I24" s="336"/>
      <c r="J24" s="323"/>
    </row>
    <row r="25" spans="1:10" ht="16.2" thickTop="1" x14ac:dyDescent="0.3">
      <c r="A25" s="73"/>
      <c r="B25" s="314"/>
      <c r="C25" s="315"/>
      <c r="D25" s="314"/>
      <c r="E25" s="315"/>
      <c r="G25" s="337"/>
      <c r="H25" s="338"/>
      <c r="I25" s="327"/>
      <c r="J25" s="324"/>
    </row>
    <row r="26" spans="1:10" ht="15.6" x14ac:dyDescent="0.3">
      <c r="A26" s="339" t="s">
        <v>2389</v>
      </c>
      <c r="B26" s="314"/>
      <c r="C26" s="315"/>
      <c r="D26" s="314"/>
      <c r="E26" s="315"/>
      <c r="G26" s="330"/>
      <c r="H26" s="340"/>
      <c r="I26" s="341"/>
      <c r="J26" s="324"/>
    </row>
    <row r="27" spans="1:10" ht="16.2" x14ac:dyDescent="0.3">
      <c r="A27" s="312" t="s">
        <v>2390</v>
      </c>
      <c r="B27" s="314"/>
      <c r="C27" s="315"/>
      <c r="D27" s="314"/>
      <c r="E27" s="315"/>
      <c r="G27" s="316"/>
      <c r="H27" s="342"/>
      <c r="I27" s="324"/>
      <c r="J27" s="324"/>
    </row>
    <row r="28" spans="1:10" ht="15.6" x14ac:dyDescent="0.3">
      <c r="A28" s="73" t="s">
        <v>2391</v>
      </c>
      <c r="B28" s="381">
        <v>164525728.77000001</v>
      </c>
      <c r="C28" s="329"/>
      <c r="D28" s="381">
        <v>115926982.82000001</v>
      </c>
      <c r="E28" s="315"/>
      <c r="F28" s="316" t="e">
        <f>B28-#REF!</f>
        <v>#REF!</v>
      </c>
      <c r="G28" s="316" t="e">
        <f>D28-#REF!</f>
        <v>#REF!</v>
      </c>
      <c r="H28" s="324"/>
      <c r="I28" s="324"/>
      <c r="J28" s="324"/>
    </row>
    <row r="29" spans="1:10" ht="15.6" x14ac:dyDescent="0.3">
      <c r="A29" s="73" t="s">
        <v>2392</v>
      </c>
      <c r="B29" s="314">
        <v>48932594.82</v>
      </c>
      <c r="C29" s="315"/>
      <c r="D29" s="314">
        <v>35511219.162999995</v>
      </c>
      <c r="E29" s="315"/>
      <c r="F29" s="316" t="e">
        <f>B29-#REF!</f>
        <v>#REF!</v>
      </c>
      <c r="G29" s="316" t="e">
        <f>D29-#REF!</f>
        <v>#REF!</v>
      </c>
      <c r="H29" s="324"/>
      <c r="I29" s="324"/>
      <c r="J29" s="393"/>
    </row>
    <row r="30" spans="1:10" ht="15.6" x14ac:dyDescent="0.3">
      <c r="A30" s="73" t="s">
        <v>2393</v>
      </c>
      <c r="B30" s="314">
        <v>23154876.369999997</v>
      </c>
      <c r="C30" s="315"/>
      <c r="D30" s="314">
        <v>53959817.529999994</v>
      </c>
      <c r="E30" s="315"/>
      <c r="F30" s="316" t="e">
        <f>B30-#REF!</f>
        <v>#REF!</v>
      </c>
      <c r="G30" s="316" t="e">
        <f>D30-#REF!</f>
        <v>#REF!</v>
      </c>
      <c r="H30" s="324"/>
      <c r="I30" s="324"/>
      <c r="J30" s="324"/>
    </row>
    <row r="31" spans="1:10" ht="15.6" x14ac:dyDescent="0.3">
      <c r="A31" s="73" t="s">
        <v>2394</v>
      </c>
      <c r="B31" s="314">
        <v>78715431.769999996</v>
      </c>
      <c r="C31" s="315"/>
      <c r="D31" s="314">
        <v>35919499.520000003</v>
      </c>
      <c r="E31" s="315"/>
      <c r="F31" s="316" t="e">
        <f>B31-#REF!</f>
        <v>#REF!</v>
      </c>
      <c r="G31" s="316" t="e">
        <f>D31-#REF!</f>
        <v>#REF!</v>
      </c>
      <c r="H31" s="324"/>
      <c r="I31" s="324"/>
      <c r="J31" s="324"/>
    </row>
    <row r="32" spans="1:10" ht="15.6" x14ac:dyDescent="0.3">
      <c r="A32" s="73" t="s">
        <v>2395</v>
      </c>
      <c r="B32" s="314">
        <v>65607579.160000004</v>
      </c>
      <c r="C32" s="315"/>
      <c r="D32" s="314">
        <v>10522434.380000001</v>
      </c>
      <c r="E32" s="315"/>
      <c r="F32" s="316" t="e">
        <f>B32-#REF!</f>
        <v>#REF!</v>
      </c>
      <c r="G32" s="316" t="e">
        <f>D32-#REF!</f>
        <v>#REF!</v>
      </c>
      <c r="H32" s="324"/>
      <c r="I32" s="324"/>
      <c r="J32" s="324"/>
    </row>
    <row r="33" spans="1:10" ht="15.6" x14ac:dyDescent="0.3">
      <c r="A33" s="318" t="s">
        <v>2396</v>
      </c>
      <c r="B33" s="420">
        <v>0</v>
      </c>
      <c r="C33" s="483"/>
      <c r="D33" s="315">
        <v>528146.84</v>
      </c>
      <c r="E33" s="315"/>
      <c r="F33" s="316" t="e">
        <f>B33-#REF!</f>
        <v>#REF!</v>
      </c>
      <c r="G33" s="316" t="e">
        <f>D33-#REF!</f>
        <v>#REF!</v>
      </c>
      <c r="H33" s="324"/>
      <c r="I33" s="324"/>
      <c r="J33" s="324"/>
    </row>
    <row r="34" spans="1:10" ht="15.6" x14ac:dyDescent="0.3">
      <c r="A34" s="318" t="s">
        <v>2397</v>
      </c>
      <c r="B34" s="328">
        <v>22620412.350000001</v>
      </c>
      <c r="C34" s="329"/>
      <c r="D34" s="319">
        <v>63991424.390000023</v>
      </c>
      <c r="E34" s="315"/>
      <c r="F34" s="316" t="e">
        <f>B34-#REF!</f>
        <v>#REF!</v>
      </c>
      <c r="G34" s="316" t="e">
        <f>D34-#REF!</f>
        <v>#REF!</v>
      </c>
      <c r="H34" s="324"/>
      <c r="I34" s="324"/>
      <c r="J34" s="324"/>
    </row>
    <row r="35" spans="1:10" ht="15.6" x14ac:dyDescent="0.3">
      <c r="A35" s="311" t="s">
        <v>2398</v>
      </c>
      <c r="B35" s="401">
        <f>SUM(B28:B34)</f>
        <v>403556623.24000007</v>
      </c>
      <c r="C35" s="374"/>
      <c r="D35" s="320">
        <f>SUM(D28:D34)</f>
        <v>316359524.64300007</v>
      </c>
      <c r="E35" s="321"/>
      <c r="F35" s="316" t="e">
        <f>B35-#REF!</f>
        <v>#REF!</v>
      </c>
      <c r="G35" s="322"/>
      <c r="H35" s="323"/>
      <c r="I35" s="324"/>
      <c r="J35" s="323"/>
    </row>
    <row r="36" spans="1:10" ht="15.6" x14ac:dyDescent="0.3">
      <c r="A36" s="73"/>
      <c r="B36" s="381"/>
      <c r="C36" s="329"/>
      <c r="D36" s="314"/>
      <c r="E36" s="315"/>
      <c r="G36" s="322"/>
      <c r="H36" s="323"/>
      <c r="I36" s="324"/>
      <c r="J36" s="324"/>
    </row>
    <row r="37" spans="1:10" ht="16.2" x14ac:dyDescent="0.3">
      <c r="A37" s="312" t="s">
        <v>2399</v>
      </c>
      <c r="B37" s="381"/>
      <c r="C37" s="329"/>
      <c r="D37" s="314"/>
      <c r="E37" s="315"/>
      <c r="H37" s="324"/>
      <c r="I37" s="324"/>
      <c r="J37" s="324"/>
    </row>
    <row r="38" spans="1:10" ht="15.6" x14ac:dyDescent="0.3">
      <c r="A38" s="73" t="s">
        <v>2391</v>
      </c>
      <c r="B38" s="381">
        <v>586050843.98000002</v>
      </c>
      <c r="C38" s="329"/>
      <c r="D38" s="314">
        <v>247594941.56</v>
      </c>
      <c r="E38" s="315"/>
      <c r="F38" s="316" t="e">
        <f>B38-#REF!</f>
        <v>#REF!</v>
      </c>
      <c r="G38" s="316" t="e">
        <f>D38-#REF!</f>
        <v>#REF!</v>
      </c>
      <c r="H38" s="324"/>
      <c r="I38" s="342"/>
      <c r="J38" s="324"/>
    </row>
    <row r="39" spans="1:10" ht="15.6" x14ac:dyDescent="0.3">
      <c r="A39" s="318" t="s">
        <v>2396</v>
      </c>
      <c r="B39" s="420">
        <v>0</v>
      </c>
      <c r="C39" s="483"/>
      <c r="D39" s="319">
        <v>786492.98999999987</v>
      </c>
      <c r="E39" s="315"/>
      <c r="F39" s="316" t="e">
        <f>B39-#REF!</f>
        <v>#REF!</v>
      </c>
      <c r="G39" s="316" t="e">
        <f>D39-#REF!</f>
        <v>#REF!</v>
      </c>
      <c r="H39" s="324"/>
      <c r="I39" s="324"/>
      <c r="J39" s="324"/>
    </row>
    <row r="40" spans="1:10" ht="15.6" x14ac:dyDescent="0.3">
      <c r="A40" s="311" t="s">
        <v>2400</v>
      </c>
      <c r="B40" s="320">
        <f>SUM(B38:B39)</f>
        <v>586050843.98000002</v>
      </c>
      <c r="C40" s="321"/>
      <c r="D40" s="320">
        <f>SUM(D38:D39)</f>
        <v>248381434.55000001</v>
      </c>
      <c r="E40" s="321"/>
      <c r="F40" s="316" t="e">
        <f>B40-#REF!</f>
        <v>#REF!</v>
      </c>
      <c r="G40" s="322" t="e">
        <f>D40-#REF!</f>
        <v>#REF!</v>
      </c>
      <c r="H40" s="323"/>
      <c r="I40" s="342"/>
      <c r="J40" s="324"/>
    </row>
    <row r="41" spans="1:10" ht="15.6" x14ac:dyDescent="0.3">
      <c r="A41" s="311" t="s">
        <v>2401</v>
      </c>
      <c r="B41" s="343">
        <f>B35+B40</f>
        <v>989607467.22000003</v>
      </c>
      <c r="C41" s="321"/>
      <c r="D41" s="343">
        <f>D35+D40</f>
        <v>564740959.19300008</v>
      </c>
      <c r="E41" s="321"/>
      <c r="F41" s="316" t="e">
        <f>B41-#REF!</f>
        <v>#REF!</v>
      </c>
      <c r="G41" s="322" t="e">
        <f>D41-#REF!</f>
        <v>#REF!</v>
      </c>
      <c r="H41" s="323"/>
      <c r="I41" s="323"/>
      <c r="J41" s="323"/>
    </row>
    <row r="42" spans="1:10" ht="15.6" x14ac:dyDescent="0.3">
      <c r="A42" s="311"/>
      <c r="B42" s="344"/>
      <c r="C42" s="345"/>
      <c r="D42" s="344"/>
      <c r="E42" s="345"/>
      <c r="G42" s="322"/>
      <c r="H42" s="324"/>
      <c r="I42" s="324"/>
      <c r="J42" s="324"/>
    </row>
    <row r="43" spans="1:10" ht="15.6" x14ac:dyDescent="0.3">
      <c r="A43" s="311" t="s">
        <v>2402</v>
      </c>
      <c r="B43" s="344"/>
      <c r="C43" s="345"/>
      <c r="D43" s="344"/>
      <c r="E43" s="345"/>
      <c r="G43" s="322"/>
      <c r="H43" s="323"/>
      <c r="J43" s="324"/>
    </row>
    <row r="44" spans="1:10" ht="15.6" x14ac:dyDescent="0.3">
      <c r="A44" s="73" t="s">
        <v>2403</v>
      </c>
      <c r="B44" s="343">
        <f>[1]SCNAE!D18</f>
        <v>3177194118.8499994</v>
      </c>
      <c r="C44" s="321"/>
      <c r="D44" s="343">
        <v>2735132463.8199997</v>
      </c>
      <c r="E44" s="321"/>
      <c r="F44" s="316" t="e">
        <f>B44-#REF!</f>
        <v>#REF!</v>
      </c>
      <c r="G44" s="322" t="e">
        <f>D44-#REF!</f>
        <v>#REF!</v>
      </c>
      <c r="H44" s="323"/>
      <c r="I44" s="323"/>
      <c r="J44" s="324"/>
    </row>
    <row r="45" spans="1:10" ht="15.75" customHeight="1" thickBot="1" x14ac:dyDescent="0.35">
      <c r="A45" s="339" t="s">
        <v>2404</v>
      </c>
      <c r="B45" s="346">
        <f>B44+B41</f>
        <v>4166801586.0699997</v>
      </c>
      <c r="C45" s="321"/>
      <c r="D45" s="346">
        <f>D44+D41</f>
        <v>3299873423.0129995</v>
      </c>
      <c r="E45" s="321"/>
      <c r="F45" s="316" t="e">
        <f>B45-#REF!</f>
        <v>#REF!</v>
      </c>
      <c r="G45" s="322" t="e">
        <f>D45-#REF!</f>
        <v>#REF!</v>
      </c>
      <c r="H45" s="323"/>
      <c r="I45" s="323"/>
      <c r="J45" s="323"/>
    </row>
    <row r="46" spans="1:10" ht="16.2" thickTop="1" x14ac:dyDescent="0.3">
      <c r="A46" s="347"/>
      <c r="B46" s="347"/>
      <c r="C46" s="347"/>
      <c r="D46" s="347"/>
      <c r="E46" s="347"/>
      <c r="H46" s="324"/>
      <c r="I46" s="324"/>
      <c r="J46" s="324"/>
    </row>
    <row r="47" spans="1:10" ht="15.6" x14ac:dyDescent="0.3">
      <c r="A47" s="749"/>
      <c r="B47" s="749"/>
      <c r="C47" s="749"/>
      <c r="D47" s="749"/>
      <c r="E47" s="749"/>
      <c r="H47" s="324"/>
      <c r="I47" s="324"/>
      <c r="J47" s="324"/>
    </row>
    <row r="48" spans="1:10" x14ac:dyDescent="0.3">
      <c r="H48" s="324"/>
      <c r="I48" s="324"/>
      <c r="J48" s="324"/>
    </row>
    <row r="49" spans="2:10" x14ac:dyDescent="0.3">
      <c r="B49" s="402">
        <f>B24-B45</f>
        <v>0</v>
      </c>
      <c r="C49" s="402"/>
      <c r="D49" s="392"/>
      <c r="E49" s="348"/>
      <c r="F49" s="348"/>
      <c r="G49" s="348"/>
      <c r="H49" s="324"/>
      <c r="I49" s="324"/>
      <c r="J49" s="324"/>
    </row>
    <row r="50" spans="2:10" x14ac:dyDescent="0.3">
      <c r="B50" s="322"/>
      <c r="C50" s="322"/>
      <c r="D50" s="322"/>
      <c r="E50" s="322"/>
      <c r="H50" s="324"/>
      <c r="I50" s="324"/>
      <c r="J50" s="324"/>
    </row>
    <row r="51" spans="2:10" x14ac:dyDescent="0.3">
      <c r="B51" s="322"/>
      <c r="C51" s="322"/>
      <c r="D51" s="322"/>
      <c r="E51" s="322"/>
      <c r="H51" s="324"/>
      <c r="I51" s="324"/>
      <c r="J51" s="324"/>
    </row>
    <row r="52" spans="2:10" x14ac:dyDescent="0.3">
      <c r="B52" s="322"/>
      <c r="C52" s="322"/>
      <c r="D52" s="322"/>
      <c r="E52" s="322"/>
      <c r="H52" s="324"/>
      <c r="I52" s="324"/>
      <c r="J52" s="324"/>
    </row>
    <row r="53" spans="2:10" x14ac:dyDescent="0.3">
      <c r="B53" s="322"/>
      <c r="C53" s="322"/>
      <c r="D53" s="322"/>
      <c r="E53" s="322"/>
      <c r="H53" s="324"/>
      <c r="I53" s="324"/>
      <c r="J53" s="324"/>
    </row>
    <row r="54" spans="2:10" x14ac:dyDescent="0.3">
      <c r="B54" s="322"/>
      <c r="C54" s="322"/>
      <c r="D54" s="322"/>
      <c r="E54" s="322"/>
    </row>
    <row r="55" spans="2:10" x14ac:dyDescent="0.3">
      <c r="B55" s="322"/>
      <c r="C55" s="322"/>
      <c r="D55" s="322"/>
      <c r="E55" s="322"/>
    </row>
    <row r="56" spans="2:10" x14ac:dyDescent="0.3">
      <c r="B56" s="322"/>
      <c r="C56" s="322"/>
      <c r="D56" s="322"/>
      <c r="E56" s="322"/>
    </row>
    <row r="57" spans="2:10" x14ac:dyDescent="0.3">
      <c r="B57" s="322"/>
      <c r="C57" s="322"/>
      <c r="D57" s="322"/>
      <c r="E57" s="322"/>
    </row>
  </sheetData>
  <sheetProtection algorithmName="SHA-512" hashValue="WB5UBpw4e+ztft/F2SlA2c0F7Umhg1xjyHwZbviZSDtueY8eIDNnpveLmbCYhOXgpJ2xAv0VFGSnV7+c+1iTcQ==" saltValue="yfhrJOcpaLtIxSV5//k1OQ==" spinCount="100000" sheet="1" objects="1" scenarios="1" selectLockedCells="1" selectUnlockedCells="1"/>
  <mergeCells count="8">
    <mergeCell ref="A5:E5"/>
    <mergeCell ref="A6:E6"/>
    <mergeCell ref="A7:E7"/>
    <mergeCell ref="A47:E47"/>
    <mergeCell ref="A1:E1"/>
    <mergeCell ref="A2:E2"/>
    <mergeCell ref="A3:E3"/>
    <mergeCell ref="A4:E4"/>
  </mergeCells>
  <pageMargins left="1.4960629921259843" right="0.98425196850393704" top="0.98425196850393704" bottom="0.98425196850393704" header="0.51181102362204722" footer="0.51181102362204722"/>
  <pageSetup scale="87" orientation="portrait" r:id="rId1"/>
  <headerFooter>
    <oddHeader>&amp;R&amp;"Times New Roman,Regular"Annex A.1
AAR Page 6</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0"/>
  <sheetViews>
    <sheetView zoomScaleNormal="100" workbookViewId="0">
      <selection sqref="A1:E1"/>
    </sheetView>
  </sheetViews>
  <sheetFormatPr defaultRowHeight="14.4" x14ac:dyDescent="0.3"/>
  <cols>
    <col min="1" max="1" width="41.44140625" customWidth="1"/>
    <col min="2" max="2" width="0.6640625" customWidth="1"/>
    <col min="3" max="3" width="21.33203125" style="370" customWidth="1"/>
    <col min="4" max="4" width="3.6640625" style="354" customWidth="1"/>
    <col min="5" max="5" width="21.33203125" style="370" customWidth="1"/>
    <col min="6" max="6" width="14.33203125" hidden="1" customWidth="1"/>
    <col min="7" max="7" width="16.88671875" hidden="1" customWidth="1"/>
    <col min="8" max="8" width="19.109375" hidden="1" customWidth="1"/>
    <col min="9" max="9" width="17" bestFit="1" customWidth="1"/>
    <col min="10" max="10" width="16.88671875" bestFit="1" customWidth="1"/>
    <col min="11" max="11" width="16.33203125" bestFit="1" customWidth="1"/>
  </cols>
  <sheetData>
    <row r="1" spans="1:11" ht="17.399999999999999" x14ac:dyDescent="0.3">
      <c r="A1" s="750" t="s">
        <v>0</v>
      </c>
      <c r="B1" s="750"/>
      <c r="C1" s="750"/>
      <c r="D1" s="750"/>
      <c r="E1" s="750"/>
    </row>
    <row r="2" spans="1:11" ht="17.399999999999999" x14ac:dyDescent="0.3">
      <c r="A2" s="751" t="s">
        <v>2371</v>
      </c>
      <c r="B2" s="751"/>
      <c r="C2" s="751"/>
      <c r="D2" s="751"/>
      <c r="E2" s="751"/>
    </row>
    <row r="3" spans="1:11" ht="17.399999999999999" x14ac:dyDescent="0.3">
      <c r="A3" s="751" t="s">
        <v>2405</v>
      </c>
      <c r="B3" s="751"/>
      <c r="C3" s="751"/>
      <c r="D3" s="751"/>
      <c r="E3" s="751"/>
    </row>
    <row r="4" spans="1:11" ht="17.399999999999999" x14ac:dyDescent="0.3">
      <c r="A4" s="751" t="s">
        <v>860</v>
      </c>
      <c r="B4" s="751"/>
      <c r="C4" s="751"/>
      <c r="D4" s="751"/>
      <c r="E4" s="751"/>
    </row>
    <row r="5" spans="1:11" ht="18" x14ac:dyDescent="0.3">
      <c r="A5" s="747" t="s">
        <v>2406</v>
      </c>
      <c r="B5" s="747"/>
      <c r="C5" s="747"/>
      <c r="D5" s="747"/>
      <c r="E5" s="747"/>
    </row>
    <row r="6" spans="1:11" ht="18" x14ac:dyDescent="0.3">
      <c r="A6" s="747" t="s">
        <v>2373</v>
      </c>
      <c r="B6" s="747"/>
      <c r="C6" s="747"/>
      <c r="D6" s="747"/>
      <c r="E6" s="747"/>
    </row>
    <row r="7" spans="1:11" ht="18" x14ac:dyDescent="0.3">
      <c r="A7" s="748" t="s">
        <v>2374</v>
      </c>
      <c r="B7" s="748"/>
      <c r="C7" s="748"/>
      <c r="D7" s="748"/>
      <c r="E7" s="748"/>
    </row>
    <row r="9" spans="1:11" ht="15.6" x14ac:dyDescent="0.3">
      <c r="A9" s="73"/>
      <c r="B9" s="310"/>
      <c r="C9" s="309">
        <v>2022</v>
      </c>
      <c r="D9" s="310"/>
      <c r="E9" s="309">
        <v>2021</v>
      </c>
    </row>
    <row r="10" spans="1:11" ht="15.6" x14ac:dyDescent="0.3">
      <c r="A10" s="311" t="s">
        <v>2407</v>
      </c>
      <c r="B10" s="73"/>
      <c r="C10" s="314"/>
      <c r="D10" s="315"/>
      <c r="E10" s="314"/>
    </row>
    <row r="11" spans="1:11" ht="15.6" x14ac:dyDescent="0.3">
      <c r="A11" s="73" t="s">
        <v>2408</v>
      </c>
      <c r="B11" s="313"/>
      <c r="C11" s="403">
        <v>255819421.24999994</v>
      </c>
      <c r="D11" s="404"/>
      <c r="E11" s="381">
        <v>231681003.56999996</v>
      </c>
      <c r="F11" s="316" t="e">
        <f>C11-#REF!</f>
        <v>#REF!</v>
      </c>
      <c r="H11" s="316" t="e">
        <f>E11-#REF!</f>
        <v>#REF!</v>
      </c>
    </row>
    <row r="12" spans="1:11" ht="15.6" x14ac:dyDescent="0.3">
      <c r="A12" s="76" t="s">
        <v>2409</v>
      </c>
      <c r="B12" s="313"/>
      <c r="C12" s="403">
        <v>1248221550</v>
      </c>
      <c r="D12" s="404"/>
      <c r="E12" s="381">
        <v>889216030</v>
      </c>
      <c r="F12" s="316" t="e">
        <f>C12-#REF!</f>
        <v>#REF!</v>
      </c>
      <c r="H12" s="316" t="e">
        <f>E12-#REF!</f>
        <v>#REF!</v>
      </c>
    </row>
    <row r="13" spans="1:11" ht="15.6" x14ac:dyDescent="0.3">
      <c r="A13" s="318" t="s">
        <v>2410</v>
      </c>
      <c r="B13" s="313"/>
      <c r="C13" s="420">
        <v>0</v>
      </c>
      <c r="D13" s="483"/>
      <c r="E13" s="381">
        <v>72609</v>
      </c>
      <c r="F13" s="316" t="e">
        <f>C13-#REF!</f>
        <v>#REF!</v>
      </c>
      <c r="H13" s="349" t="e">
        <f>E13-#REF!</f>
        <v>#REF!</v>
      </c>
      <c r="J13" s="395"/>
    </row>
    <row r="14" spans="1:11" ht="15.6" x14ac:dyDescent="0.3">
      <c r="A14" s="73" t="s">
        <v>2411</v>
      </c>
      <c r="B14" s="313"/>
      <c r="C14" s="404">
        <v>167553081.29000002</v>
      </c>
      <c r="D14" s="404"/>
      <c r="E14" s="329">
        <v>143434136.23000002</v>
      </c>
      <c r="F14" s="316" t="e">
        <f>C14-#REF!</f>
        <v>#REF!</v>
      </c>
      <c r="H14" s="316" t="e">
        <f>E14-#REF!</f>
        <v>#REF!</v>
      </c>
      <c r="I14" s="351"/>
      <c r="J14" s="394"/>
    </row>
    <row r="15" spans="1:11" ht="15.6" x14ac:dyDescent="0.3">
      <c r="A15" s="73" t="s">
        <v>2412</v>
      </c>
      <c r="B15" s="162"/>
      <c r="C15" s="405">
        <v>12302625.530000001</v>
      </c>
      <c r="D15" s="405"/>
      <c r="E15" s="329">
        <v>4548753.62</v>
      </c>
      <c r="F15" s="316" t="e">
        <f>C15-#REF!</f>
        <v>#REF!</v>
      </c>
      <c r="G15" s="322"/>
      <c r="H15" s="352" t="e">
        <f>E15-#REF!</f>
        <v>#REF!</v>
      </c>
      <c r="I15" s="353"/>
      <c r="J15" s="354"/>
    </row>
    <row r="16" spans="1:11" ht="15.6" x14ac:dyDescent="0.3">
      <c r="A16" s="311" t="s">
        <v>2413</v>
      </c>
      <c r="B16" s="313"/>
      <c r="C16" s="406">
        <f>SUM(C11:C15)</f>
        <v>1683896678.0699999</v>
      </c>
      <c r="D16" s="484"/>
      <c r="E16" s="401">
        <f>SUM(E11:E15)</f>
        <v>1268952532.4199998</v>
      </c>
      <c r="G16" s="322"/>
      <c r="H16" s="356"/>
      <c r="I16" s="353"/>
      <c r="J16" s="354"/>
      <c r="K16" s="354"/>
    </row>
    <row r="17" spans="1:11" ht="15.6" x14ac:dyDescent="0.3">
      <c r="A17" s="311"/>
      <c r="B17" s="313"/>
      <c r="C17" s="403"/>
      <c r="D17" s="404"/>
      <c r="E17" s="381"/>
      <c r="H17" s="357"/>
      <c r="I17" s="358"/>
      <c r="J17" s="316"/>
      <c r="K17" s="316"/>
    </row>
    <row r="18" spans="1:11" ht="15.6" x14ac:dyDescent="0.3">
      <c r="A18" s="311" t="s">
        <v>2414</v>
      </c>
      <c r="B18" s="313"/>
      <c r="C18" s="403"/>
      <c r="D18" s="404"/>
      <c r="E18" s="381"/>
      <c r="H18" s="359"/>
      <c r="I18" s="353"/>
      <c r="J18" s="354"/>
    </row>
    <row r="19" spans="1:11" ht="15.6" x14ac:dyDescent="0.3">
      <c r="A19" s="73" t="s">
        <v>2415</v>
      </c>
      <c r="B19" s="313"/>
      <c r="C19" s="403">
        <v>454718376.56999993</v>
      </c>
      <c r="D19" s="404"/>
      <c r="E19" s="381">
        <v>382487470.29999995</v>
      </c>
      <c r="F19" s="316" t="e">
        <f>C19-#REF!</f>
        <v>#REF!</v>
      </c>
      <c r="H19" s="360" t="e">
        <f>E19-#REF!</f>
        <v>#REF!</v>
      </c>
      <c r="I19" s="353"/>
      <c r="J19" s="396"/>
    </row>
    <row r="20" spans="1:11" ht="31.2" x14ac:dyDescent="0.3">
      <c r="A20" s="361" t="s">
        <v>2416</v>
      </c>
      <c r="B20" s="313"/>
      <c r="C20" s="403">
        <f>513721765.92+2647.87</f>
        <v>513724413.79000002</v>
      </c>
      <c r="D20" s="404"/>
      <c r="E20" s="381">
        <v>447172550.81999999</v>
      </c>
      <c r="F20" s="316" t="e">
        <f>C20-#REF!</f>
        <v>#REF!</v>
      </c>
      <c r="H20" s="362" t="e">
        <f>E20-#REF!</f>
        <v>#REF!</v>
      </c>
      <c r="I20" s="354"/>
      <c r="J20" s="354"/>
    </row>
    <row r="21" spans="1:11" ht="15.6" x14ac:dyDescent="0.3">
      <c r="A21" s="73" t="s">
        <v>2417</v>
      </c>
      <c r="B21" s="313"/>
      <c r="C21" s="403">
        <v>114564038.2643749</v>
      </c>
      <c r="D21" s="404"/>
      <c r="E21" s="381">
        <v>109984827.28000002</v>
      </c>
      <c r="F21" s="316" t="e">
        <f>C21-#REF!</f>
        <v>#REF!</v>
      </c>
      <c r="H21" s="352" t="e">
        <f>E21-#REF!</f>
        <v>#REF!</v>
      </c>
      <c r="I21" s="351"/>
      <c r="J21" s="363"/>
    </row>
    <row r="22" spans="1:11" ht="15.6" x14ac:dyDescent="0.3">
      <c r="A22" s="73" t="s">
        <v>2418</v>
      </c>
      <c r="B22" s="313"/>
      <c r="C22" s="383">
        <v>21498605.43</v>
      </c>
      <c r="D22" s="404"/>
      <c r="E22" s="328">
        <v>10687840.5</v>
      </c>
      <c r="F22" s="316" t="e">
        <f>C22-#REF!</f>
        <v>#REF!</v>
      </c>
      <c r="H22" s="357" t="e">
        <f>E22-#REF!</f>
        <v>#REF!</v>
      </c>
      <c r="I22" s="365"/>
    </row>
    <row r="23" spans="1:11" ht="15.6" x14ac:dyDescent="0.3">
      <c r="A23" s="311" t="s">
        <v>2419</v>
      </c>
      <c r="B23" s="313"/>
      <c r="C23" s="406">
        <f>SUM(C19:C22)</f>
        <v>1104505434.0543749</v>
      </c>
      <c r="D23" s="484"/>
      <c r="E23" s="401">
        <f>SUM(E19:E22)</f>
        <v>950332688.89999986</v>
      </c>
      <c r="F23" s="316" t="e">
        <f>C23-#REF!</f>
        <v>#REF!</v>
      </c>
      <c r="G23" s="322"/>
      <c r="H23" s="357" t="e">
        <f>E23-#REF!</f>
        <v>#REF!</v>
      </c>
      <c r="I23" s="365"/>
    </row>
    <row r="24" spans="1:11" ht="15.6" x14ac:dyDescent="0.3">
      <c r="A24" s="73"/>
      <c r="B24" s="313"/>
      <c r="C24" s="403"/>
      <c r="D24" s="404"/>
      <c r="E24" s="381"/>
      <c r="H24" s="322"/>
      <c r="I24" s="322"/>
    </row>
    <row r="25" spans="1:11" ht="15.6" x14ac:dyDescent="0.3">
      <c r="A25" s="311" t="s">
        <v>2420</v>
      </c>
      <c r="B25" s="313"/>
      <c r="C25" s="407">
        <f>C16-C23</f>
        <v>579391244.015625</v>
      </c>
      <c r="D25" s="484"/>
      <c r="E25" s="408">
        <f>E16-E23</f>
        <v>318619843.51999998</v>
      </c>
      <c r="F25" s="316" t="e">
        <f>C25-#REF!</f>
        <v>#REF!</v>
      </c>
      <c r="G25" s="322"/>
      <c r="H25" s="316" t="e">
        <f>E25-#REF!</f>
        <v>#REF!</v>
      </c>
    </row>
    <row r="26" spans="1:11" ht="15.6" x14ac:dyDescent="0.3">
      <c r="A26" s="73" t="s">
        <v>2421</v>
      </c>
      <c r="B26" s="313"/>
      <c r="C26" s="403"/>
      <c r="D26" s="404"/>
      <c r="E26" s="381"/>
    </row>
    <row r="27" spans="1:11" ht="15.6" x14ac:dyDescent="0.3">
      <c r="A27" s="361" t="s">
        <v>2422</v>
      </c>
      <c r="B27" s="313"/>
      <c r="C27" s="410">
        <v>10612957.539999999</v>
      </c>
      <c r="D27" s="405"/>
      <c r="E27" s="411">
        <v>17828381.009999998</v>
      </c>
      <c r="F27" s="412" t="e">
        <f>C27-#REF!</f>
        <v>#REF!</v>
      </c>
      <c r="G27" s="413"/>
      <c r="H27" s="412" t="e">
        <f>E27-#REF!</f>
        <v>#REF!</v>
      </c>
      <c r="I27" s="413"/>
    </row>
    <row r="28" spans="1:11" ht="15.6" x14ac:dyDescent="0.3">
      <c r="A28" s="73" t="s">
        <v>2423</v>
      </c>
      <c r="B28" s="313"/>
      <c r="C28" s="409">
        <v>-21104847.27</v>
      </c>
      <c r="D28" s="409"/>
      <c r="E28" s="329">
        <v>-55694875.469999999</v>
      </c>
      <c r="F28" s="316" t="e">
        <f>C28-#REF!</f>
        <v>#REF!</v>
      </c>
      <c r="H28" s="315" t="e">
        <f>E28+#REF!</f>
        <v>#REF!</v>
      </c>
      <c r="I28" s="315"/>
      <c r="J28" s="395"/>
    </row>
    <row r="29" spans="1:11" ht="15.6" x14ac:dyDescent="0.3">
      <c r="A29" s="73" t="s">
        <v>2424</v>
      </c>
      <c r="B29" s="313"/>
      <c r="C29" s="383">
        <v>2178315.41</v>
      </c>
      <c r="D29" s="404"/>
      <c r="E29" s="328">
        <v>1616311.04</v>
      </c>
      <c r="F29" s="316" t="e">
        <f>C29-#REF!</f>
        <v>#REF!</v>
      </c>
      <c r="H29" s="315" t="e">
        <f>E29-#REF!</f>
        <v>#REF!</v>
      </c>
      <c r="I29" s="315"/>
    </row>
    <row r="30" spans="1:11" ht="16.2" thickBot="1" x14ac:dyDescent="0.35">
      <c r="A30" s="311" t="s">
        <v>2425</v>
      </c>
      <c r="B30" s="27"/>
      <c r="C30" s="366">
        <f>SUM(C25:C29)</f>
        <v>571077669.69562495</v>
      </c>
      <c r="D30" s="384"/>
      <c r="E30" s="367">
        <f>SUM(E25:E29)</f>
        <v>282369660.09999996</v>
      </c>
      <c r="F30" s="316" t="e">
        <f>C30-#REF!</f>
        <v>#REF!</v>
      </c>
      <c r="G30" s="322"/>
      <c r="H30" s="322" t="e">
        <f>E30-#REF!</f>
        <v>#REF!</v>
      </c>
      <c r="I30" s="322"/>
    </row>
    <row r="31" spans="1:11" ht="16.2" thickTop="1" x14ac:dyDescent="0.3">
      <c r="A31" s="347"/>
      <c r="B31" s="347"/>
      <c r="C31" s="368"/>
      <c r="D31" s="368"/>
      <c r="E31" s="368"/>
      <c r="G31" s="322"/>
      <c r="H31" s="322"/>
      <c r="I31" s="322"/>
    </row>
    <row r="32" spans="1:11" ht="15.6" x14ac:dyDescent="0.3">
      <c r="A32" s="749"/>
      <c r="B32" s="749"/>
      <c r="C32" s="749"/>
      <c r="D32" s="749"/>
      <c r="E32" s="749"/>
      <c r="H32" s="369"/>
    </row>
    <row r="35" spans="3:9" x14ac:dyDescent="0.3">
      <c r="C35" s="371"/>
      <c r="D35" s="485"/>
      <c r="E35" s="372"/>
      <c r="F35" s="348"/>
      <c r="G35" s="348"/>
      <c r="H35" s="348"/>
      <c r="I35" s="348"/>
    </row>
    <row r="36" spans="3:9" x14ac:dyDescent="0.3">
      <c r="C36" s="371"/>
      <c r="D36" s="485"/>
      <c r="E36" s="372"/>
      <c r="F36" s="348"/>
      <c r="G36" s="348"/>
      <c r="H36" s="348"/>
      <c r="I36" s="348"/>
    </row>
    <row r="37" spans="3:9" x14ac:dyDescent="0.3">
      <c r="C37" s="371"/>
      <c r="D37" s="485"/>
      <c r="E37" s="372"/>
      <c r="F37" s="348"/>
      <c r="G37" s="348"/>
      <c r="H37" s="348"/>
      <c r="I37" s="348"/>
    </row>
    <row r="38" spans="3:9" x14ac:dyDescent="0.3">
      <c r="C38" s="371"/>
      <c r="D38" s="485"/>
      <c r="E38" s="372"/>
      <c r="F38" s="348"/>
      <c r="G38" s="348"/>
      <c r="H38" s="348"/>
      <c r="I38" s="348"/>
    </row>
    <row r="39" spans="3:9" x14ac:dyDescent="0.3">
      <c r="C39" s="372"/>
      <c r="D39" s="386"/>
      <c r="E39" s="372"/>
      <c r="F39" s="348"/>
      <c r="G39" s="348"/>
      <c r="H39" s="348"/>
      <c r="I39" s="348"/>
    </row>
    <row r="40" spans="3:9" x14ac:dyDescent="0.3">
      <c r="C40" s="372"/>
      <c r="D40" s="386"/>
      <c r="E40" s="372"/>
      <c r="F40" s="348"/>
      <c r="G40" s="348"/>
      <c r="H40" s="348"/>
      <c r="I40" s="348"/>
    </row>
  </sheetData>
  <sheetProtection algorithmName="SHA-512" hashValue="rjvZk2YxPgjHsEPc5RXol4wS0/lqvwrgSG7sBX2LB0BUDiI1d0hqvlAY1ADRdU6RIYzhGr3WcdKlmwmG0EJWvw==" saltValue="pci9cZjUQmqEdGm7PqRGdw==" spinCount="100000" sheet="1" objects="1" scenarios="1" selectLockedCells="1" selectUnlockedCells="1"/>
  <mergeCells count="8">
    <mergeCell ref="A7:E7"/>
    <mergeCell ref="A32:E32"/>
    <mergeCell ref="A1:E1"/>
    <mergeCell ref="A2:E2"/>
    <mergeCell ref="A3:E3"/>
    <mergeCell ref="A4:E4"/>
    <mergeCell ref="A5:E5"/>
    <mergeCell ref="A6:E6"/>
  </mergeCells>
  <pageMargins left="1.5000000000000002" right="0.98425196850393704" top="0.98425196850393704" bottom="0.98425196850393704" header="0.51181102362204722" footer="0.51181102362204722"/>
  <pageSetup scale="86" orientation="portrait" r:id="rId1"/>
  <headerFooter>
    <oddHeader>&amp;R&amp;"Times New Roman,Regular"Annex A.2
AAR Page 7</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8"/>
  <sheetViews>
    <sheetView zoomScaleNormal="100" workbookViewId="0">
      <selection sqref="A1:D1"/>
    </sheetView>
  </sheetViews>
  <sheetFormatPr defaultRowHeight="14.4" x14ac:dyDescent="0.3"/>
  <cols>
    <col min="1" max="1" width="43.88671875" customWidth="1"/>
    <col min="2" max="2" width="21.33203125" style="370" customWidth="1"/>
    <col min="3" max="3" width="3.6640625" style="354" customWidth="1"/>
    <col min="4" max="4" width="21.33203125" style="370" customWidth="1"/>
    <col min="5" max="5" width="15.33203125" bestFit="1" customWidth="1"/>
    <col min="6" max="7" width="16.88671875" hidden="1" customWidth="1"/>
  </cols>
  <sheetData>
    <row r="1" spans="1:7" ht="17.399999999999999" x14ac:dyDescent="0.3">
      <c r="A1" s="750" t="s">
        <v>0</v>
      </c>
      <c r="B1" s="750"/>
      <c r="C1" s="750"/>
      <c r="D1" s="750"/>
    </row>
    <row r="2" spans="1:7" ht="17.399999999999999" x14ac:dyDescent="0.3">
      <c r="A2" s="751" t="s">
        <v>2371</v>
      </c>
      <c r="B2" s="751"/>
      <c r="C2" s="751"/>
      <c r="D2" s="751"/>
    </row>
    <row r="3" spans="1:7" ht="17.399999999999999" x14ac:dyDescent="0.3">
      <c r="A3" s="751" t="s">
        <v>2426</v>
      </c>
      <c r="B3" s="751"/>
      <c r="C3" s="751"/>
      <c r="D3" s="751"/>
    </row>
    <row r="4" spans="1:7" ht="17.399999999999999" x14ac:dyDescent="0.3">
      <c r="A4" s="751" t="s">
        <v>860</v>
      </c>
      <c r="B4" s="751"/>
      <c r="C4" s="751"/>
      <c r="D4" s="751"/>
    </row>
    <row r="5" spans="1:7" ht="18" x14ac:dyDescent="0.3">
      <c r="A5" s="747" t="s">
        <v>2406</v>
      </c>
      <c r="B5" s="747"/>
      <c r="C5" s="747"/>
      <c r="D5" s="747"/>
    </row>
    <row r="6" spans="1:7" ht="18" x14ac:dyDescent="0.3">
      <c r="A6" s="747" t="s">
        <v>2373</v>
      </c>
      <c r="B6" s="747"/>
      <c r="C6" s="747"/>
      <c r="D6" s="747"/>
    </row>
    <row r="7" spans="1:7" ht="18" x14ac:dyDescent="0.3">
      <c r="A7" s="748" t="s">
        <v>2374</v>
      </c>
      <c r="B7" s="748"/>
      <c r="C7" s="748"/>
      <c r="D7" s="748"/>
    </row>
    <row r="8" spans="1:7" x14ac:dyDescent="0.3">
      <c r="B8" s="354"/>
      <c r="D8" s="354"/>
    </row>
    <row r="9" spans="1:7" ht="15.6" x14ac:dyDescent="0.3">
      <c r="A9" s="310"/>
      <c r="B9" s="309">
        <v>2022</v>
      </c>
      <c r="C9" s="310"/>
      <c r="D9" s="309">
        <v>2021</v>
      </c>
    </row>
    <row r="10" spans="1:7" ht="15.6" x14ac:dyDescent="0.3">
      <c r="A10" s="339" t="s">
        <v>2427</v>
      </c>
      <c r="B10" s="314">
        <f>D18</f>
        <v>2735132463.8199997</v>
      </c>
      <c r="C10" s="315"/>
      <c r="D10" s="314">
        <v>2616397961.8099999</v>
      </c>
      <c r="F10" s="316" t="e">
        <f>B10-#REF!</f>
        <v>#REF!</v>
      </c>
      <c r="G10" s="316" t="e">
        <f>D10-#REF!</f>
        <v>#REF!</v>
      </c>
    </row>
    <row r="11" spans="1:7" ht="15.6" x14ac:dyDescent="0.3">
      <c r="A11" s="318" t="s">
        <v>2428</v>
      </c>
      <c r="B11" s="314"/>
      <c r="C11" s="315"/>
      <c r="D11" s="314"/>
    </row>
    <row r="12" spans="1:7" ht="15.6" x14ac:dyDescent="0.3">
      <c r="A12" s="318" t="s">
        <v>2429</v>
      </c>
      <c r="B12" s="373">
        <v>0</v>
      </c>
      <c r="C12" s="486"/>
      <c r="D12" s="373">
        <v>0</v>
      </c>
      <c r="G12" s="349" t="e">
        <f>D12-#REF!</f>
        <v>#REF!</v>
      </c>
    </row>
    <row r="13" spans="1:7" ht="15.6" x14ac:dyDescent="0.3">
      <c r="A13" s="318" t="s">
        <v>2430</v>
      </c>
      <c r="B13" s="319">
        <v>-129016014.6656251</v>
      </c>
      <c r="C13" s="315"/>
      <c r="D13" s="319">
        <v>-163635158.09</v>
      </c>
      <c r="E13" s="316"/>
      <c r="F13" s="322" t="e">
        <f>B13-#REF!</f>
        <v>#REF!</v>
      </c>
      <c r="G13" s="322" t="e">
        <f>D13-#REF!</f>
        <v>#REF!</v>
      </c>
    </row>
    <row r="14" spans="1:7" ht="15.6" x14ac:dyDescent="0.3">
      <c r="A14" s="339" t="s">
        <v>2431</v>
      </c>
      <c r="B14" s="321">
        <f>SUM(B10:B13)</f>
        <v>2606116449.1543746</v>
      </c>
      <c r="C14" s="321"/>
      <c r="D14" s="374">
        <f>D10+D12+D13</f>
        <v>2452762803.7199998</v>
      </c>
      <c r="F14" s="322" t="e">
        <f>B14-#REF!</f>
        <v>#REF!</v>
      </c>
      <c r="G14" s="322" t="e">
        <f>D14-#REF!</f>
        <v>#REF!</v>
      </c>
    </row>
    <row r="15" spans="1:7" ht="31.2" x14ac:dyDescent="0.3">
      <c r="A15" s="61" t="s">
        <v>2432</v>
      </c>
      <c r="B15" s="61"/>
      <c r="C15" s="61"/>
      <c r="D15" s="27"/>
    </row>
    <row r="16" spans="1:7" ht="15.6" x14ac:dyDescent="0.3">
      <c r="A16" s="318" t="s">
        <v>2433</v>
      </c>
      <c r="B16" s="319">
        <f>[1]SFPER!D30</f>
        <v>571077669.69562495</v>
      </c>
      <c r="C16" s="315"/>
      <c r="D16" s="319">
        <f>[1]SFPER!E30</f>
        <v>282369660.09999996</v>
      </c>
      <c r="F16" s="316" t="e">
        <f>B16-#REF!</f>
        <v>#REF!</v>
      </c>
      <c r="G16" s="316" t="e">
        <f>D16-#REF!</f>
        <v>#REF!</v>
      </c>
    </row>
    <row r="17" spans="1:8" ht="15.6" x14ac:dyDescent="0.3">
      <c r="A17" s="375" t="s">
        <v>2434</v>
      </c>
      <c r="B17" s="376">
        <f>B16</f>
        <v>571077669.69562495</v>
      </c>
      <c r="C17" s="487"/>
      <c r="D17" s="376">
        <f>D16</f>
        <v>282369660.09999996</v>
      </c>
      <c r="F17" s="322"/>
      <c r="G17" s="322"/>
    </row>
    <row r="18" spans="1:8" ht="16.2" thickBot="1" x14ac:dyDescent="0.35">
      <c r="A18" s="339" t="s">
        <v>2435</v>
      </c>
      <c r="B18" s="334">
        <f>B14+B17</f>
        <v>3177194118.8499994</v>
      </c>
      <c r="C18" s="321"/>
      <c r="D18" s="334">
        <f>D14+D16</f>
        <v>2735132463.8199997</v>
      </c>
      <c r="E18" s="316"/>
      <c r="F18" s="322"/>
      <c r="G18" s="322"/>
    </row>
    <row r="19" spans="1:8" ht="16.2" thickTop="1" x14ac:dyDescent="0.3">
      <c r="A19" s="347"/>
      <c r="B19" s="418"/>
      <c r="C19" s="418"/>
      <c r="D19" s="418"/>
      <c r="F19" s="322"/>
      <c r="H19" s="322"/>
    </row>
    <row r="20" spans="1:8" ht="15.6" x14ac:dyDescent="0.3">
      <c r="A20" s="749"/>
      <c r="B20" s="749"/>
      <c r="C20" s="749"/>
      <c r="D20" s="749"/>
    </row>
    <row r="23" spans="1:8" hidden="1" x14ac:dyDescent="0.3"/>
    <row r="24" spans="1:8" hidden="1" x14ac:dyDescent="0.3"/>
    <row r="25" spans="1:8" hidden="1" x14ac:dyDescent="0.3"/>
    <row r="26" spans="1:8" hidden="1" x14ac:dyDescent="0.3"/>
    <row r="27" spans="1:8" x14ac:dyDescent="0.3">
      <c r="B27" s="372"/>
      <c r="C27" s="386"/>
      <c r="D27" s="372"/>
    </row>
    <row r="28" spans="1:8" x14ac:dyDescent="0.3">
      <c r="B28" s="372"/>
      <c r="C28" s="386"/>
      <c r="D28" s="372"/>
    </row>
  </sheetData>
  <sheetProtection algorithmName="SHA-512" hashValue="PEfikF/ZGoStmgX69bMptTetA8GjQoKXBgV0mQX1GWmHbs8/bjYxnxkuKGBf9prdv6Sh93217nyghLF+6Is5VA==" saltValue="XBMrc57yEZGivnePFComOQ==" spinCount="100000" sheet="1" objects="1" scenarios="1" selectLockedCells="1" selectUnlockedCells="1"/>
  <mergeCells count="8">
    <mergeCell ref="A7:D7"/>
    <mergeCell ref="A20:D20"/>
    <mergeCell ref="A1:D1"/>
    <mergeCell ref="A2:D2"/>
    <mergeCell ref="A3:D3"/>
    <mergeCell ref="A4:D4"/>
    <mergeCell ref="A5:D5"/>
    <mergeCell ref="A6:D6"/>
  </mergeCells>
  <pageMargins left="1.5000000000000002" right="0.98425196850393704" top="0.98425196850393704" bottom="0.98425196850393704" header="0.51181102362204722" footer="0.51181102362204722"/>
  <pageSetup scale="84" fitToHeight="0" orientation="portrait" r:id="rId1"/>
  <headerFooter>
    <oddHeader>&amp;R&amp;"Times New Roman,Regular"Annex A.3
AAR Page 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60"/>
  <sheetViews>
    <sheetView zoomScaleNormal="100" workbookViewId="0">
      <selection sqref="A1:D1"/>
    </sheetView>
  </sheetViews>
  <sheetFormatPr defaultRowHeight="14.4" x14ac:dyDescent="0.3"/>
  <cols>
    <col min="1" max="1" width="43.6640625" customWidth="1"/>
    <col min="2" max="2" width="19.44140625" style="370" bestFit="1" customWidth="1"/>
    <col min="3" max="3" width="3.6640625" style="354" customWidth="1"/>
    <col min="4" max="4" width="18.6640625" style="370" customWidth="1"/>
    <col min="6" max="6" width="17.6640625" bestFit="1" customWidth="1"/>
    <col min="7" max="7" width="16.88671875" bestFit="1" customWidth="1"/>
  </cols>
  <sheetData>
    <row r="1" spans="1:4" ht="17.399999999999999" x14ac:dyDescent="0.3">
      <c r="A1" s="750" t="s">
        <v>0</v>
      </c>
      <c r="B1" s="750"/>
      <c r="C1" s="750"/>
      <c r="D1" s="750"/>
    </row>
    <row r="2" spans="1:4" ht="17.399999999999999" x14ac:dyDescent="0.3">
      <c r="A2" s="751" t="s">
        <v>2371</v>
      </c>
      <c r="B2" s="751"/>
      <c r="C2" s="751"/>
      <c r="D2" s="751"/>
    </row>
    <row r="3" spans="1:4" ht="17.399999999999999" x14ac:dyDescent="0.3">
      <c r="A3" s="751" t="s">
        <v>2436</v>
      </c>
      <c r="B3" s="751"/>
      <c r="C3" s="751"/>
      <c r="D3" s="751"/>
    </row>
    <row r="4" spans="1:4" ht="17.399999999999999" x14ac:dyDescent="0.3">
      <c r="A4" s="751" t="s">
        <v>860</v>
      </c>
      <c r="B4" s="751"/>
      <c r="C4" s="751"/>
      <c r="D4" s="751"/>
    </row>
    <row r="5" spans="1:4" ht="18" x14ac:dyDescent="0.3">
      <c r="A5" s="747" t="s">
        <v>2406</v>
      </c>
      <c r="B5" s="747"/>
      <c r="C5" s="747"/>
      <c r="D5" s="747"/>
    </row>
    <row r="6" spans="1:4" ht="18" x14ac:dyDescent="0.3">
      <c r="A6" s="747" t="s">
        <v>2373</v>
      </c>
      <c r="B6" s="747"/>
      <c r="C6" s="747"/>
      <c r="D6" s="747"/>
    </row>
    <row r="7" spans="1:4" ht="18" x14ac:dyDescent="0.3">
      <c r="A7" s="748" t="s">
        <v>2374</v>
      </c>
      <c r="B7" s="748"/>
      <c r="C7" s="748"/>
      <c r="D7" s="748"/>
    </row>
    <row r="9" spans="1:4" ht="15.6" x14ac:dyDescent="0.3">
      <c r="A9" s="73"/>
      <c r="B9" s="309">
        <v>2022</v>
      </c>
      <c r="C9" s="310"/>
      <c r="D9" s="309">
        <v>2021</v>
      </c>
    </row>
    <row r="10" spans="1:4" ht="15.6" x14ac:dyDescent="0.3">
      <c r="A10" s="311" t="s">
        <v>2437</v>
      </c>
      <c r="B10" s="73"/>
      <c r="C10" s="73"/>
      <c r="D10" s="73"/>
    </row>
    <row r="11" spans="1:4" ht="16.2" x14ac:dyDescent="0.3">
      <c r="A11" s="377" t="s">
        <v>2438</v>
      </c>
      <c r="B11" s="378"/>
      <c r="C11" s="379"/>
      <c r="D11" s="378"/>
    </row>
    <row r="12" spans="1:4" ht="15.6" x14ac:dyDescent="0.3">
      <c r="A12" s="318" t="s">
        <v>2439</v>
      </c>
      <c r="B12" s="390">
        <v>332644710.97000003</v>
      </c>
      <c r="C12" s="315"/>
      <c r="D12" s="314">
        <v>233829677.02999991</v>
      </c>
    </row>
    <row r="13" spans="1:4" ht="15.6" x14ac:dyDescent="0.3">
      <c r="A13" s="318" t="s">
        <v>2440</v>
      </c>
      <c r="B13" s="390">
        <v>1248221550</v>
      </c>
      <c r="C13" s="315"/>
      <c r="D13" s="314">
        <v>889216030</v>
      </c>
    </row>
    <row r="14" spans="1:4" ht="15.6" x14ac:dyDescent="0.3">
      <c r="A14" s="318" t="s">
        <v>2441</v>
      </c>
      <c r="B14" s="390">
        <v>63775970.890000001</v>
      </c>
      <c r="C14" s="315"/>
      <c r="D14" s="314">
        <v>105712748.59</v>
      </c>
    </row>
    <row r="15" spans="1:4" ht="15.6" x14ac:dyDescent="0.3">
      <c r="A15" s="318" t="s">
        <v>2442</v>
      </c>
      <c r="B15" s="390">
        <v>723892.41999999993</v>
      </c>
      <c r="C15" s="315"/>
      <c r="D15" s="314">
        <v>349917.16</v>
      </c>
    </row>
    <row r="16" spans="1:4" ht="15.6" x14ac:dyDescent="0.3">
      <c r="A16" s="318" t="s">
        <v>2443</v>
      </c>
      <c r="B16" s="414">
        <v>385499105.91000003</v>
      </c>
      <c r="C16" s="315"/>
      <c r="D16" s="319">
        <v>740625456.57000005</v>
      </c>
    </row>
    <row r="17" spans="1:7" ht="15.6" x14ac:dyDescent="0.3">
      <c r="A17" s="339" t="s">
        <v>2444</v>
      </c>
      <c r="B17" s="417">
        <f>+SUM(B12:B16)</f>
        <v>2030865230.1900003</v>
      </c>
      <c r="C17" s="321"/>
      <c r="D17" s="320">
        <f>+SUM(D12:D16)</f>
        <v>1969733829.3499999</v>
      </c>
      <c r="F17" s="322"/>
      <c r="G17" s="322"/>
    </row>
    <row r="18" spans="1:7" ht="16.2" x14ac:dyDescent="0.3">
      <c r="A18" s="377" t="s">
        <v>2445</v>
      </c>
      <c r="B18" s="390"/>
      <c r="C18" s="315"/>
      <c r="D18" s="314"/>
      <c r="F18" s="322"/>
      <c r="G18" s="322"/>
    </row>
    <row r="19" spans="1:7" ht="15.6" x14ac:dyDescent="0.3">
      <c r="A19" s="76" t="s">
        <v>2446</v>
      </c>
      <c r="B19" s="391">
        <v>283919623.80000001</v>
      </c>
      <c r="C19" s="315"/>
      <c r="D19" s="314">
        <v>319488467.72000003</v>
      </c>
    </row>
    <row r="20" spans="1:7" ht="15.6" x14ac:dyDescent="0.3">
      <c r="A20" s="76" t="s">
        <v>2447</v>
      </c>
      <c r="B20" s="390">
        <v>106985558.48800001</v>
      </c>
      <c r="C20" s="315"/>
      <c r="D20" s="314">
        <v>159998272.81999999</v>
      </c>
    </row>
    <row r="21" spans="1:7" ht="15.6" x14ac:dyDescent="0.3">
      <c r="A21" s="76" t="s">
        <v>2448</v>
      </c>
      <c r="B21" s="390">
        <v>519564681.50999999</v>
      </c>
      <c r="C21" s="315"/>
      <c r="D21" s="314">
        <v>258193603.06799999</v>
      </c>
    </row>
    <row r="22" spans="1:7" ht="15.6" x14ac:dyDescent="0.3">
      <c r="A22" s="318" t="s">
        <v>2449</v>
      </c>
      <c r="B22" s="390">
        <v>20139327.800000001</v>
      </c>
      <c r="C22" s="315"/>
      <c r="D22" s="314">
        <v>10419963.130000003</v>
      </c>
    </row>
    <row r="23" spans="1:7" ht="15.6" x14ac:dyDescent="0.3">
      <c r="A23" s="318" t="s">
        <v>2450</v>
      </c>
      <c r="B23" s="415">
        <v>796472609.60000002</v>
      </c>
      <c r="C23" s="315"/>
      <c r="D23" s="319">
        <v>929229320.79000008</v>
      </c>
    </row>
    <row r="24" spans="1:7" ht="15.6" x14ac:dyDescent="0.3">
      <c r="A24" s="339" t="s">
        <v>2451</v>
      </c>
      <c r="B24" s="397">
        <f>+SUM(B19:B23)</f>
        <v>1727081801.198</v>
      </c>
      <c r="C24" s="321"/>
      <c r="D24" s="380">
        <f>+SUM(D19:D23)</f>
        <v>1677329627.5280001</v>
      </c>
      <c r="F24" s="322"/>
      <c r="G24" s="322"/>
    </row>
    <row r="25" spans="1:7" ht="15.6" x14ac:dyDescent="0.3">
      <c r="A25" s="339" t="s">
        <v>2452</v>
      </c>
      <c r="B25" s="417">
        <f>B17-B24</f>
        <v>303783428.99200034</v>
      </c>
      <c r="C25" s="321"/>
      <c r="D25" s="320">
        <f>D17-D24</f>
        <v>292404201.82199979</v>
      </c>
      <c r="F25" s="322"/>
      <c r="G25" s="322"/>
    </row>
    <row r="26" spans="1:7" ht="15.6" x14ac:dyDescent="0.3">
      <c r="A26" s="339"/>
      <c r="B26" s="398"/>
      <c r="C26" s="321"/>
      <c r="D26" s="321"/>
      <c r="F26" s="322"/>
      <c r="G26" s="322"/>
    </row>
    <row r="27" spans="1:7" ht="15.6" x14ac:dyDescent="0.3">
      <c r="A27" s="382" t="s">
        <v>2453</v>
      </c>
      <c r="B27" s="390"/>
      <c r="C27" s="315"/>
      <c r="D27" s="314"/>
      <c r="F27" s="322"/>
      <c r="G27" s="322"/>
    </row>
    <row r="28" spans="1:7" ht="16.2" x14ac:dyDescent="0.3">
      <c r="A28" s="377" t="s">
        <v>2454</v>
      </c>
      <c r="B28" s="390"/>
      <c r="C28" s="315"/>
      <c r="D28" s="314"/>
    </row>
    <row r="29" spans="1:7" ht="15.6" x14ac:dyDescent="0.3">
      <c r="A29" s="318" t="s">
        <v>2455</v>
      </c>
      <c r="B29" s="414">
        <v>11519.46</v>
      </c>
      <c r="C29" s="315"/>
      <c r="D29" s="421">
        <v>0</v>
      </c>
    </row>
    <row r="30" spans="1:7" ht="15.6" x14ac:dyDescent="0.3">
      <c r="A30" s="339" t="s">
        <v>2456</v>
      </c>
      <c r="B30" s="417">
        <f>+B29</f>
        <v>11519.46</v>
      </c>
      <c r="C30" s="321"/>
      <c r="D30" s="355">
        <f>+D29</f>
        <v>0</v>
      </c>
    </row>
    <row r="31" spans="1:7" ht="16.2" x14ac:dyDescent="0.3">
      <c r="A31" s="377" t="s">
        <v>2445</v>
      </c>
      <c r="B31" s="390"/>
      <c r="C31" s="315"/>
      <c r="D31" s="314"/>
    </row>
    <row r="32" spans="1:7" ht="15.6" x14ac:dyDescent="0.3">
      <c r="A32" s="318" t="s">
        <v>2457</v>
      </c>
      <c r="B32" s="414">
        <v>310830792.52999997</v>
      </c>
      <c r="C32" s="315"/>
      <c r="D32" s="319">
        <v>408766103.53999996</v>
      </c>
    </row>
    <row r="33" spans="1:8" ht="15.6" x14ac:dyDescent="0.3">
      <c r="A33" s="339" t="s">
        <v>2451</v>
      </c>
      <c r="B33" s="417">
        <f>+B32</f>
        <v>310830792.52999997</v>
      </c>
      <c r="C33" s="321"/>
      <c r="D33" s="355">
        <f>+D32</f>
        <v>408766103.53999996</v>
      </c>
    </row>
    <row r="34" spans="1:8" ht="15.6" x14ac:dyDescent="0.3">
      <c r="A34" s="339" t="s">
        <v>2458</v>
      </c>
      <c r="B34" s="488">
        <f>+B30-B33</f>
        <v>-310819273.06999999</v>
      </c>
      <c r="C34" s="398"/>
      <c r="D34" s="488">
        <f>+D30-D33</f>
        <v>-408766103.53999996</v>
      </c>
    </row>
    <row r="35" spans="1:8" ht="15.6" x14ac:dyDescent="0.3">
      <c r="A35" s="339"/>
      <c r="B35" s="489"/>
      <c r="C35" s="398"/>
      <c r="D35" s="489"/>
    </row>
    <row r="36" spans="1:8" ht="15.6" x14ac:dyDescent="0.3">
      <c r="A36" s="382" t="s">
        <v>2459</v>
      </c>
      <c r="B36" s="390"/>
      <c r="C36" s="400"/>
      <c r="D36" s="390"/>
    </row>
    <row r="37" spans="1:8" ht="16.2" x14ac:dyDescent="0.3">
      <c r="A37" s="377" t="s">
        <v>2438</v>
      </c>
      <c r="B37" s="390"/>
      <c r="C37" s="315"/>
      <c r="D37" s="314"/>
    </row>
    <row r="38" spans="1:8" ht="15.6" x14ac:dyDescent="0.3">
      <c r="A38" s="318" t="s">
        <v>2460</v>
      </c>
      <c r="B38" s="390">
        <v>401068580.09000003</v>
      </c>
      <c r="C38" s="315"/>
      <c r="D38" s="314">
        <v>9564783</v>
      </c>
    </row>
    <row r="39" spans="1:8" ht="15.6" x14ac:dyDescent="0.3">
      <c r="A39" s="339" t="s">
        <v>2444</v>
      </c>
      <c r="B39" s="417">
        <f>+B38</f>
        <v>401068580.09000003</v>
      </c>
      <c r="C39" s="315"/>
      <c r="D39" s="355">
        <f>+D38</f>
        <v>9564783</v>
      </c>
    </row>
    <row r="40" spans="1:8" ht="16.2" x14ac:dyDescent="0.3">
      <c r="A40" s="377" t="s">
        <v>2445</v>
      </c>
      <c r="B40" s="390"/>
      <c r="C40" s="315"/>
      <c r="D40" s="314"/>
    </row>
    <row r="41" spans="1:8" ht="15.6" x14ac:dyDescent="0.3">
      <c r="A41" s="318" t="s">
        <v>2461</v>
      </c>
      <c r="B41" s="415">
        <v>32681550.449999999</v>
      </c>
      <c r="C41" s="315"/>
      <c r="D41" s="319">
        <v>26694020.509999998</v>
      </c>
    </row>
    <row r="42" spans="1:8" ht="15.6" x14ac:dyDescent="0.3">
      <c r="A42" s="339" t="s">
        <v>2451</v>
      </c>
      <c r="B42" s="417">
        <f>+B41</f>
        <v>32681550.449999999</v>
      </c>
      <c r="C42" s="315"/>
      <c r="D42" s="355">
        <f>+D41</f>
        <v>26694020.509999998</v>
      </c>
    </row>
    <row r="43" spans="1:8" ht="15.6" x14ac:dyDescent="0.3">
      <c r="A43" s="339" t="s">
        <v>2459</v>
      </c>
      <c r="B43" s="355">
        <f>B39-B42</f>
        <v>368387029.64000005</v>
      </c>
      <c r="C43" s="321"/>
      <c r="D43" s="417">
        <f>D39-D42</f>
        <v>-17129237.509999998</v>
      </c>
    </row>
    <row r="44" spans="1:8" ht="15.6" x14ac:dyDescent="0.3">
      <c r="A44" s="339"/>
      <c r="B44" s="490"/>
      <c r="C44" s="321"/>
      <c r="D44" s="490"/>
    </row>
    <row r="45" spans="1:8" ht="15.75" customHeight="1" x14ac:dyDescent="0.3">
      <c r="A45" s="311" t="s">
        <v>2462</v>
      </c>
      <c r="B45" s="384"/>
      <c r="C45" s="385"/>
      <c r="D45" s="385"/>
    </row>
    <row r="46" spans="1:8" ht="15.6" x14ac:dyDescent="0.3">
      <c r="A46" s="311" t="s">
        <v>2463</v>
      </c>
      <c r="B46" s="384">
        <f>B25+B34+B43</f>
        <v>361351185.56200039</v>
      </c>
      <c r="C46" s="384"/>
      <c r="D46" s="491">
        <f>D25+D34+D43</f>
        <v>-133491139.22800016</v>
      </c>
    </row>
    <row r="47" spans="1:8" ht="15.6" x14ac:dyDescent="0.3">
      <c r="A47" s="339" t="s">
        <v>2464</v>
      </c>
      <c r="B47" s="364">
        <f>D48</f>
        <v>778461814.32199979</v>
      </c>
      <c r="C47" s="350"/>
      <c r="D47" s="364">
        <v>911952953.54999995</v>
      </c>
    </row>
    <row r="48" spans="1:8" ht="16.2" thickBot="1" x14ac:dyDescent="0.35">
      <c r="A48" s="339" t="s">
        <v>2465</v>
      </c>
      <c r="B48" s="346">
        <f>SUM(B46:B47)</f>
        <v>1139812999.8840003</v>
      </c>
      <c r="C48" s="321"/>
      <c r="D48" s="346">
        <f>SUM(D46:D47)</f>
        <v>778461814.32199979</v>
      </c>
      <c r="F48" s="316"/>
      <c r="G48" s="419"/>
      <c r="H48" t="s">
        <v>2466</v>
      </c>
    </row>
    <row r="49" spans="1:8" ht="16.2" thickTop="1" x14ac:dyDescent="0.3">
      <c r="A49" s="347"/>
    </row>
    <row r="50" spans="1:8" ht="15.6" x14ac:dyDescent="0.3">
      <c r="A50" s="749"/>
      <c r="B50" s="749"/>
      <c r="C50" s="749"/>
      <c r="D50" s="749"/>
      <c r="F50" s="322"/>
      <c r="H50" s="322"/>
    </row>
    <row r="51" spans="1:8" x14ac:dyDescent="0.3">
      <c r="B51" s="372"/>
      <c r="C51" s="386"/>
      <c r="D51" s="372"/>
    </row>
    <row r="52" spans="1:8" ht="15.6" x14ac:dyDescent="0.3">
      <c r="B52" s="387"/>
      <c r="C52" s="388"/>
      <c r="D52" s="387"/>
    </row>
    <row r="53" spans="1:8" x14ac:dyDescent="0.3">
      <c r="B53" s="372"/>
      <c r="C53" s="386"/>
      <c r="D53" s="372"/>
    </row>
    <row r="54" spans="1:8" hidden="1" x14ac:dyDescent="0.3">
      <c r="B54" s="370">
        <f>B48-[1]SFPO!D12</f>
        <v>4.0004253387451172E-3</v>
      </c>
      <c r="D54" s="370">
        <f>D48-[1]SFPO!E12</f>
        <v>1.9998550415039063E-3</v>
      </c>
    </row>
    <row r="56" spans="1:8" x14ac:dyDescent="0.3">
      <c r="B56" s="389"/>
      <c r="C56" s="363"/>
      <c r="D56" s="389"/>
    </row>
    <row r="57" spans="1:8" x14ac:dyDescent="0.3">
      <c r="B57" s="389"/>
      <c r="C57" s="363"/>
      <c r="D57" s="389"/>
    </row>
    <row r="60" spans="1:8" x14ac:dyDescent="0.3">
      <c r="B60" s="389"/>
      <c r="C60" s="363"/>
      <c r="D60" s="389"/>
    </row>
  </sheetData>
  <sheetProtection algorithmName="SHA-512" hashValue="+NDHElahWqjXceIxBUHnBilBopKEBHwaVO4OIGb1iarQupqZUk47FbEu40gjgKf0SB36Abj9dDo4apKKsemS/A==" saltValue="bthz/6PcGOzt+ntJhlg5rA==" spinCount="100000" sheet="1" objects="1" scenarios="1" selectLockedCells="1" selectUnlockedCells="1"/>
  <mergeCells count="8">
    <mergeCell ref="A7:D7"/>
    <mergeCell ref="A50:D50"/>
    <mergeCell ref="A1:D1"/>
    <mergeCell ref="A2:D2"/>
    <mergeCell ref="A3:D3"/>
    <mergeCell ref="A4:D4"/>
    <mergeCell ref="A5:D5"/>
    <mergeCell ref="A6:D6"/>
  </mergeCells>
  <pageMargins left="1.5000000000000002" right="0.98425196850393704" top="0.98425196850393704" bottom="0.98425196850393704" header="0.51181102362204722" footer="0.51181102362204722"/>
  <pageSetup scale="82" orientation="portrait" r:id="rId1"/>
  <headerFooter>
    <oddHeader>&amp;R&amp;"Times New Roman,Regular"Annex A.4
AAR Page 9</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118"/>
  <sheetViews>
    <sheetView topLeftCell="B1" zoomScaleNormal="100" workbookViewId="0">
      <selection sqref="A1:N1"/>
    </sheetView>
  </sheetViews>
  <sheetFormatPr defaultColWidth="8.88671875" defaultRowHeight="15.6" x14ac:dyDescent="0.3"/>
  <cols>
    <col min="1" max="1" width="2.6640625" style="423" hidden="1" customWidth="1"/>
    <col min="2" max="4" width="2.6640625" style="423" customWidth="1"/>
    <col min="5" max="5" width="47.6640625" style="423" customWidth="1"/>
    <col min="6" max="6" width="19.33203125" style="423" bestFit="1" customWidth="1"/>
    <col min="7" max="7" width="16.5546875" style="423" hidden="1" customWidth="1"/>
    <col min="8" max="8" width="19.33203125" style="423" bestFit="1" customWidth="1"/>
    <col min="9" max="9" width="16.88671875" style="423" hidden="1" customWidth="1"/>
    <col min="10" max="10" width="18.33203125" style="423" bestFit="1" customWidth="1"/>
    <col min="11" max="11" width="16.109375" style="423" hidden="1" customWidth="1"/>
    <col min="12" max="12" width="19.33203125" style="423" bestFit="1" customWidth="1"/>
    <col min="13" max="13" width="18.6640625" style="423" hidden="1" customWidth="1"/>
    <col min="14" max="14" width="20.6640625" style="423" customWidth="1"/>
    <col min="15" max="15" width="0.6640625" style="423" customWidth="1"/>
    <col min="16" max="246" width="8.88671875" style="423"/>
    <col min="247" max="250" width="2.6640625" style="423" customWidth="1"/>
    <col min="251" max="251" width="49.33203125" style="423" customWidth="1"/>
    <col min="252" max="252" width="10.44140625" style="423" customWidth="1"/>
    <col min="253" max="253" width="18.88671875" style="423" customWidth="1"/>
    <col min="254" max="254" width="18.6640625" style="423" bestFit="1" customWidth="1"/>
    <col min="255" max="255" width="17.6640625" style="423" bestFit="1" customWidth="1"/>
    <col min="256" max="256" width="18.6640625" style="423" bestFit="1" customWidth="1"/>
    <col min="257" max="257" width="17.6640625" style="423" bestFit="1" customWidth="1"/>
    <col min="258" max="258" width="17.33203125" style="423" customWidth="1"/>
    <col min="259" max="259" width="17.33203125" style="423" bestFit="1" customWidth="1"/>
    <col min="260" max="260" width="18.6640625" style="423" bestFit="1" customWidth="1"/>
    <col min="261" max="261" width="19.109375" style="423" bestFit="1" customWidth="1"/>
    <col min="262" max="262" width="19.5546875" style="423" bestFit="1" customWidth="1"/>
    <col min="263" max="502" width="8.88671875" style="423"/>
    <col min="503" max="506" width="2.6640625" style="423" customWidth="1"/>
    <col min="507" max="507" width="49.33203125" style="423" customWidth="1"/>
    <col min="508" max="508" width="10.44140625" style="423" customWidth="1"/>
    <col min="509" max="509" width="18.88671875" style="423" customWidth="1"/>
    <col min="510" max="510" width="18.6640625" style="423" bestFit="1" customWidth="1"/>
    <col min="511" max="511" width="17.6640625" style="423" bestFit="1" customWidth="1"/>
    <col min="512" max="512" width="18.6640625" style="423" bestFit="1" customWidth="1"/>
    <col min="513" max="513" width="17.6640625" style="423" bestFit="1" customWidth="1"/>
    <col min="514" max="514" width="17.33203125" style="423" customWidth="1"/>
    <col min="515" max="515" width="17.33203125" style="423" bestFit="1" customWidth="1"/>
    <col min="516" max="516" width="18.6640625" style="423" bestFit="1" customWidth="1"/>
    <col min="517" max="517" width="19.109375" style="423" bestFit="1" customWidth="1"/>
    <col min="518" max="518" width="19.5546875" style="423" bestFit="1" customWidth="1"/>
    <col min="519" max="758" width="8.88671875" style="423"/>
    <col min="759" max="762" width="2.6640625" style="423" customWidth="1"/>
    <col min="763" max="763" width="49.33203125" style="423" customWidth="1"/>
    <col min="764" max="764" width="10.44140625" style="423" customWidth="1"/>
    <col min="765" max="765" width="18.88671875" style="423" customWidth="1"/>
    <col min="766" max="766" width="18.6640625" style="423" bestFit="1" customWidth="1"/>
    <col min="767" max="767" width="17.6640625" style="423" bestFit="1" customWidth="1"/>
    <col min="768" max="768" width="18.6640625" style="423" bestFit="1" customWidth="1"/>
    <col min="769" max="769" width="17.6640625" style="423" bestFit="1" customWidth="1"/>
    <col min="770" max="770" width="17.33203125" style="423" customWidth="1"/>
    <col min="771" max="771" width="17.33203125" style="423" bestFit="1" customWidth="1"/>
    <col min="772" max="772" width="18.6640625" style="423" bestFit="1" customWidth="1"/>
    <col min="773" max="773" width="19.109375" style="423" bestFit="1" customWidth="1"/>
    <col min="774" max="774" width="19.5546875" style="423" bestFit="1" customWidth="1"/>
    <col min="775" max="1014" width="8.88671875" style="423"/>
    <col min="1015" max="1018" width="2.6640625" style="423" customWidth="1"/>
    <col min="1019" max="1019" width="49.33203125" style="423" customWidth="1"/>
    <col min="1020" max="1020" width="10.44140625" style="423" customWidth="1"/>
    <col min="1021" max="1021" width="18.88671875" style="423" customWidth="1"/>
    <col min="1022" max="1022" width="18.6640625" style="423" bestFit="1" customWidth="1"/>
    <col min="1023" max="1023" width="17.6640625" style="423" bestFit="1" customWidth="1"/>
    <col min="1024" max="1024" width="18.6640625" style="423" bestFit="1" customWidth="1"/>
    <col min="1025" max="1025" width="17.6640625" style="423" bestFit="1" customWidth="1"/>
    <col min="1026" max="1026" width="17.33203125" style="423" customWidth="1"/>
    <col min="1027" max="1027" width="17.33203125" style="423" bestFit="1" customWidth="1"/>
    <col min="1028" max="1028" width="18.6640625" style="423" bestFit="1" customWidth="1"/>
    <col min="1029" max="1029" width="19.109375" style="423" bestFit="1" customWidth="1"/>
    <col min="1030" max="1030" width="19.5546875" style="423" bestFit="1" customWidth="1"/>
    <col min="1031" max="1270" width="8.88671875" style="423"/>
    <col min="1271" max="1274" width="2.6640625" style="423" customWidth="1"/>
    <col min="1275" max="1275" width="49.33203125" style="423" customWidth="1"/>
    <col min="1276" max="1276" width="10.44140625" style="423" customWidth="1"/>
    <col min="1277" max="1277" width="18.88671875" style="423" customWidth="1"/>
    <col min="1278" max="1278" width="18.6640625" style="423" bestFit="1" customWidth="1"/>
    <col min="1279" max="1279" width="17.6640625" style="423" bestFit="1" customWidth="1"/>
    <col min="1280" max="1280" width="18.6640625" style="423" bestFit="1" customWidth="1"/>
    <col min="1281" max="1281" width="17.6640625" style="423" bestFit="1" customWidth="1"/>
    <col min="1282" max="1282" width="17.33203125" style="423" customWidth="1"/>
    <col min="1283" max="1283" width="17.33203125" style="423" bestFit="1" customWidth="1"/>
    <col min="1284" max="1284" width="18.6640625" style="423" bestFit="1" customWidth="1"/>
    <col min="1285" max="1285" width="19.109375" style="423" bestFit="1" customWidth="1"/>
    <col min="1286" max="1286" width="19.5546875" style="423" bestFit="1" customWidth="1"/>
    <col min="1287" max="1526" width="8.88671875" style="423"/>
    <col min="1527" max="1530" width="2.6640625" style="423" customWidth="1"/>
    <col min="1531" max="1531" width="49.33203125" style="423" customWidth="1"/>
    <col min="1532" max="1532" width="10.44140625" style="423" customWidth="1"/>
    <col min="1533" max="1533" width="18.88671875" style="423" customWidth="1"/>
    <col min="1534" max="1534" width="18.6640625" style="423" bestFit="1" customWidth="1"/>
    <col min="1535" max="1535" width="17.6640625" style="423" bestFit="1" customWidth="1"/>
    <col min="1536" max="1536" width="18.6640625" style="423" bestFit="1" customWidth="1"/>
    <col min="1537" max="1537" width="17.6640625" style="423" bestFit="1" customWidth="1"/>
    <col min="1538" max="1538" width="17.33203125" style="423" customWidth="1"/>
    <col min="1539" max="1539" width="17.33203125" style="423" bestFit="1" customWidth="1"/>
    <col min="1540" max="1540" width="18.6640625" style="423" bestFit="1" customWidth="1"/>
    <col min="1541" max="1541" width="19.109375" style="423" bestFit="1" customWidth="1"/>
    <col min="1542" max="1542" width="19.5546875" style="423" bestFit="1" customWidth="1"/>
    <col min="1543" max="1782" width="8.88671875" style="423"/>
    <col min="1783" max="1786" width="2.6640625" style="423" customWidth="1"/>
    <col min="1787" max="1787" width="49.33203125" style="423" customWidth="1"/>
    <col min="1788" max="1788" width="10.44140625" style="423" customWidth="1"/>
    <col min="1789" max="1789" width="18.88671875" style="423" customWidth="1"/>
    <col min="1790" max="1790" width="18.6640625" style="423" bestFit="1" customWidth="1"/>
    <col min="1791" max="1791" width="17.6640625" style="423" bestFit="1" customWidth="1"/>
    <col min="1792" max="1792" width="18.6640625" style="423" bestFit="1" customWidth="1"/>
    <col min="1793" max="1793" width="17.6640625" style="423" bestFit="1" customWidth="1"/>
    <col min="1794" max="1794" width="17.33203125" style="423" customWidth="1"/>
    <col min="1795" max="1795" width="17.33203125" style="423" bestFit="1" customWidth="1"/>
    <col min="1796" max="1796" width="18.6640625" style="423" bestFit="1" customWidth="1"/>
    <col min="1797" max="1797" width="19.109375" style="423" bestFit="1" customWidth="1"/>
    <col min="1798" max="1798" width="19.5546875" style="423" bestFit="1" customWidth="1"/>
    <col min="1799" max="2038" width="8.88671875" style="423"/>
    <col min="2039" max="2042" width="2.6640625" style="423" customWidth="1"/>
    <col min="2043" max="2043" width="49.33203125" style="423" customWidth="1"/>
    <col min="2044" max="2044" width="10.44140625" style="423" customWidth="1"/>
    <col min="2045" max="2045" width="18.88671875" style="423" customWidth="1"/>
    <col min="2046" max="2046" width="18.6640625" style="423" bestFit="1" customWidth="1"/>
    <col min="2047" max="2047" width="17.6640625" style="423" bestFit="1" customWidth="1"/>
    <col min="2048" max="2048" width="18.6640625" style="423" bestFit="1" customWidth="1"/>
    <col min="2049" max="2049" width="17.6640625" style="423" bestFit="1" customWidth="1"/>
    <col min="2050" max="2050" width="17.33203125" style="423" customWidth="1"/>
    <col min="2051" max="2051" width="17.33203125" style="423" bestFit="1" customWidth="1"/>
    <col min="2052" max="2052" width="18.6640625" style="423" bestFit="1" customWidth="1"/>
    <col min="2053" max="2053" width="19.109375" style="423" bestFit="1" customWidth="1"/>
    <col min="2054" max="2054" width="19.5546875" style="423" bestFit="1" customWidth="1"/>
    <col min="2055" max="2294" width="8.88671875" style="423"/>
    <col min="2295" max="2298" width="2.6640625" style="423" customWidth="1"/>
    <col min="2299" max="2299" width="49.33203125" style="423" customWidth="1"/>
    <col min="2300" max="2300" width="10.44140625" style="423" customWidth="1"/>
    <col min="2301" max="2301" width="18.88671875" style="423" customWidth="1"/>
    <col min="2302" max="2302" width="18.6640625" style="423" bestFit="1" customWidth="1"/>
    <col min="2303" max="2303" width="17.6640625" style="423" bestFit="1" customWidth="1"/>
    <col min="2304" max="2304" width="18.6640625" style="423" bestFit="1" customWidth="1"/>
    <col min="2305" max="2305" width="17.6640625" style="423" bestFit="1" customWidth="1"/>
    <col min="2306" max="2306" width="17.33203125" style="423" customWidth="1"/>
    <col min="2307" max="2307" width="17.33203125" style="423" bestFit="1" customWidth="1"/>
    <col min="2308" max="2308" width="18.6640625" style="423" bestFit="1" customWidth="1"/>
    <col min="2309" max="2309" width="19.109375" style="423" bestFit="1" customWidth="1"/>
    <col min="2310" max="2310" width="19.5546875" style="423" bestFit="1" customWidth="1"/>
    <col min="2311" max="2550" width="8.88671875" style="423"/>
    <col min="2551" max="2554" width="2.6640625" style="423" customWidth="1"/>
    <col min="2555" max="2555" width="49.33203125" style="423" customWidth="1"/>
    <col min="2556" max="2556" width="10.44140625" style="423" customWidth="1"/>
    <col min="2557" max="2557" width="18.88671875" style="423" customWidth="1"/>
    <col min="2558" max="2558" width="18.6640625" style="423" bestFit="1" customWidth="1"/>
    <col min="2559" max="2559" width="17.6640625" style="423" bestFit="1" customWidth="1"/>
    <col min="2560" max="2560" width="18.6640625" style="423" bestFit="1" customWidth="1"/>
    <col min="2561" max="2561" width="17.6640625" style="423" bestFit="1" customWidth="1"/>
    <col min="2562" max="2562" width="17.33203125" style="423" customWidth="1"/>
    <col min="2563" max="2563" width="17.33203125" style="423" bestFit="1" customWidth="1"/>
    <col min="2564" max="2564" width="18.6640625" style="423" bestFit="1" customWidth="1"/>
    <col min="2565" max="2565" width="19.109375" style="423" bestFit="1" customWidth="1"/>
    <col min="2566" max="2566" width="19.5546875" style="423" bestFit="1" customWidth="1"/>
    <col min="2567" max="2806" width="8.88671875" style="423"/>
    <col min="2807" max="2810" width="2.6640625" style="423" customWidth="1"/>
    <col min="2811" max="2811" width="49.33203125" style="423" customWidth="1"/>
    <col min="2812" max="2812" width="10.44140625" style="423" customWidth="1"/>
    <col min="2813" max="2813" width="18.88671875" style="423" customWidth="1"/>
    <col min="2814" max="2814" width="18.6640625" style="423" bestFit="1" customWidth="1"/>
    <col min="2815" max="2815" width="17.6640625" style="423" bestFit="1" customWidth="1"/>
    <col min="2816" max="2816" width="18.6640625" style="423" bestFit="1" customWidth="1"/>
    <col min="2817" max="2817" width="17.6640625" style="423" bestFit="1" customWidth="1"/>
    <col min="2818" max="2818" width="17.33203125" style="423" customWidth="1"/>
    <col min="2819" max="2819" width="17.33203125" style="423" bestFit="1" customWidth="1"/>
    <col min="2820" max="2820" width="18.6640625" style="423" bestFit="1" customWidth="1"/>
    <col min="2821" max="2821" width="19.109375" style="423" bestFit="1" customWidth="1"/>
    <col min="2822" max="2822" width="19.5546875" style="423" bestFit="1" customWidth="1"/>
    <col min="2823" max="3062" width="8.88671875" style="423"/>
    <col min="3063" max="3066" width="2.6640625" style="423" customWidth="1"/>
    <col min="3067" max="3067" width="49.33203125" style="423" customWidth="1"/>
    <col min="3068" max="3068" width="10.44140625" style="423" customWidth="1"/>
    <col min="3069" max="3069" width="18.88671875" style="423" customWidth="1"/>
    <col min="3070" max="3070" width="18.6640625" style="423" bestFit="1" customWidth="1"/>
    <col min="3071" max="3071" width="17.6640625" style="423" bestFit="1" customWidth="1"/>
    <col min="3072" max="3072" width="18.6640625" style="423" bestFit="1" customWidth="1"/>
    <col min="3073" max="3073" width="17.6640625" style="423" bestFit="1" customWidth="1"/>
    <col min="3074" max="3074" width="17.33203125" style="423" customWidth="1"/>
    <col min="3075" max="3075" width="17.33203125" style="423" bestFit="1" customWidth="1"/>
    <col min="3076" max="3076" width="18.6640625" style="423" bestFit="1" customWidth="1"/>
    <col min="3077" max="3077" width="19.109375" style="423" bestFit="1" customWidth="1"/>
    <col min="3078" max="3078" width="19.5546875" style="423" bestFit="1" customWidth="1"/>
    <col min="3079" max="3318" width="8.88671875" style="423"/>
    <col min="3319" max="3322" width="2.6640625" style="423" customWidth="1"/>
    <col min="3323" max="3323" width="49.33203125" style="423" customWidth="1"/>
    <col min="3324" max="3324" width="10.44140625" style="423" customWidth="1"/>
    <col min="3325" max="3325" width="18.88671875" style="423" customWidth="1"/>
    <col min="3326" max="3326" width="18.6640625" style="423" bestFit="1" customWidth="1"/>
    <col min="3327" max="3327" width="17.6640625" style="423" bestFit="1" customWidth="1"/>
    <col min="3328" max="3328" width="18.6640625" style="423" bestFit="1" customWidth="1"/>
    <col min="3329" max="3329" width="17.6640625" style="423" bestFit="1" customWidth="1"/>
    <col min="3330" max="3330" width="17.33203125" style="423" customWidth="1"/>
    <col min="3331" max="3331" width="17.33203125" style="423" bestFit="1" customWidth="1"/>
    <col min="3332" max="3332" width="18.6640625" style="423" bestFit="1" customWidth="1"/>
    <col min="3333" max="3333" width="19.109375" style="423" bestFit="1" customWidth="1"/>
    <col min="3334" max="3334" width="19.5546875" style="423" bestFit="1" customWidth="1"/>
    <col min="3335" max="3574" width="8.88671875" style="423"/>
    <col min="3575" max="3578" width="2.6640625" style="423" customWidth="1"/>
    <col min="3579" max="3579" width="49.33203125" style="423" customWidth="1"/>
    <col min="3580" max="3580" width="10.44140625" style="423" customWidth="1"/>
    <col min="3581" max="3581" width="18.88671875" style="423" customWidth="1"/>
    <col min="3582" max="3582" width="18.6640625" style="423" bestFit="1" customWidth="1"/>
    <col min="3583" max="3583" width="17.6640625" style="423" bestFit="1" customWidth="1"/>
    <col min="3584" max="3584" width="18.6640625" style="423" bestFit="1" customWidth="1"/>
    <col min="3585" max="3585" width="17.6640625" style="423" bestFit="1" customWidth="1"/>
    <col min="3586" max="3586" width="17.33203125" style="423" customWidth="1"/>
    <col min="3587" max="3587" width="17.33203125" style="423" bestFit="1" customWidth="1"/>
    <col min="3588" max="3588" width="18.6640625" style="423" bestFit="1" customWidth="1"/>
    <col min="3589" max="3589" width="19.109375" style="423" bestFit="1" customWidth="1"/>
    <col min="3590" max="3590" width="19.5546875" style="423" bestFit="1" customWidth="1"/>
    <col min="3591" max="3830" width="8.88671875" style="423"/>
    <col min="3831" max="3834" width="2.6640625" style="423" customWidth="1"/>
    <col min="3835" max="3835" width="49.33203125" style="423" customWidth="1"/>
    <col min="3836" max="3836" width="10.44140625" style="423" customWidth="1"/>
    <col min="3837" max="3837" width="18.88671875" style="423" customWidth="1"/>
    <col min="3838" max="3838" width="18.6640625" style="423" bestFit="1" customWidth="1"/>
    <col min="3839" max="3839" width="17.6640625" style="423" bestFit="1" customWidth="1"/>
    <col min="3840" max="3840" width="18.6640625" style="423" bestFit="1" customWidth="1"/>
    <col min="3841" max="3841" width="17.6640625" style="423" bestFit="1" customWidth="1"/>
    <col min="3842" max="3842" width="17.33203125" style="423" customWidth="1"/>
    <col min="3843" max="3843" width="17.33203125" style="423" bestFit="1" customWidth="1"/>
    <col min="3844" max="3844" width="18.6640625" style="423" bestFit="1" customWidth="1"/>
    <col min="3845" max="3845" width="19.109375" style="423" bestFit="1" customWidth="1"/>
    <col min="3846" max="3846" width="19.5546875" style="423" bestFit="1" customWidth="1"/>
    <col min="3847" max="4086" width="8.88671875" style="423"/>
    <col min="4087" max="4090" width="2.6640625" style="423" customWidth="1"/>
    <col min="4091" max="4091" width="49.33203125" style="423" customWidth="1"/>
    <col min="4092" max="4092" width="10.44140625" style="423" customWidth="1"/>
    <col min="4093" max="4093" width="18.88671875" style="423" customWidth="1"/>
    <col min="4094" max="4094" width="18.6640625" style="423" bestFit="1" customWidth="1"/>
    <col min="4095" max="4095" width="17.6640625" style="423" bestFit="1" customWidth="1"/>
    <col min="4096" max="4096" width="18.6640625" style="423" bestFit="1" customWidth="1"/>
    <col min="4097" max="4097" width="17.6640625" style="423" bestFit="1" customWidth="1"/>
    <col min="4098" max="4098" width="17.33203125" style="423" customWidth="1"/>
    <col min="4099" max="4099" width="17.33203125" style="423" bestFit="1" customWidth="1"/>
    <col min="4100" max="4100" width="18.6640625" style="423" bestFit="1" customWidth="1"/>
    <col min="4101" max="4101" width="19.109375" style="423" bestFit="1" customWidth="1"/>
    <col min="4102" max="4102" width="19.5546875" style="423" bestFit="1" customWidth="1"/>
    <col min="4103" max="4342" width="8.88671875" style="423"/>
    <col min="4343" max="4346" width="2.6640625" style="423" customWidth="1"/>
    <col min="4347" max="4347" width="49.33203125" style="423" customWidth="1"/>
    <col min="4348" max="4348" width="10.44140625" style="423" customWidth="1"/>
    <col min="4349" max="4349" width="18.88671875" style="423" customWidth="1"/>
    <col min="4350" max="4350" width="18.6640625" style="423" bestFit="1" customWidth="1"/>
    <col min="4351" max="4351" width="17.6640625" style="423" bestFit="1" customWidth="1"/>
    <col min="4352" max="4352" width="18.6640625" style="423" bestFit="1" customWidth="1"/>
    <col min="4353" max="4353" width="17.6640625" style="423" bestFit="1" customWidth="1"/>
    <col min="4354" max="4354" width="17.33203125" style="423" customWidth="1"/>
    <col min="4355" max="4355" width="17.33203125" style="423" bestFit="1" customWidth="1"/>
    <col min="4356" max="4356" width="18.6640625" style="423" bestFit="1" customWidth="1"/>
    <col min="4357" max="4357" width="19.109375" style="423" bestFit="1" customWidth="1"/>
    <col min="4358" max="4358" width="19.5546875" style="423" bestFit="1" customWidth="1"/>
    <col min="4359" max="4598" width="8.88671875" style="423"/>
    <col min="4599" max="4602" width="2.6640625" style="423" customWidth="1"/>
    <col min="4603" max="4603" width="49.33203125" style="423" customWidth="1"/>
    <col min="4604" max="4604" width="10.44140625" style="423" customWidth="1"/>
    <col min="4605" max="4605" width="18.88671875" style="423" customWidth="1"/>
    <col min="4606" max="4606" width="18.6640625" style="423" bestFit="1" customWidth="1"/>
    <col min="4607" max="4607" width="17.6640625" style="423" bestFit="1" customWidth="1"/>
    <col min="4608" max="4608" width="18.6640625" style="423" bestFit="1" customWidth="1"/>
    <col min="4609" max="4609" width="17.6640625" style="423" bestFit="1" customWidth="1"/>
    <col min="4610" max="4610" width="17.33203125" style="423" customWidth="1"/>
    <col min="4611" max="4611" width="17.33203125" style="423" bestFit="1" customWidth="1"/>
    <col min="4612" max="4612" width="18.6640625" style="423" bestFit="1" customWidth="1"/>
    <col min="4613" max="4613" width="19.109375" style="423" bestFit="1" customWidth="1"/>
    <col min="4614" max="4614" width="19.5546875" style="423" bestFit="1" customWidth="1"/>
    <col min="4615" max="4854" width="8.88671875" style="423"/>
    <col min="4855" max="4858" width="2.6640625" style="423" customWidth="1"/>
    <col min="4859" max="4859" width="49.33203125" style="423" customWidth="1"/>
    <col min="4860" max="4860" width="10.44140625" style="423" customWidth="1"/>
    <col min="4861" max="4861" width="18.88671875" style="423" customWidth="1"/>
    <col min="4862" max="4862" width="18.6640625" style="423" bestFit="1" customWidth="1"/>
    <col min="4863" max="4863" width="17.6640625" style="423" bestFit="1" customWidth="1"/>
    <col min="4864" max="4864" width="18.6640625" style="423" bestFit="1" customWidth="1"/>
    <col min="4865" max="4865" width="17.6640625" style="423" bestFit="1" customWidth="1"/>
    <col min="4866" max="4866" width="17.33203125" style="423" customWidth="1"/>
    <col min="4867" max="4867" width="17.33203125" style="423" bestFit="1" customWidth="1"/>
    <col min="4868" max="4868" width="18.6640625" style="423" bestFit="1" customWidth="1"/>
    <col min="4869" max="4869" width="19.109375" style="423" bestFit="1" customWidth="1"/>
    <col min="4870" max="4870" width="19.5546875" style="423" bestFit="1" customWidth="1"/>
    <col min="4871" max="5110" width="8.88671875" style="423"/>
    <col min="5111" max="5114" width="2.6640625" style="423" customWidth="1"/>
    <col min="5115" max="5115" width="49.33203125" style="423" customWidth="1"/>
    <col min="5116" max="5116" width="10.44140625" style="423" customWidth="1"/>
    <col min="5117" max="5117" width="18.88671875" style="423" customWidth="1"/>
    <col min="5118" max="5118" width="18.6640625" style="423" bestFit="1" customWidth="1"/>
    <col min="5119" max="5119" width="17.6640625" style="423" bestFit="1" customWidth="1"/>
    <col min="5120" max="5120" width="18.6640625" style="423" bestFit="1" customWidth="1"/>
    <col min="5121" max="5121" width="17.6640625" style="423" bestFit="1" customWidth="1"/>
    <col min="5122" max="5122" width="17.33203125" style="423" customWidth="1"/>
    <col min="5123" max="5123" width="17.33203125" style="423" bestFit="1" customWidth="1"/>
    <col min="5124" max="5124" width="18.6640625" style="423" bestFit="1" customWidth="1"/>
    <col min="5125" max="5125" width="19.109375" style="423" bestFit="1" customWidth="1"/>
    <col min="5126" max="5126" width="19.5546875" style="423" bestFit="1" customWidth="1"/>
    <col min="5127" max="5366" width="8.88671875" style="423"/>
    <col min="5367" max="5370" width="2.6640625" style="423" customWidth="1"/>
    <col min="5371" max="5371" width="49.33203125" style="423" customWidth="1"/>
    <col min="5372" max="5372" width="10.44140625" style="423" customWidth="1"/>
    <col min="5373" max="5373" width="18.88671875" style="423" customWidth="1"/>
    <col min="5374" max="5374" width="18.6640625" style="423" bestFit="1" customWidth="1"/>
    <col min="5375" max="5375" width="17.6640625" style="423" bestFit="1" customWidth="1"/>
    <col min="5376" max="5376" width="18.6640625" style="423" bestFit="1" customWidth="1"/>
    <col min="5377" max="5377" width="17.6640625" style="423" bestFit="1" customWidth="1"/>
    <col min="5378" max="5378" width="17.33203125" style="423" customWidth="1"/>
    <col min="5379" max="5379" width="17.33203125" style="423" bestFit="1" customWidth="1"/>
    <col min="5380" max="5380" width="18.6640625" style="423" bestFit="1" customWidth="1"/>
    <col min="5381" max="5381" width="19.109375" style="423" bestFit="1" customWidth="1"/>
    <col min="5382" max="5382" width="19.5546875" style="423" bestFit="1" customWidth="1"/>
    <col min="5383" max="5622" width="8.88671875" style="423"/>
    <col min="5623" max="5626" width="2.6640625" style="423" customWidth="1"/>
    <col min="5627" max="5627" width="49.33203125" style="423" customWidth="1"/>
    <col min="5628" max="5628" width="10.44140625" style="423" customWidth="1"/>
    <col min="5629" max="5629" width="18.88671875" style="423" customWidth="1"/>
    <col min="5630" max="5630" width="18.6640625" style="423" bestFit="1" customWidth="1"/>
    <col min="5631" max="5631" width="17.6640625" style="423" bestFit="1" customWidth="1"/>
    <col min="5632" max="5632" width="18.6640625" style="423" bestFit="1" customWidth="1"/>
    <col min="5633" max="5633" width="17.6640625" style="423" bestFit="1" customWidth="1"/>
    <col min="5634" max="5634" width="17.33203125" style="423" customWidth="1"/>
    <col min="5635" max="5635" width="17.33203125" style="423" bestFit="1" customWidth="1"/>
    <col min="5636" max="5636" width="18.6640625" style="423" bestFit="1" customWidth="1"/>
    <col min="5637" max="5637" width="19.109375" style="423" bestFit="1" customWidth="1"/>
    <col min="5638" max="5638" width="19.5546875" style="423" bestFit="1" customWidth="1"/>
    <col min="5639" max="5878" width="8.88671875" style="423"/>
    <col min="5879" max="5882" width="2.6640625" style="423" customWidth="1"/>
    <col min="5883" max="5883" width="49.33203125" style="423" customWidth="1"/>
    <col min="5884" max="5884" width="10.44140625" style="423" customWidth="1"/>
    <col min="5885" max="5885" width="18.88671875" style="423" customWidth="1"/>
    <col min="5886" max="5886" width="18.6640625" style="423" bestFit="1" customWidth="1"/>
    <col min="5887" max="5887" width="17.6640625" style="423" bestFit="1" customWidth="1"/>
    <col min="5888" max="5888" width="18.6640625" style="423" bestFit="1" customWidth="1"/>
    <col min="5889" max="5889" width="17.6640625" style="423" bestFit="1" customWidth="1"/>
    <col min="5890" max="5890" width="17.33203125" style="423" customWidth="1"/>
    <col min="5891" max="5891" width="17.33203125" style="423" bestFit="1" customWidth="1"/>
    <col min="5892" max="5892" width="18.6640625" style="423" bestFit="1" customWidth="1"/>
    <col min="5893" max="5893" width="19.109375" style="423" bestFit="1" customWidth="1"/>
    <col min="5894" max="5894" width="19.5546875" style="423" bestFit="1" customWidth="1"/>
    <col min="5895" max="6134" width="8.88671875" style="423"/>
    <col min="6135" max="6138" width="2.6640625" style="423" customWidth="1"/>
    <col min="6139" max="6139" width="49.33203125" style="423" customWidth="1"/>
    <col min="6140" max="6140" width="10.44140625" style="423" customWidth="1"/>
    <col min="6141" max="6141" width="18.88671875" style="423" customWidth="1"/>
    <col min="6142" max="6142" width="18.6640625" style="423" bestFit="1" customWidth="1"/>
    <col min="6143" max="6143" width="17.6640625" style="423" bestFit="1" customWidth="1"/>
    <col min="6144" max="6144" width="18.6640625" style="423" bestFit="1" customWidth="1"/>
    <col min="6145" max="6145" width="17.6640625" style="423" bestFit="1" customWidth="1"/>
    <col min="6146" max="6146" width="17.33203125" style="423" customWidth="1"/>
    <col min="6147" max="6147" width="17.33203125" style="423" bestFit="1" customWidth="1"/>
    <col min="6148" max="6148" width="18.6640625" style="423" bestFit="1" customWidth="1"/>
    <col min="6149" max="6149" width="19.109375" style="423" bestFit="1" customWidth="1"/>
    <col min="6150" max="6150" width="19.5546875" style="423" bestFit="1" customWidth="1"/>
    <col min="6151" max="6390" width="8.88671875" style="423"/>
    <col min="6391" max="6394" width="2.6640625" style="423" customWidth="1"/>
    <col min="6395" max="6395" width="49.33203125" style="423" customWidth="1"/>
    <col min="6396" max="6396" width="10.44140625" style="423" customWidth="1"/>
    <col min="6397" max="6397" width="18.88671875" style="423" customWidth="1"/>
    <col min="6398" max="6398" width="18.6640625" style="423" bestFit="1" customWidth="1"/>
    <col min="6399" max="6399" width="17.6640625" style="423" bestFit="1" customWidth="1"/>
    <col min="6400" max="6400" width="18.6640625" style="423" bestFit="1" customWidth="1"/>
    <col min="6401" max="6401" width="17.6640625" style="423" bestFit="1" customWidth="1"/>
    <col min="6402" max="6402" width="17.33203125" style="423" customWidth="1"/>
    <col min="6403" max="6403" width="17.33203125" style="423" bestFit="1" customWidth="1"/>
    <col min="6404" max="6404" width="18.6640625" style="423" bestFit="1" customWidth="1"/>
    <col min="6405" max="6405" width="19.109375" style="423" bestFit="1" customWidth="1"/>
    <col min="6406" max="6406" width="19.5546875" style="423" bestFit="1" customWidth="1"/>
    <col min="6407" max="6646" width="8.88671875" style="423"/>
    <col min="6647" max="6650" width="2.6640625" style="423" customWidth="1"/>
    <col min="6651" max="6651" width="49.33203125" style="423" customWidth="1"/>
    <col min="6652" max="6652" width="10.44140625" style="423" customWidth="1"/>
    <col min="6653" max="6653" width="18.88671875" style="423" customWidth="1"/>
    <col min="6654" max="6654" width="18.6640625" style="423" bestFit="1" customWidth="1"/>
    <col min="6655" max="6655" width="17.6640625" style="423" bestFit="1" customWidth="1"/>
    <col min="6656" max="6656" width="18.6640625" style="423" bestFit="1" customWidth="1"/>
    <col min="6657" max="6657" width="17.6640625" style="423" bestFit="1" customWidth="1"/>
    <col min="6658" max="6658" width="17.33203125" style="423" customWidth="1"/>
    <col min="6659" max="6659" width="17.33203125" style="423" bestFit="1" customWidth="1"/>
    <col min="6660" max="6660" width="18.6640625" style="423" bestFit="1" customWidth="1"/>
    <col min="6661" max="6661" width="19.109375" style="423" bestFit="1" customWidth="1"/>
    <col min="6662" max="6662" width="19.5546875" style="423" bestFit="1" customWidth="1"/>
    <col min="6663" max="6902" width="8.88671875" style="423"/>
    <col min="6903" max="6906" width="2.6640625" style="423" customWidth="1"/>
    <col min="6907" max="6907" width="49.33203125" style="423" customWidth="1"/>
    <col min="6908" max="6908" width="10.44140625" style="423" customWidth="1"/>
    <col min="6909" max="6909" width="18.88671875" style="423" customWidth="1"/>
    <col min="6910" max="6910" width="18.6640625" style="423" bestFit="1" customWidth="1"/>
    <col min="6911" max="6911" width="17.6640625" style="423" bestFit="1" customWidth="1"/>
    <col min="6912" max="6912" width="18.6640625" style="423" bestFit="1" customWidth="1"/>
    <col min="6913" max="6913" width="17.6640625" style="423" bestFit="1" customWidth="1"/>
    <col min="6914" max="6914" width="17.33203125" style="423" customWidth="1"/>
    <col min="6915" max="6915" width="17.33203125" style="423" bestFit="1" customWidth="1"/>
    <col min="6916" max="6916" width="18.6640625" style="423" bestFit="1" customWidth="1"/>
    <col min="6917" max="6917" width="19.109375" style="423" bestFit="1" customWidth="1"/>
    <col min="6918" max="6918" width="19.5546875" style="423" bestFit="1" customWidth="1"/>
    <col min="6919" max="7158" width="8.88671875" style="423"/>
    <col min="7159" max="7162" width="2.6640625" style="423" customWidth="1"/>
    <col min="7163" max="7163" width="49.33203125" style="423" customWidth="1"/>
    <col min="7164" max="7164" width="10.44140625" style="423" customWidth="1"/>
    <col min="7165" max="7165" width="18.88671875" style="423" customWidth="1"/>
    <col min="7166" max="7166" width="18.6640625" style="423" bestFit="1" customWidth="1"/>
    <col min="7167" max="7167" width="17.6640625" style="423" bestFit="1" customWidth="1"/>
    <col min="7168" max="7168" width="18.6640625" style="423" bestFit="1" customWidth="1"/>
    <col min="7169" max="7169" width="17.6640625" style="423" bestFit="1" customWidth="1"/>
    <col min="7170" max="7170" width="17.33203125" style="423" customWidth="1"/>
    <col min="7171" max="7171" width="17.33203125" style="423" bestFit="1" customWidth="1"/>
    <col min="7172" max="7172" width="18.6640625" style="423" bestFit="1" customWidth="1"/>
    <col min="7173" max="7173" width="19.109375" style="423" bestFit="1" customWidth="1"/>
    <col min="7174" max="7174" width="19.5546875" style="423" bestFit="1" customWidth="1"/>
    <col min="7175" max="7414" width="8.88671875" style="423"/>
    <col min="7415" max="7418" width="2.6640625" style="423" customWidth="1"/>
    <col min="7419" max="7419" width="49.33203125" style="423" customWidth="1"/>
    <col min="7420" max="7420" width="10.44140625" style="423" customWidth="1"/>
    <col min="7421" max="7421" width="18.88671875" style="423" customWidth="1"/>
    <col min="7422" max="7422" width="18.6640625" style="423" bestFit="1" customWidth="1"/>
    <col min="7423" max="7423" width="17.6640625" style="423" bestFit="1" customWidth="1"/>
    <col min="7424" max="7424" width="18.6640625" style="423" bestFit="1" customWidth="1"/>
    <col min="7425" max="7425" width="17.6640625" style="423" bestFit="1" customWidth="1"/>
    <col min="7426" max="7426" width="17.33203125" style="423" customWidth="1"/>
    <col min="7427" max="7427" width="17.33203125" style="423" bestFit="1" customWidth="1"/>
    <col min="7428" max="7428" width="18.6640625" style="423" bestFit="1" customWidth="1"/>
    <col min="7429" max="7429" width="19.109375" style="423" bestFit="1" customWidth="1"/>
    <col min="7430" max="7430" width="19.5546875" style="423" bestFit="1" customWidth="1"/>
    <col min="7431" max="7670" width="8.88671875" style="423"/>
    <col min="7671" max="7674" width="2.6640625" style="423" customWidth="1"/>
    <col min="7675" max="7675" width="49.33203125" style="423" customWidth="1"/>
    <col min="7676" max="7676" width="10.44140625" style="423" customWidth="1"/>
    <col min="7677" max="7677" width="18.88671875" style="423" customWidth="1"/>
    <col min="7678" max="7678" width="18.6640625" style="423" bestFit="1" customWidth="1"/>
    <col min="7679" max="7679" width="17.6640625" style="423" bestFit="1" customWidth="1"/>
    <col min="7680" max="7680" width="18.6640625" style="423" bestFit="1" customWidth="1"/>
    <col min="7681" max="7681" width="17.6640625" style="423" bestFit="1" customWidth="1"/>
    <col min="7682" max="7682" width="17.33203125" style="423" customWidth="1"/>
    <col min="7683" max="7683" width="17.33203125" style="423" bestFit="1" customWidth="1"/>
    <col min="7684" max="7684" width="18.6640625" style="423" bestFit="1" customWidth="1"/>
    <col min="7685" max="7685" width="19.109375" style="423" bestFit="1" customWidth="1"/>
    <col min="7686" max="7686" width="19.5546875" style="423" bestFit="1" customWidth="1"/>
    <col min="7687" max="7926" width="8.88671875" style="423"/>
    <col min="7927" max="7930" width="2.6640625" style="423" customWidth="1"/>
    <col min="7931" max="7931" width="49.33203125" style="423" customWidth="1"/>
    <col min="7932" max="7932" width="10.44140625" style="423" customWidth="1"/>
    <col min="7933" max="7933" width="18.88671875" style="423" customWidth="1"/>
    <col min="7934" max="7934" width="18.6640625" style="423" bestFit="1" customWidth="1"/>
    <col min="7935" max="7935" width="17.6640625" style="423" bestFit="1" customWidth="1"/>
    <col min="7936" max="7936" width="18.6640625" style="423" bestFit="1" customWidth="1"/>
    <col min="7937" max="7937" width="17.6640625" style="423" bestFit="1" customWidth="1"/>
    <col min="7938" max="7938" width="17.33203125" style="423" customWidth="1"/>
    <col min="7939" max="7939" width="17.33203125" style="423" bestFit="1" customWidth="1"/>
    <col min="7940" max="7940" width="18.6640625" style="423" bestFit="1" customWidth="1"/>
    <col min="7941" max="7941" width="19.109375" style="423" bestFit="1" customWidth="1"/>
    <col min="7942" max="7942" width="19.5546875" style="423" bestFit="1" customWidth="1"/>
    <col min="7943" max="8182" width="8.88671875" style="423"/>
    <col min="8183" max="8186" width="2.6640625" style="423" customWidth="1"/>
    <col min="8187" max="8187" width="49.33203125" style="423" customWidth="1"/>
    <col min="8188" max="8188" width="10.44140625" style="423" customWidth="1"/>
    <col min="8189" max="8189" width="18.88671875" style="423" customWidth="1"/>
    <col min="8190" max="8190" width="18.6640625" style="423" bestFit="1" customWidth="1"/>
    <col min="8191" max="8191" width="17.6640625" style="423" bestFit="1" customWidth="1"/>
    <col min="8192" max="8192" width="18.6640625" style="423" bestFit="1" customWidth="1"/>
    <col min="8193" max="8193" width="17.6640625" style="423" bestFit="1" customWidth="1"/>
    <col min="8194" max="8194" width="17.33203125" style="423" customWidth="1"/>
    <col min="8195" max="8195" width="17.33203125" style="423" bestFit="1" customWidth="1"/>
    <col min="8196" max="8196" width="18.6640625" style="423" bestFit="1" customWidth="1"/>
    <col min="8197" max="8197" width="19.109375" style="423" bestFit="1" customWidth="1"/>
    <col min="8198" max="8198" width="19.5546875" style="423" bestFit="1" customWidth="1"/>
    <col min="8199" max="8438" width="8.88671875" style="423"/>
    <col min="8439" max="8442" width="2.6640625" style="423" customWidth="1"/>
    <col min="8443" max="8443" width="49.33203125" style="423" customWidth="1"/>
    <col min="8444" max="8444" width="10.44140625" style="423" customWidth="1"/>
    <col min="8445" max="8445" width="18.88671875" style="423" customWidth="1"/>
    <col min="8446" max="8446" width="18.6640625" style="423" bestFit="1" customWidth="1"/>
    <col min="8447" max="8447" width="17.6640625" style="423" bestFit="1" customWidth="1"/>
    <col min="8448" max="8448" width="18.6640625" style="423" bestFit="1" customWidth="1"/>
    <col min="8449" max="8449" width="17.6640625" style="423" bestFit="1" customWidth="1"/>
    <col min="8450" max="8450" width="17.33203125" style="423" customWidth="1"/>
    <col min="8451" max="8451" width="17.33203125" style="423" bestFit="1" customWidth="1"/>
    <col min="8452" max="8452" width="18.6640625" style="423" bestFit="1" customWidth="1"/>
    <col min="8453" max="8453" width="19.109375" style="423" bestFit="1" customWidth="1"/>
    <col min="8454" max="8454" width="19.5546875" style="423" bestFit="1" customWidth="1"/>
    <col min="8455" max="8694" width="8.88671875" style="423"/>
    <col min="8695" max="8698" width="2.6640625" style="423" customWidth="1"/>
    <col min="8699" max="8699" width="49.33203125" style="423" customWidth="1"/>
    <col min="8700" max="8700" width="10.44140625" style="423" customWidth="1"/>
    <col min="8701" max="8701" width="18.88671875" style="423" customWidth="1"/>
    <col min="8702" max="8702" width="18.6640625" style="423" bestFit="1" customWidth="1"/>
    <col min="8703" max="8703" width="17.6640625" style="423" bestFit="1" customWidth="1"/>
    <col min="8704" max="8704" width="18.6640625" style="423" bestFit="1" customWidth="1"/>
    <col min="8705" max="8705" width="17.6640625" style="423" bestFit="1" customWidth="1"/>
    <col min="8706" max="8706" width="17.33203125" style="423" customWidth="1"/>
    <col min="8707" max="8707" width="17.33203125" style="423" bestFit="1" customWidth="1"/>
    <col min="8708" max="8708" width="18.6640625" style="423" bestFit="1" customWidth="1"/>
    <col min="8709" max="8709" width="19.109375" style="423" bestFit="1" customWidth="1"/>
    <col min="8710" max="8710" width="19.5546875" style="423" bestFit="1" customWidth="1"/>
    <col min="8711" max="8950" width="8.88671875" style="423"/>
    <col min="8951" max="8954" width="2.6640625" style="423" customWidth="1"/>
    <col min="8955" max="8955" width="49.33203125" style="423" customWidth="1"/>
    <col min="8956" max="8956" width="10.44140625" style="423" customWidth="1"/>
    <col min="8957" max="8957" width="18.88671875" style="423" customWidth="1"/>
    <col min="8958" max="8958" width="18.6640625" style="423" bestFit="1" customWidth="1"/>
    <col min="8959" max="8959" width="17.6640625" style="423" bestFit="1" customWidth="1"/>
    <col min="8960" max="8960" width="18.6640625" style="423" bestFit="1" customWidth="1"/>
    <col min="8961" max="8961" width="17.6640625" style="423" bestFit="1" customWidth="1"/>
    <col min="8962" max="8962" width="17.33203125" style="423" customWidth="1"/>
    <col min="8963" max="8963" width="17.33203125" style="423" bestFit="1" customWidth="1"/>
    <col min="8964" max="8964" width="18.6640625" style="423" bestFit="1" customWidth="1"/>
    <col min="8965" max="8965" width="19.109375" style="423" bestFit="1" customWidth="1"/>
    <col min="8966" max="8966" width="19.5546875" style="423" bestFit="1" customWidth="1"/>
    <col min="8967" max="9206" width="8.88671875" style="423"/>
    <col min="9207" max="9210" width="2.6640625" style="423" customWidth="1"/>
    <col min="9211" max="9211" width="49.33203125" style="423" customWidth="1"/>
    <col min="9212" max="9212" width="10.44140625" style="423" customWidth="1"/>
    <col min="9213" max="9213" width="18.88671875" style="423" customWidth="1"/>
    <col min="9214" max="9214" width="18.6640625" style="423" bestFit="1" customWidth="1"/>
    <col min="9215" max="9215" width="17.6640625" style="423" bestFit="1" customWidth="1"/>
    <col min="9216" max="9216" width="18.6640625" style="423" bestFit="1" customWidth="1"/>
    <col min="9217" max="9217" width="17.6640625" style="423" bestFit="1" customWidth="1"/>
    <col min="9218" max="9218" width="17.33203125" style="423" customWidth="1"/>
    <col min="9219" max="9219" width="17.33203125" style="423" bestFit="1" customWidth="1"/>
    <col min="9220" max="9220" width="18.6640625" style="423" bestFit="1" customWidth="1"/>
    <col min="9221" max="9221" width="19.109375" style="423" bestFit="1" customWidth="1"/>
    <col min="9222" max="9222" width="19.5546875" style="423" bestFit="1" customWidth="1"/>
    <col min="9223" max="9462" width="8.88671875" style="423"/>
    <col min="9463" max="9466" width="2.6640625" style="423" customWidth="1"/>
    <col min="9467" max="9467" width="49.33203125" style="423" customWidth="1"/>
    <col min="9468" max="9468" width="10.44140625" style="423" customWidth="1"/>
    <col min="9469" max="9469" width="18.88671875" style="423" customWidth="1"/>
    <col min="9470" max="9470" width="18.6640625" style="423" bestFit="1" customWidth="1"/>
    <col min="9471" max="9471" width="17.6640625" style="423" bestFit="1" customWidth="1"/>
    <col min="9472" max="9472" width="18.6640625" style="423" bestFit="1" customWidth="1"/>
    <col min="9473" max="9473" width="17.6640625" style="423" bestFit="1" customWidth="1"/>
    <col min="9474" max="9474" width="17.33203125" style="423" customWidth="1"/>
    <col min="9475" max="9475" width="17.33203125" style="423" bestFit="1" customWidth="1"/>
    <col min="9476" max="9476" width="18.6640625" style="423" bestFit="1" customWidth="1"/>
    <col min="9477" max="9477" width="19.109375" style="423" bestFit="1" customWidth="1"/>
    <col min="9478" max="9478" width="19.5546875" style="423" bestFit="1" customWidth="1"/>
    <col min="9479" max="9718" width="8.88671875" style="423"/>
    <col min="9719" max="9722" width="2.6640625" style="423" customWidth="1"/>
    <col min="9723" max="9723" width="49.33203125" style="423" customWidth="1"/>
    <col min="9724" max="9724" width="10.44140625" style="423" customWidth="1"/>
    <col min="9725" max="9725" width="18.88671875" style="423" customWidth="1"/>
    <col min="9726" max="9726" width="18.6640625" style="423" bestFit="1" customWidth="1"/>
    <col min="9727" max="9727" width="17.6640625" style="423" bestFit="1" customWidth="1"/>
    <col min="9728" max="9728" width="18.6640625" style="423" bestFit="1" customWidth="1"/>
    <col min="9729" max="9729" width="17.6640625" style="423" bestFit="1" customWidth="1"/>
    <col min="9730" max="9730" width="17.33203125" style="423" customWidth="1"/>
    <col min="9731" max="9731" width="17.33203125" style="423" bestFit="1" customWidth="1"/>
    <col min="9732" max="9732" width="18.6640625" style="423" bestFit="1" customWidth="1"/>
    <col min="9733" max="9733" width="19.109375" style="423" bestFit="1" customWidth="1"/>
    <col min="9734" max="9734" width="19.5546875" style="423" bestFit="1" customWidth="1"/>
    <col min="9735" max="9974" width="8.88671875" style="423"/>
    <col min="9975" max="9978" width="2.6640625" style="423" customWidth="1"/>
    <col min="9979" max="9979" width="49.33203125" style="423" customWidth="1"/>
    <col min="9980" max="9980" width="10.44140625" style="423" customWidth="1"/>
    <col min="9981" max="9981" width="18.88671875" style="423" customWidth="1"/>
    <col min="9982" max="9982" width="18.6640625" style="423" bestFit="1" customWidth="1"/>
    <col min="9983" max="9983" width="17.6640625" style="423" bestFit="1" customWidth="1"/>
    <col min="9984" max="9984" width="18.6640625" style="423" bestFit="1" customWidth="1"/>
    <col min="9985" max="9985" width="17.6640625" style="423" bestFit="1" customWidth="1"/>
    <col min="9986" max="9986" width="17.33203125" style="423" customWidth="1"/>
    <col min="9987" max="9987" width="17.33203125" style="423" bestFit="1" customWidth="1"/>
    <col min="9988" max="9988" width="18.6640625" style="423" bestFit="1" customWidth="1"/>
    <col min="9989" max="9989" width="19.109375" style="423" bestFit="1" customWidth="1"/>
    <col min="9990" max="9990" width="19.5546875" style="423" bestFit="1" customWidth="1"/>
    <col min="9991" max="10230" width="8.88671875" style="423"/>
    <col min="10231" max="10234" width="2.6640625" style="423" customWidth="1"/>
    <col min="10235" max="10235" width="49.33203125" style="423" customWidth="1"/>
    <col min="10236" max="10236" width="10.44140625" style="423" customWidth="1"/>
    <col min="10237" max="10237" width="18.88671875" style="423" customWidth="1"/>
    <col min="10238" max="10238" width="18.6640625" style="423" bestFit="1" customWidth="1"/>
    <col min="10239" max="10239" width="17.6640625" style="423" bestFit="1" customWidth="1"/>
    <col min="10240" max="10240" width="18.6640625" style="423" bestFit="1" customWidth="1"/>
    <col min="10241" max="10241" width="17.6640625" style="423" bestFit="1" customWidth="1"/>
    <col min="10242" max="10242" width="17.33203125" style="423" customWidth="1"/>
    <col min="10243" max="10243" width="17.33203125" style="423" bestFit="1" customWidth="1"/>
    <col min="10244" max="10244" width="18.6640625" style="423" bestFit="1" customWidth="1"/>
    <col min="10245" max="10245" width="19.109375" style="423" bestFit="1" customWidth="1"/>
    <col min="10246" max="10246" width="19.5546875" style="423" bestFit="1" customWidth="1"/>
    <col min="10247" max="10486" width="8.88671875" style="423"/>
    <col min="10487" max="10490" width="2.6640625" style="423" customWidth="1"/>
    <col min="10491" max="10491" width="49.33203125" style="423" customWidth="1"/>
    <col min="10492" max="10492" width="10.44140625" style="423" customWidth="1"/>
    <col min="10493" max="10493" width="18.88671875" style="423" customWidth="1"/>
    <col min="10494" max="10494" width="18.6640625" style="423" bestFit="1" customWidth="1"/>
    <col min="10495" max="10495" width="17.6640625" style="423" bestFit="1" customWidth="1"/>
    <col min="10496" max="10496" width="18.6640625" style="423" bestFit="1" customWidth="1"/>
    <col min="10497" max="10497" width="17.6640625" style="423" bestFit="1" customWidth="1"/>
    <col min="10498" max="10498" width="17.33203125" style="423" customWidth="1"/>
    <col min="10499" max="10499" width="17.33203125" style="423" bestFit="1" customWidth="1"/>
    <col min="10500" max="10500" width="18.6640625" style="423" bestFit="1" customWidth="1"/>
    <col min="10501" max="10501" width="19.109375" style="423" bestFit="1" customWidth="1"/>
    <col min="10502" max="10502" width="19.5546875" style="423" bestFit="1" customWidth="1"/>
    <col min="10503" max="10742" width="8.88671875" style="423"/>
    <col min="10743" max="10746" width="2.6640625" style="423" customWidth="1"/>
    <col min="10747" max="10747" width="49.33203125" style="423" customWidth="1"/>
    <col min="10748" max="10748" width="10.44140625" style="423" customWidth="1"/>
    <col min="10749" max="10749" width="18.88671875" style="423" customWidth="1"/>
    <col min="10750" max="10750" width="18.6640625" style="423" bestFit="1" customWidth="1"/>
    <col min="10751" max="10751" width="17.6640625" style="423" bestFit="1" customWidth="1"/>
    <col min="10752" max="10752" width="18.6640625" style="423" bestFit="1" customWidth="1"/>
    <col min="10753" max="10753" width="17.6640625" style="423" bestFit="1" customWidth="1"/>
    <col min="10754" max="10754" width="17.33203125" style="423" customWidth="1"/>
    <col min="10755" max="10755" width="17.33203125" style="423" bestFit="1" customWidth="1"/>
    <col min="10756" max="10756" width="18.6640625" style="423" bestFit="1" customWidth="1"/>
    <col min="10757" max="10757" width="19.109375" style="423" bestFit="1" customWidth="1"/>
    <col min="10758" max="10758" width="19.5546875" style="423" bestFit="1" customWidth="1"/>
    <col min="10759" max="10998" width="8.88671875" style="423"/>
    <col min="10999" max="11002" width="2.6640625" style="423" customWidth="1"/>
    <col min="11003" max="11003" width="49.33203125" style="423" customWidth="1"/>
    <col min="11004" max="11004" width="10.44140625" style="423" customWidth="1"/>
    <col min="11005" max="11005" width="18.88671875" style="423" customWidth="1"/>
    <col min="11006" max="11006" width="18.6640625" style="423" bestFit="1" customWidth="1"/>
    <col min="11007" max="11007" width="17.6640625" style="423" bestFit="1" customWidth="1"/>
    <col min="11008" max="11008" width="18.6640625" style="423" bestFit="1" customWidth="1"/>
    <col min="11009" max="11009" width="17.6640625" style="423" bestFit="1" customWidth="1"/>
    <col min="11010" max="11010" width="17.33203125" style="423" customWidth="1"/>
    <col min="11011" max="11011" width="17.33203125" style="423" bestFit="1" customWidth="1"/>
    <col min="11012" max="11012" width="18.6640625" style="423" bestFit="1" customWidth="1"/>
    <col min="11013" max="11013" width="19.109375" style="423" bestFit="1" customWidth="1"/>
    <col min="11014" max="11014" width="19.5546875" style="423" bestFit="1" customWidth="1"/>
    <col min="11015" max="11254" width="8.88671875" style="423"/>
    <col min="11255" max="11258" width="2.6640625" style="423" customWidth="1"/>
    <col min="11259" max="11259" width="49.33203125" style="423" customWidth="1"/>
    <col min="11260" max="11260" width="10.44140625" style="423" customWidth="1"/>
    <col min="11261" max="11261" width="18.88671875" style="423" customWidth="1"/>
    <col min="11262" max="11262" width="18.6640625" style="423" bestFit="1" customWidth="1"/>
    <col min="11263" max="11263" width="17.6640625" style="423" bestFit="1" customWidth="1"/>
    <col min="11264" max="11264" width="18.6640625" style="423" bestFit="1" customWidth="1"/>
    <col min="11265" max="11265" width="17.6640625" style="423" bestFit="1" customWidth="1"/>
    <col min="11266" max="11266" width="17.33203125" style="423" customWidth="1"/>
    <col min="11267" max="11267" width="17.33203125" style="423" bestFit="1" customWidth="1"/>
    <col min="11268" max="11268" width="18.6640625" style="423" bestFit="1" customWidth="1"/>
    <col min="11269" max="11269" width="19.109375" style="423" bestFit="1" customWidth="1"/>
    <col min="11270" max="11270" width="19.5546875" style="423" bestFit="1" customWidth="1"/>
    <col min="11271" max="11510" width="8.88671875" style="423"/>
    <col min="11511" max="11514" width="2.6640625" style="423" customWidth="1"/>
    <col min="11515" max="11515" width="49.33203125" style="423" customWidth="1"/>
    <col min="11516" max="11516" width="10.44140625" style="423" customWidth="1"/>
    <col min="11517" max="11517" width="18.88671875" style="423" customWidth="1"/>
    <col min="11518" max="11518" width="18.6640625" style="423" bestFit="1" customWidth="1"/>
    <col min="11519" max="11519" width="17.6640625" style="423" bestFit="1" customWidth="1"/>
    <col min="11520" max="11520" width="18.6640625" style="423" bestFit="1" customWidth="1"/>
    <col min="11521" max="11521" width="17.6640625" style="423" bestFit="1" customWidth="1"/>
    <col min="11522" max="11522" width="17.33203125" style="423" customWidth="1"/>
    <col min="11523" max="11523" width="17.33203125" style="423" bestFit="1" customWidth="1"/>
    <col min="11524" max="11524" width="18.6640625" style="423" bestFit="1" customWidth="1"/>
    <col min="11525" max="11525" width="19.109375" style="423" bestFit="1" customWidth="1"/>
    <col min="11526" max="11526" width="19.5546875" style="423" bestFit="1" customWidth="1"/>
    <col min="11527" max="11766" width="8.88671875" style="423"/>
    <col min="11767" max="11770" width="2.6640625" style="423" customWidth="1"/>
    <col min="11771" max="11771" width="49.33203125" style="423" customWidth="1"/>
    <col min="11772" max="11772" width="10.44140625" style="423" customWidth="1"/>
    <col min="11773" max="11773" width="18.88671875" style="423" customWidth="1"/>
    <col min="11774" max="11774" width="18.6640625" style="423" bestFit="1" customWidth="1"/>
    <col min="11775" max="11775" width="17.6640625" style="423" bestFit="1" customWidth="1"/>
    <col min="11776" max="11776" width="18.6640625" style="423" bestFit="1" customWidth="1"/>
    <col min="11777" max="11777" width="17.6640625" style="423" bestFit="1" customWidth="1"/>
    <col min="11778" max="11778" width="17.33203125" style="423" customWidth="1"/>
    <col min="11779" max="11779" width="17.33203125" style="423" bestFit="1" customWidth="1"/>
    <col min="11780" max="11780" width="18.6640625" style="423" bestFit="1" customWidth="1"/>
    <col min="11781" max="11781" width="19.109375" style="423" bestFit="1" customWidth="1"/>
    <col min="11782" max="11782" width="19.5546875" style="423" bestFit="1" customWidth="1"/>
    <col min="11783" max="12022" width="8.88671875" style="423"/>
    <col min="12023" max="12026" width="2.6640625" style="423" customWidth="1"/>
    <col min="12027" max="12027" width="49.33203125" style="423" customWidth="1"/>
    <col min="12028" max="12028" width="10.44140625" style="423" customWidth="1"/>
    <col min="12029" max="12029" width="18.88671875" style="423" customWidth="1"/>
    <col min="12030" max="12030" width="18.6640625" style="423" bestFit="1" customWidth="1"/>
    <col min="12031" max="12031" width="17.6640625" style="423" bestFit="1" customWidth="1"/>
    <col min="12032" max="12032" width="18.6640625" style="423" bestFit="1" customWidth="1"/>
    <col min="12033" max="12033" width="17.6640625" style="423" bestFit="1" customWidth="1"/>
    <col min="12034" max="12034" width="17.33203125" style="423" customWidth="1"/>
    <col min="12035" max="12035" width="17.33203125" style="423" bestFit="1" customWidth="1"/>
    <col min="12036" max="12036" width="18.6640625" style="423" bestFit="1" customWidth="1"/>
    <col min="12037" max="12037" width="19.109375" style="423" bestFit="1" customWidth="1"/>
    <col min="12038" max="12038" width="19.5546875" style="423" bestFit="1" customWidth="1"/>
    <col min="12039" max="12278" width="8.88671875" style="423"/>
    <col min="12279" max="12282" width="2.6640625" style="423" customWidth="1"/>
    <col min="12283" max="12283" width="49.33203125" style="423" customWidth="1"/>
    <col min="12284" max="12284" width="10.44140625" style="423" customWidth="1"/>
    <col min="12285" max="12285" width="18.88671875" style="423" customWidth="1"/>
    <col min="12286" max="12286" width="18.6640625" style="423" bestFit="1" customWidth="1"/>
    <col min="12287" max="12287" width="17.6640625" style="423" bestFit="1" customWidth="1"/>
    <col min="12288" max="12288" width="18.6640625" style="423" bestFit="1" customWidth="1"/>
    <col min="12289" max="12289" width="17.6640625" style="423" bestFit="1" customWidth="1"/>
    <col min="12290" max="12290" width="17.33203125" style="423" customWidth="1"/>
    <col min="12291" max="12291" width="17.33203125" style="423" bestFit="1" customWidth="1"/>
    <col min="12292" max="12292" width="18.6640625" style="423" bestFit="1" customWidth="1"/>
    <col min="12293" max="12293" width="19.109375" style="423" bestFit="1" customWidth="1"/>
    <col min="12294" max="12294" width="19.5546875" style="423" bestFit="1" customWidth="1"/>
    <col min="12295" max="12534" width="8.88671875" style="423"/>
    <col min="12535" max="12538" width="2.6640625" style="423" customWidth="1"/>
    <col min="12539" max="12539" width="49.33203125" style="423" customWidth="1"/>
    <col min="12540" max="12540" width="10.44140625" style="423" customWidth="1"/>
    <col min="12541" max="12541" width="18.88671875" style="423" customWidth="1"/>
    <col min="12542" max="12542" width="18.6640625" style="423" bestFit="1" customWidth="1"/>
    <col min="12543" max="12543" width="17.6640625" style="423" bestFit="1" customWidth="1"/>
    <col min="12544" max="12544" width="18.6640625" style="423" bestFit="1" customWidth="1"/>
    <col min="12545" max="12545" width="17.6640625" style="423" bestFit="1" customWidth="1"/>
    <col min="12546" max="12546" width="17.33203125" style="423" customWidth="1"/>
    <col min="12547" max="12547" width="17.33203125" style="423" bestFit="1" customWidth="1"/>
    <col min="12548" max="12548" width="18.6640625" style="423" bestFit="1" customWidth="1"/>
    <col min="12549" max="12549" width="19.109375" style="423" bestFit="1" customWidth="1"/>
    <col min="12550" max="12550" width="19.5546875" style="423" bestFit="1" customWidth="1"/>
    <col min="12551" max="12790" width="8.88671875" style="423"/>
    <col min="12791" max="12794" width="2.6640625" style="423" customWidth="1"/>
    <col min="12795" max="12795" width="49.33203125" style="423" customWidth="1"/>
    <col min="12796" max="12796" width="10.44140625" style="423" customWidth="1"/>
    <col min="12797" max="12797" width="18.88671875" style="423" customWidth="1"/>
    <col min="12798" max="12798" width="18.6640625" style="423" bestFit="1" customWidth="1"/>
    <col min="12799" max="12799" width="17.6640625" style="423" bestFit="1" customWidth="1"/>
    <col min="12800" max="12800" width="18.6640625" style="423" bestFit="1" customWidth="1"/>
    <col min="12801" max="12801" width="17.6640625" style="423" bestFit="1" customWidth="1"/>
    <col min="12802" max="12802" width="17.33203125" style="423" customWidth="1"/>
    <col min="12803" max="12803" width="17.33203125" style="423" bestFit="1" customWidth="1"/>
    <col min="12804" max="12804" width="18.6640625" style="423" bestFit="1" customWidth="1"/>
    <col min="12805" max="12805" width="19.109375" style="423" bestFit="1" customWidth="1"/>
    <col min="12806" max="12806" width="19.5546875" style="423" bestFit="1" customWidth="1"/>
    <col min="12807" max="13046" width="8.88671875" style="423"/>
    <col min="13047" max="13050" width="2.6640625" style="423" customWidth="1"/>
    <col min="13051" max="13051" width="49.33203125" style="423" customWidth="1"/>
    <col min="13052" max="13052" width="10.44140625" style="423" customWidth="1"/>
    <col min="13053" max="13053" width="18.88671875" style="423" customWidth="1"/>
    <col min="13054" max="13054" width="18.6640625" style="423" bestFit="1" customWidth="1"/>
    <col min="13055" max="13055" width="17.6640625" style="423" bestFit="1" customWidth="1"/>
    <col min="13056" max="13056" width="18.6640625" style="423" bestFit="1" customWidth="1"/>
    <col min="13057" max="13057" width="17.6640625" style="423" bestFit="1" customWidth="1"/>
    <col min="13058" max="13058" width="17.33203125" style="423" customWidth="1"/>
    <col min="13059" max="13059" width="17.33203125" style="423" bestFit="1" customWidth="1"/>
    <col min="13060" max="13060" width="18.6640625" style="423" bestFit="1" customWidth="1"/>
    <col min="13061" max="13061" width="19.109375" style="423" bestFit="1" customWidth="1"/>
    <col min="13062" max="13062" width="19.5546875" style="423" bestFit="1" customWidth="1"/>
    <col min="13063" max="13302" width="8.88671875" style="423"/>
    <col min="13303" max="13306" width="2.6640625" style="423" customWidth="1"/>
    <col min="13307" max="13307" width="49.33203125" style="423" customWidth="1"/>
    <col min="13308" max="13308" width="10.44140625" style="423" customWidth="1"/>
    <col min="13309" max="13309" width="18.88671875" style="423" customWidth="1"/>
    <col min="13310" max="13310" width="18.6640625" style="423" bestFit="1" customWidth="1"/>
    <col min="13311" max="13311" width="17.6640625" style="423" bestFit="1" customWidth="1"/>
    <col min="13312" max="13312" width="18.6640625" style="423" bestFit="1" customWidth="1"/>
    <col min="13313" max="13313" width="17.6640625" style="423" bestFit="1" customWidth="1"/>
    <col min="13314" max="13314" width="17.33203125" style="423" customWidth="1"/>
    <col min="13315" max="13315" width="17.33203125" style="423" bestFit="1" customWidth="1"/>
    <col min="13316" max="13316" width="18.6640625" style="423" bestFit="1" customWidth="1"/>
    <col min="13317" max="13317" width="19.109375" style="423" bestFit="1" customWidth="1"/>
    <col min="13318" max="13318" width="19.5546875" style="423" bestFit="1" customWidth="1"/>
    <col min="13319" max="13558" width="8.88671875" style="423"/>
    <col min="13559" max="13562" width="2.6640625" style="423" customWidth="1"/>
    <col min="13563" max="13563" width="49.33203125" style="423" customWidth="1"/>
    <col min="13564" max="13564" width="10.44140625" style="423" customWidth="1"/>
    <col min="13565" max="13565" width="18.88671875" style="423" customWidth="1"/>
    <col min="13566" max="13566" width="18.6640625" style="423" bestFit="1" customWidth="1"/>
    <col min="13567" max="13567" width="17.6640625" style="423" bestFit="1" customWidth="1"/>
    <col min="13568" max="13568" width="18.6640625" style="423" bestFit="1" customWidth="1"/>
    <col min="13569" max="13569" width="17.6640625" style="423" bestFit="1" customWidth="1"/>
    <col min="13570" max="13570" width="17.33203125" style="423" customWidth="1"/>
    <col min="13571" max="13571" width="17.33203125" style="423" bestFit="1" customWidth="1"/>
    <col min="13572" max="13572" width="18.6640625" style="423" bestFit="1" customWidth="1"/>
    <col min="13573" max="13573" width="19.109375" style="423" bestFit="1" customWidth="1"/>
    <col min="13574" max="13574" width="19.5546875" style="423" bestFit="1" customWidth="1"/>
    <col min="13575" max="13814" width="8.88671875" style="423"/>
    <col min="13815" max="13818" width="2.6640625" style="423" customWidth="1"/>
    <col min="13819" max="13819" width="49.33203125" style="423" customWidth="1"/>
    <col min="13820" max="13820" width="10.44140625" style="423" customWidth="1"/>
    <col min="13821" max="13821" width="18.88671875" style="423" customWidth="1"/>
    <col min="13822" max="13822" width="18.6640625" style="423" bestFit="1" customWidth="1"/>
    <col min="13823" max="13823" width="17.6640625" style="423" bestFit="1" customWidth="1"/>
    <col min="13824" max="13824" width="18.6640625" style="423" bestFit="1" customWidth="1"/>
    <col min="13825" max="13825" width="17.6640625" style="423" bestFit="1" customWidth="1"/>
    <col min="13826" max="13826" width="17.33203125" style="423" customWidth="1"/>
    <col min="13827" max="13827" width="17.33203125" style="423" bestFit="1" customWidth="1"/>
    <col min="13828" max="13828" width="18.6640625" style="423" bestFit="1" customWidth="1"/>
    <col min="13829" max="13829" width="19.109375" style="423" bestFit="1" customWidth="1"/>
    <col min="13830" max="13830" width="19.5546875" style="423" bestFit="1" customWidth="1"/>
    <col min="13831" max="14070" width="8.88671875" style="423"/>
    <col min="14071" max="14074" width="2.6640625" style="423" customWidth="1"/>
    <col min="14075" max="14075" width="49.33203125" style="423" customWidth="1"/>
    <col min="14076" max="14076" width="10.44140625" style="423" customWidth="1"/>
    <col min="14077" max="14077" width="18.88671875" style="423" customWidth="1"/>
    <col min="14078" max="14078" width="18.6640625" style="423" bestFit="1" customWidth="1"/>
    <col min="14079" max="14079" width="17.6640625" style="423" bestFit="1" customWidth="1"/>
    <col min="14080" max="14080" width="18.6640625" style="423" bestFit="1" customWidth="1"/>
    <col min="14081" max="14081" width="17.6640625" style="423" bestFit="1" customWidth="1"/>
    <col min="14082" max="14082" width="17.33203125" style="423" customWidth="1"/>
    <col min="14083" max="14083" width="17.33203125" style="423" bestFit="1" customWidth="1"/>
    <col min="14084" max="14084" width="18.6640625" style="423" bestFit="1" customWidth="1"/>
    <col min="14085" max="14085" width="19.109375" style="423" bestFit="1" customWidth="1"/>
    <col min="14086" max="14086" width="19.5546875" style="423" bestFit="1" customWidth="1"/>
    <col min="14087" max="14326" width="8.88671875" style="423"/>
    <col min="14327" max="14330" width="2.6640625" style="423" customWidth="1"/>
    <col min="14331" max="14331" width="49.33203125" style="423" customWidth="1"/>
    <col min="14332" max="14332" width="10.44140625" style="423" customWidth="1"/>
    <col min="14333" max="14333" width="18.88671875" style="423" customWidth="1"/>
    <col min="14334" max="14334" width="18.6640625" style="423" bestFit="1" customWidth="1"/>
    <col min="14335" max="14335" width="17.6640625" style="423" bestFit="1" customWidth="1"/>
    <col min="14336" max="14336" width="18.6640625" style="423" bestFit="1" customWidth="1"/>
    <col min="14337" max="14337" width="17.6640625" style="423" bestFit="1" customWidth="1"/>
    <col min="14338" max="14338" width="17.33203125" style="423" customWidth="1"/>
    <col min="14339" max="14339" width="17.33203125" style="423" bestFit="1" customWidth="1"/>
    <col min="14340" max="14340" width="18.6640625" style="423" bestFit="1" customWidth="1"/>
    <col min="14341" max="14341" width="19.109375" style="423" bestFit="1" customWidth="1"/>
    <col min="14342" max="14342" width="19.5546875" style="423" bestFit="1" customWidth="1"/>
    <col min="14343" max="14582" width="8.88671875" style="423"/>
    <col min="14583" max="14586" width="2.6640625" style="423" customWidth="1"/>
    <col min="14587" max="14587" width="49.33203125" style="423" customWidth="1"/>
    <col min="14588" max="14588" width="10.44140625" style="423" customWidth="1"/>
    <col min="14589" max="14589" width="18.88671875" style="423" customWidth="1"/>
    <col min="14590" max="14590" width="18.6640625" style="423" bestFit="1" customWidth="1"/>
    <col min="14591" max="14591" width="17.6640625" style="423" bestFit="1" customWidth="1"/>
    <col min="14592" max="14592" width="18.6640625" style="423" bestFit="1" customWidth="1"/>
    <col min="14593" max="14593" width="17.6640625" style="423" bestFit="1" customWidth="1"/>
    <col min="14594" max="14594" width="17.33203125" style="423" customWidth="1"/>
    <col min="14595" max="14595" width="17.33203125" style="423" bestFit="1" customWidth="1"/>
    <col min="14596" max="14596" width="18.6640625" style="423" bestFit="1" customWidth="1"/>
    <col min="14597" max="14597" width="19.109375" style="423" bestFit="1" customWidth="1"/>
    <col min="14598" max="14598" width="19.5546875" style="423" bestFit="1" customWidth="1"/>
    <col min="14599" max="14838" width="8.88671875" style="423"/>
    <col min="14839" max="14842" width="2.6640625" style="423" customWidth="1"/>
    <col min="14843" max="14843" width="49.33203125" style="423" customWidth="1"/>
    <col min="14844" max="14844" width="10.44140625" style="423" customWidth="1"/>
    <col min="14845" max="14845" width="18.88671875" style="423" customWidth="1"/>
    <col min="14846" max="14846" width="18.6640625" style="423" bestFit="1" customWidth="1"/>
    <col min="14847" max="14847" width="17.6640625" style="423" bestFit="1" customWidth="1"/>
    <col min="14848" max="14848" width="18.6640625" style="423" bestFit="1" customWidth="1"/>
    <col min="14849" max="14849" width="17.6640625" style="423" bestFit="1" customWidth="1"/>
    <col min="14850" max="14850" width="17.33203125" style="423" customWidth="1"/>
    <col min="14851" max="14851" width="17.33203125" style="423" bestFit="1" customWidth="1"/>
    <col min="14852" max="14852" width="18.6640625" style="423" bestFit="1" customWidth="1"/>
    <col min="14853" max="14853" width="19.109375" style="423" bestFit="1" customWidth="1"/>
    <col min="14854" max="14854" width="19.5546875" style="423" bestFit="1" customWidth="1"/>
    <col min="14855" max="15094" width="8.88671875" style="423"/>
    <col min="15095" max="15098" width="2.6640625" style="423" customWidth="1"/>
    <col min="15099" max="15099" width="49.33203125" style="423" customWidth="1"/>
    <col min="15100" max="15100" width="10.44140625" style="423" customWidth="1"/>
    <col min="15101" max="15101" width="18.88671875" style="423" customWidth="1"/>
    <col min="15102" max="15102" width="18.6640625" style="423" bestFit="1" customWidth="1"/>
    <col min="15103" max="15103" width="17.6640625" style="423" bestFit="1" customWidth="1"/>
    <col min="15104" max="15104" width="18.6640625" style="423" bestFit="1" customWidth="1"/>
    <col min="15105" max="15105" width="17.6640625" style="423" bestFit="1" customWidth="1"/>
    <col min="15106" max="15106" width="17.33203125" style="423" customWidth="1"/>
    <col min="15107" max="15107" width="17.33203125" style="423" bestFit="1" customWidth="1"/>
    <col min="15108" max="15108" width="18.6640625" style="423" bestFit="1" customWidth="1"/>
    <col min="15109" max="15109" width="19.109375" style="423" bestFit="1" customWidth="1"/>
    <col min="15110" max="15110" width="19.5546875" style="423" bestFit="1" customWidth="1"/>
    <col min="15111" max="15350" width="8.88671875" style="423"/>
    <col min="15351" max="15354" width="2.6640625" style="423" customWidth="1"/>
    <col min="15355" max="15355" width="49.33203125" style="423" customWidth="1"/>
    <col min="15356" max="15356" width="10.44140625" style="423" customWidth="1"/>
    <col min="15357" max="15357" width="18.88671875" style="423" customWidth="1"/>
    <col min="15358" max="15358" width="18.6640625" style="423" bestFit="1" customWidth="1"/>
    <col min="15359" max="15359" width="17.6640625" style="423" bestFit="1" customWidth="1"/>
    <col min="15360" max="15360" width="18.6640625" style="423" bestFit="1" customWidth="1"/>
    <col min="15361" max="15361" width="17.6640625" style="423" bestFit="1" customWidth="1"/>
    <col min="15362" max="15362" width="17.33203125" style="423" customWidth="1"/>
    <col min="15363" max="15363" width="17.33203125" style="423" bestFit="1" customWidth="1"/>
    <col min="15364" max="15364" width="18.6640625" style="423" bestFit="1" customWidth="1"/>
    <col min="15365" max="15365" width="19.109375" style="423" bestFit="1" customWidth="1"/>
    <col min="15366" max="15366" width="19.5546875" style="423" bestFit="1" customWidth="1"/>
    <col min="15367" max="15606" width="8.88671875" style="423"/>
    <col min="15607" max="15610" width="2.6640625" style="423" customWidth="1"/>
    <col min="15611" max="15611" width="49.33203125" style="423" customWidth="1"/>
    <col min="15612" max="15612" width="10.44140625" style="423" customWidth="1"/>
    <col min="15613" max="15613" width="18.88671875" style="423" customWidth="1"/>
    <col min="15614" max="15614" width="18.6640625" style="423" bestFit="1" customWidth="1"/>
    <col min="15615" max="15615" width="17.6640625" style="423" bestFit="1" customWidth="1"/>
    <col min="15616" max="15616" width="18.6640625" style="423" bestFit="1" customWidth="1"/>
    <col min="15617" max="15617" width="17.6640625" style="423" bestFit="1" customWidth="1"/>
    <col min="15618" max="15618" width="17.33203125" style="423" customWidth="1"/>
    <col min="15619" max="15619" width="17.33203125" style="423" bestFit="1" customWidth="1"/>
    <col min="15620" max="15620" width="18.6640625" style="423" bestFit="1" customWidth="1"/>
    <col min="15621" max="15621" width="19.109375" style="423" bestFit="1" customWidth="1"/>
    <col min="15622" max="15622" width="19.5546875" style="423" bestFit="1" customWidth="1"/>
    <col min="15623" max="15862" width="8.88671875" style="423"/>
    <col min="15863" max="15866" width="2.6640625" style="423" customWidth="1"/>
    <col min="15867" max="15867" width="49.33203125" style="423" customWidth="1"/>
    <col min="15868" max="15868" width="10.44140625" style="423" customWidth="1"/>
    <col min="15869" max="15869" width="18.88671875" style="423" customWidth="1"/>
    <col min="15870" max="15870" width="18.6640625" style="423" bestFit="1" customWidth="1"/>
    <col min="15871" max="15871" width="17.6640625" style="423" bestFit="1" customWidth="1"/>
    <col min="15872" max="15872" width="18.6640625" style="423" bestFit="1" customWidth="1"/>
    <col min="15873" max="15873" width="17.6640625" style="423" bestFit="1" customWidth="1"/>
    <col min="15874" max="15874" width="17.33203125" style="423" customWidth="1"/>
    <col min="15875" max="15875" width="17.33203125" style="423" bestFit="1" customWidth="1"/>
    <col min="15876" max="15876" width="18.6640625" style="423" bestFit="1" customWidth="1"/>
    <col min="15877" max="15877" width="19.109375" style="423" bestFit="1" customWidth="1"/>
    <col min="15878" max="15878" width="19.5546875" style="423" bestFit="1" customWidth="1"/>
    <col min="15879" max="16118" width="8.88671875" style="423"/>
    <col min="16119" max="16122" width="2.6640625" style="423" customWidth="1"/>
    <col min="16123" max="16123" width="49.33203125" style="423" customWidth="1"/>
    <col min="16124" max="16124" width="10.44140625" style="423" customWidth="1"/>
    <col min="16125" max="16125" width="18.88671875" style="423" customWidth="1"/>
    <col min="16126" max="16126" width="18.6640625" style="423" bestFit="1" customWidth="1"/>
    <col min="16127" max="16127" width="17.6640625" style="423" bestFit="1" customWidth="1"/>
    <col min="16128" max="16128" width="18.6640625" style="423" bestFit="1" customWidth="1"/>
    <col min="16129" max="16129" width="17.6640625" style="423" bestFit="1" customWidth="1"/>
    <col min="16130" max="16130" width="17.33203125" style="423" customWidth="1"/>
    <col min="16131" max="16131" width="17.33203125" style="423" bestFit="1" customWidth="1"/>
    <col min="16132" max="16132" width="18.6640625" style="423" bestFit="1" customWidth="1"/>
    <col min="16133" max="16133" width="19.109375" style="423" bestFit="1" customWidth="1"/>
    <col min="16134" max="16134" width="19.5546875" style="423" bestFit="1" customWidth="1"/>
    <col min="16135" max="16384" width="8.88671875" style="423"/>
  </cols>
  <sheetData>
    <row r="1" spans="1:15" x14ac:dyDescent="0.3">
      <c r="A1" s="764" t="s">
        <v>2467</v>
      </c>
      <c r="B1" s="764"/>
      <c r="C1" s="764"/>
      <c r="D1" s="764"/>
      <c r="E1" s="764"/>
      <c r="F1" s="764"/>
      <c r="G1" s="764"/>
      <c r="H1" s="764"/>
      <c r="I1" s="764"/>
      <c r="J1" s="764"/>
      <c r="K1" s="764"/>
      <c r="L1" s="764"/>
      <c r="M1" s="764"/>
      <c r="N1" s="764"/>
    </row>
    <row r="2" spans="1:15" x14ac:dyDescent="0.3">
      <c r="A2" s="764" t="s">
        <v>2371</v>
      </c>
      <c r="B2" s="764"/>
      <c r="C2" s="764"/>
      <c r="D2" s="764"/>
      <c r="E2" s="764"/>
      <c r="F2" s="764"/>
      <c r="G2" s="764"/>
      <c r="H2" s="764"/>
      <c r="I2" s="764"/>
      <c r="J2" s="764"/>
      <c r="K2" s="764"/>
      <c r="L2" s="764"/>
      <c r="M2" s="764"/>
      <c r="N2" s="764"/>
    </row>
    <row r="3" spans="1:15" x14ac:dyDescent="0.3">
      <c r="A3" s="764" t="s">
        <v>2468</v>
      </c>
      <c r="B3" s="764"/>
      <c r="C3" s="764"/>
      <c r="D3" s="764"/>
      <c r="E3" s="764"/>
      <c r="F3" s="764"/>
      <c r="G3" s="764"/>
      <c r="H3" s="764"/>
      <c r="I3" s="764"/>
      <c r="J3" s="764"/>
      <c r="K3" s="764"/>
      <c r="L3" s="764"/>
      <c r="M3" s="764"/>
      <c r="N3" s="764"/>
    </row>
    <row r="4" spans="1:15" x14ac:dyDescent="0.3">
      <c r="A4" s="765" t="s">
        <v>2406</v>
      </c>
      <c r="B4" s="765"/>
      <c r="C4" s="765"/>
      <c r="D4" s="765"/>
      <c r="E4" s="765"/>
      <c r="F4" s="765"/>
      <c r="G4" s="765"/>
      <c r="H4" s="765"/>
      <c r="I4" s="765"/>
      <c r="J4" s="765"/>
      <c r="K4" s="765"/>
      <c r="L4" s="765"/>
      <c r="M4" s="765"/>
      <c r="N4" s="765"/>
    </row>
    <row r="5" spans="1:15" ht="16.2" thickBot="1" x14ac:dyDescent="0.35">
      <c r="A5" s="749" t="s">
        <v>2374</v>
      </c>
      <c r="B5" s="749"/>
      <c r="C5" s="749"/>
      <c r="D5" s="749"/>
      <c r="E5" s="749"/>
      <c r="F5" s="749"/>
      <c r="G5" s="749"/>
      <c r="H5" s="749"/>
      <c r="I5" s="749"/>
      <c r="J5" s="749"/>
      <c r="K5" s="749"/>
      <c r="L5" s="749"/>
      <c r="M5" s="749"/>
      <c r="N5" s="749"/>
    </row>
    <row r="6" spans="1:15" x14ac:dyDescent="0.3">
      <c r="A6" s="752"/>
      <c r="B6" s="753"/>
      <c r="C6" s="753"/>
      <c r="D6" s="753"/>
      <c r="E6" s="754"/>
      <c r="F6" s="761" t="s">
        <v>2469</v>
      </c>
      <c r="G6" s="762"/>
      <c r="H6" s="762"/>
      <c r="I6" s="763"/>
      <c r="J6" s="761" t="s">
        <v>2470</v>
      </c>
      <c r="K6" s="763"/>
      <c r="L6" s="761" t="s">
        <v>2471</v>
      </c>
      <c r="M6" s="763"/>
      <c r="N6" s="468" t="s">
        <v>2470</v>
      </c>
      <c r="O6" s="422"/>
    </row>
    <row r="7" spans="1:15" x14ac:dyDescent="0.3">
      <c r="A7" s="755"/>
      <c r="B7" s="756"/>
      <c r="C7" s="756"/>
      <c r="D7" s="756"/>
      <c r="E7" s="757"/>
      <c r="F7" s="770" t="s">
        <v>2472</v>
      </c>
      <c r="G7" s="771"/>
      <c r="H7" s="771"/>
      <c r="I7" s="772"/>
      <c r="J7" s="766" t="s">
        <v>2473</v>
      </c>
      <c r="K7" s="767"/>
      <c r="L7" s="766"/>
      <c r="M7" s="767"/>
      <c r="N7" s="469" t="s">
        <v>2474</v>
      </c>
      <c r="O7" s="422"/>
    </row>
    <row r="8" spans="1:15" ht="16.2" thickBot="1" x14ac:dyDescent="0.35">
      <c r="A8" s="758"/>
      <c r="B8" s="759"/>
      <c r="C8" s="759"/>
      <c r="D8" s="759"/>
      <c r="E8" s="760"/>
      <c r="F8" s="773" t="s">
        <v>2475</v>
      </c>
      <c r="G8" s="774"/>
      <c r="H8" s="775" t="s">
        <v>2476</v>
      </c>
      <c r="I8" s="776"/>
      <c r="J8" s="768" t="s">
        <v>2474</v>
      </c>
      <c r="K8" s="769"/>
      <c r="L8" s="768"/>
      <c r="M8" s="769"/>
      <c r="N8" s="470" t="s">
        <v>2477</v>
      </c>
      <c r="O8" s="422"/>
    </row>
    <row r="9" spans="1:15" x14ac:dyDescent="0.3">
      <c r="A9" s="437" t="s">
        <v>860</v>
      </c>
      <c r="E9" s="438"/>
      <c r="F9" s="422"/>
      <c r="G9" s="439"/>
      <c r="H9" s="439"/>
      <c r="I9" s="440"/>
      <c r="J9" s="441"/>
      <c r="K9" s="440"/>
      <c r="M9" s="441"/>
      <c r="N9" s="439"/>
      <c r="O9" s="422"/>
    </row>
    <row r="10" spans="1:15" x14ac:dyDescent="0.3">
      <c r="A10" s="437" t="s">
        <v>2478</v>
      </c>
      <c r="D10" s="509"/>
      <c r="E10" s="442"/>
      <c r="F10" s="422"/>
      <c r="G10" s="439"/>
      <c r="H10" s="439"/>
      <c r="I10" s="440"/>
      <c r="J10" s="440"/>
      <c r="K10" s="440"/>
      <c r="M10" s="440"/>
      <c r="N10" s="439"/>
      <c r="O10" s="422"/>
    </row>
    <row r="11" spans="1:15" x14ac:dyDescent="0.3">
      <c r="A11" s="422"/>
      <c r="B11" s="423" t="s">
        <v>2479</v>
      </c>
      <c r="E11" s="438"/>
      <c r="F11" s="443"/>
      <c r="H11" s="440"/>
      <c r="I11" s="444"/>
      <c r="J11" s="440"/>
      <c r="K11" s="440"/>
      <c r="M11" s="440"/>
      <c r="N11" s="439"/>
      <c r="O11" s="422"/>
    </row>
    <row r="12" spans="1:15" x14ac:dyDescent="0.3">
      <c r="A12" s="422"/>
      <c r="C12" s="423" t="s">
        <v>2480</v>
      </c>
      <c r="E12" s="438"/>
      <c r="F12" s="443"/>
      <c r="H12" s="440"/>
      <c r="I12" s="444"/>
      <c r="J12" s="440"/>
      <c r="K12" s="440"/>
      <c r="M12" s="440"/>
      <c r="N12" s="439"/>
      <c r="O12" s="422"/>
    </row>
    <row r="13" spans="1:15" x14ac:dyDescent="0.3">
      <c r="A13" s="437"/>
      <c r="B13" s="472"/>
      <c r="C13" s="472"/>
      <c r="D13" s="423" t="s">
        <v>2481</v>
      </c>
      <c r="E13" s="438"/>
      <c r="F13" s="424">
        <v>47650000</v>
      </c>
      <c r="G13" s="433">
        <v>48300000</v>
      </c>
      <c r="H13" s="425">
        <v>47650000</v>
      </c>
      <c r="I13" s="435">
        <v>48300000</v>
      </c>
      <c r="J13" s="492">
        <f>F13-H13</f>
        <v>0</v>
      </c>
      <c r="K13" s="426">
        <f t="shared" ref="J13:K15" si="0">G13-I13</f>
        <v>0</v>
      </c>
      <c r="L13" s="426">
        <v>52081980.439999998</v>
      </c>
      <c r="M13" s="433">
        <v>40423520.719999991</v>
      </c>
      <c r="N13" s="428">
        <f t="shared" ref="N13:N15" si="1">+H13-L13</f>
        <v>-4431980.4399999976</v>
      </c>
      <c r="O13" s="422"/>
    </row>
    <row r="14" spans="1:15" x14ac:dyDescent="0.3">
      <c r="A14" s="437"/>
      <c r="B14" s="472"/>
      <c r="C14" s="472"/>
      <c r="D14" s="423" t="s">
        <v>2482</v>
      </c>
      <c r="E14" s="438"/>
      <c r="F14" s="424">
        <v>167912000</v>
      </c>
      <c r="G14" s="433">
        <v>154170000</v>
      </c>
      <c r="H14" s="425">
        <v>167912000</v>
      </c>
      <c r="I14" s="435">
        <v>154170000</v>
      </c>
      <c r="J14" s="492">
        <f t="shared" si="0"/>
        <v>0</v>
      </c>
      <c r="K14" s="426">
        <f t="shared" si="0"/>
        <v>0</v>
      </c>
      <c r="L14" s="426">
        <v>193138220.40999997</v>
      </c>
      <c r="M14" s="433">
        <v>172292948.03999999</v>
      </c>
      <c r="N14" s="428">
        <f t="shared" si="1"/>
        <v>-25226220.409999967</v>
      </c>
      <c r="O14" s="422"/>
    </row>
    <row r="15" spans="1:15" x14ac:dyDescent="0.3">
      <c r="A15" s="437"/>
      <c r="B15" s="472"/>
      <c r="C15" s="472"/>
      <c r="D15" s="423" t="s">
        <v>2483</v>
      </c>
      <c r="E15" s="438"/>
      <c r="F15" s="445"/>
      <c r="G15" s="433">
        <v>9770000</v>
      </c>
      <c r="H15" s="446"/>
      <c r="I15" s="435">
        <v>9770000</v>
      </c>
      <c r="J15" s="492">
        <f t="shared" si="0"/>
        <v>0</v>
      </c>
      <c r="K15" s="426">
        <f t="shared" si="0"/>
        <v>0</v>
      </c>
      <c r="L15" s="426">
        <v>10252040.630000001</v>
      </c>
      <c r="M15" s="435">
        <v>13436739.5</v>
      </c>
      <c r="N15" s="428">
        <f t="shared" si="1"/>
        <v>-10252040.630000001</v>
      </c>
      <c r="O15" s="422"/>
    </row>
    <row r="16" spans="1:15" x14ac:dyDescent="0.3">
      <c r="A16" s="437"/>
      <c r="B16" s="472"/>
      <c r="C16" s="423" t="s">
        <v>2484</v>
      </c>
      <c r="E16" s="438"/>
      <c r="F16" s="447">
        <f>SUM(F13:F15)</f>
        <v>215562000</v>
      </c>
      <c r="G16" s="448">
        <f t="shared" ref="G16:N16" si="2">SUM(G13:G15)</f>
        <v>212240000</v>
      </c>
      <c r="H16" s="449">
        <f t="shared" si="2"/>
        <v>215562000</v>
      </c>
      <c r="I16" s="448">
        <f t="shared" si="2"/>
        <v>212240000</v>
      </c>
      <c r="J16" s="493">
        <f t="shared" si="2"/>
        <v>0</v>
      </c>
      <c r="K16" s="449">
        <f t="shared" si="2"/>
        <v>0</v>
      </c>
      <c r="L16" s="449">
        <f t="shared" si="2"/>
        <v>255472241.47999996</v>
      </c>
      <c r="M16" s="448">
        <f t="shared" si="2"/>
        <v>226153208.25999999</v>
      </c>
      <c r="N16" s="450">
        <f t="shared" si="2"/>
        <v>-39910241.479999967</v>
      </c>
      <c r="O16" s="422"/>
    </row>
    <row r="17" spans="1:15" x14ac:dyDescent="0.3">
      <c r="A17" s="437"/>
      <c r="B17" s="472"/>
      <c r="C17" s="423" t="s">
        <v>2485</v>
      </c>
      <c r="E17" s="438"/>
      <c r="F17" s="424"/>
      <c r="G17" s="425"/>
      <c r="H17" s="426"/>
      <c r="I17" s="425"/>
      <c r="J17" s="426"/>
      <c r="K17" s="426"/>
      <c r="L17" s="426"/>
      <c r="M17" s="425"/>
      <c r="N17" s="428"/>
      <c r="O17" s="422"/>
    </row>
    <row r="18" spans="1:15" x14ac:dyDescent="0.3">
      <c r="A18" s="437"/>
      <c r="B18" s="472"/>
      <c r="C18" s="472"/>
      <c r="D18" s="423" t="s">
        <v>2486</v>
      </c>
      <c r="E18" s="438"/>
      <c r="F18" s="424">
        <v>50867175</v>
      </c>
      <c r="G18" s="433">
        <v>54570000</v>
      </c>
      <c r="H18" s="426">
        <v>51462805</v>
      </c>
      <c r="I18" s="435">
        <v>54570000</v>
      </c>
      <c r="J18" s="426">
        <f t="shared" ref="J18:K20" si="3">F18-H18</f>
        <v>-595630</v>
      </c>
      <c r="K18" s="426">
        <f t="shared" si="3"/>
        <v>0</v>
      </c>
      <c r="L18" s="426">
        <v>53643786.970000006</v>
      </c>
      <c r="M18" s="431">
        <v>51945012.659999996</v>
      </c>
      <c r="N18" s="428">
        <f t="shared" ref="N18:N20" si="4">+H18-L18</f>
        <v>-2180981.9700000063</v>
      </c>
      <c r="O18" s="422"/>
    </row>
    <row r="19" spans="1:15" x14ac:dyDescent="0.3">
      <c r="A19" s="437"/>
      <c r="B19" s="472"/>
      <c r="C19" s="472"/>
      <c r="D19" s="423" t="s">
        <v>2487</v>
      </c>
      <c r="E19" s="438"/>
      <c r="F19" s="424">
        <v>89839352.5</v>
      </c>
      <c r="G19" s="433">
        <v>97051835</v>
      </c>
      <c r="H19" s="426">
        <v>90089352.5</v>
      </c>
      <c r="I19" s="435">
        <v>97051835</v>
      </c>
      <c r="J19" s="426">
        <f>F19-H19</f>
        <v>-250000</v>
      </c>
      <c r="K19" s="426">
        <f t="shared" si="3"/>
        <v>0</v>
      </c>
      <c r="L19" s="426">
        <v>86198806.200000003</v>
      </c>
      <c r="M19" s="431">
        <v>90091675.730000004</v>
      </c>
      <c r="N19" s="428">
        <f t="shared" si="4"/>
        <v>3890546.299999997</v>
      </c>
      <c r="O19" s="422"/>
    </row>
    <row r="20" spans="1:15" x14ac:dyDescent="0.3">
      <c r="A20" s="437"/>
      <c r="B20" s="472"/>
      <c r="C20" s="472"/>
      <c r="D20" s="423" t="s">
        <v>2488</v>
      </c>
      <c r="E20" s="438"/>
      <c r="F20" s="432">
        <v>395613955.82000005</v>
      </c>
      <c r="G20" s="425">
        <v>461988231.20999998</v>
      </c>
      <c r="H20" s="426">
        <v>535914033.67999995</v>
      </c>
      <c r="I20" s="435">
        <v>589966908.37</v>
      </c>
      <c r="J20" s="426">
        <f t="shared" si="3"/>
        <v>-140300077.8599999</v>
      </c>
      <c r="K20" s="426">
        <f t="shared" si="3"/>
        <v>-127978677.16000003</v>
      </c>
      <c r="L20" s="426">
        <v>536694562.85000002</v>
      </c>
      <c r="M20" s="431">
        <v>388836407.27999997</v>
      </c>
      <c r="N20" s="428">
        <f t="shared" si="4"/>
        <v>-780529.17000007629</v>
      </c>
      <c r="O20" s="422"/>
    </row>
    <row r="21" spans="1:15" x14ac:dyDescent="0.3">
      <c r="A21" s="437"/>
      <c r="B21" s="472"/>
      <c r="C21" s="423" t="s">
        <v>2489</v>
      </c>
      <c r="E21" s="438"/>
      <c r="F21" s="447">
        <f>SUM(F18:F20)</f>
        <v>536320483.32000005</v>
      </c>
      <c r="G21" s="448">
        <f t="shared" ref="G21:N21" si="5">SUM(G18:G20)</f>
        <v>613610066.21000004</v>
      </c>
      <c r="H21" s="450">
        <f t="shared" si="5"/>
        <v>677466191.17999995</v>
      </c>
      <c r="I21" s="449">
        <f t="shared" si="5"/>
        <v>741588743.37</v>
      </c>
      <c r="J21" s="449">
        <f t="shared" si="5"/>
        <v>-141145707.8599999</v>
      </c>
      <c r="K21" s="449">
        <f t="shared" si="5"/>
        <v>-127978677.16000003</v>
      </c>
      <c r="L21" s="449">
        <f>SUM(L18:L20)</f>
        <v>676537156.01999998</v>
      </c>
      <c r="M21" s="448">
        <f t="shared" si="5"/>
        <v>530873095.66999996</v>
      </c>
      <c r="N21" s="450">
        <f t="shared" si="5"/>
        <v>929035.15999991447</v>
      </c>
      <c r="O21" s="422"/>
    </row>
    <row r="22" spans="1:15" x14ac:dyDescent="0.3">
      <c r="A22" s="437"/>
      <c r="B22" s="423" t="s">
        <v>2490</v>
      </c>
      <c r="C22" s="472"/>
      <c r="E22" s="438"/>
      <c r="F22" s="424"/>
      <c r="G22" s="425"/>
      <c r="H22" s="452"/>
      <c r="I22" s="425"/>
      <c r="J22" s="426"/>
      <c r="K22" s="426"/>
      <c r="L22" s="426"/>
      <c r="M22" s="425"/>
      <c r="N22" s="428"/>
      <c r="O22" s="422"/>
    </row>
    <row r="23" spans="1:15" x14ac:dyDescent="0.3">
      <c r="A23" s="437"/>
      <c r="B23" s="472"/>
      <c r="C23" s="423" t="s">
        <v>2491</v>
      </c>
      <c r="E23" s="438"/>
      <c r="F23" s="424">
        <v>889216030</v>
      </c>
      <c r="G23" s="433">
        <v>829672451</v>
      </c>
      <c r="H23" s="426">
        <v>1248221550</v>
      </c>
      <c r="I23" s="435">
        <v>889216030</v>
      </c>
      <c r="J23" s="426">
        <f>F23-H23</f>
        <v>-359005520</v>
      </c>
      <c r="K23" s="426">
        <f>G23-I23</f>
        <v>-59543579</v>
      </c>
      <c r="L23" s="426">
        <v>1248221550</v>
      </c>
      <c r="M23" s="431">
        <v>889216030</v>
      </c>
      <c r="N23" s="494">
        <f>+H23-L23</f>
        <v>0</v>
      </c>
      <c r="O23" s="422"/>
    </row>
    <row r="24" spans="1:15" x14ac:dyDescent="0.3">
      <c r="A24" s="437"/>
      <c r="B24" s="472"/>
      <c r="C24" s="423" t="s">
        <v>2492</v>
      </c>
      <c r="E24" s="438"/>
      <c r="F24" s="424">
        <v>1000000</v>
      </c>
      <c r="G24" s="425">
        <v>700000</v>
      </c>
      <c r="H24" s="426">
        <v>1000000</v>
      </c>
      <c r="I24" s="427">
        <v>700000</v>
      </c>
      <c r="J24" s="492">
        <f>F24-H24</f>
        <v>0</v>
      </c>
      <c r="K24" s="426">
        <f>G24-I24</f>
        <v>0</v>
      </c>
      <c r="L24" s="426">
        <v>1523631.25</v>
      </c>
      <c r="M24" s="426">
        <v>1192785.32</v>
      </c>
      <c r="N24" s="428">
        <f t="shared" ref="N24:N38" si="6">+H24-L24</f>
        <v>-523631.25</v>
      </c>
      <c r="O24" s="422"/>
    </row>
    <row r="25" spans="1:15" x14ac:dyDescent="0.3">
      <c r="A25" s="437"/>
      <c r="B25" s="472"/>
      <c r="C25" s="423" t="s">
        <v>2493</v>
      </c>
      <c r="E25" s="438"/>
      <c r="F25" s="424"/>
      <c r="G25" s="425"/>
      <c r="H25" s="426"/>
      <c r="I25" s="427"/>
      <c r="J25" s="426"/>
      <c r="K25" s="426"/>
      <c r="L25" s="426"/>
      <c r="M25" s="426"/>
      <c r="N25" s="428"/>
      <c r="O25" s="422"/>
    </row>
    <row r="26" spans="1:15" x14ac:dyDescent="0.3">
      <c r="A26" s="422"/>
      <c r="D26" s="423" t="s">
        <v>2494</v>
      </c>
      <c r="E26" s="438"/>
      <c r="F26" s="424"/>
      <c r="G26" s="425"/>
      <c r="H26" s="426"/>
      <c r="I26" s="427"/>
      <c r="J26" s="492">
        <f t="shared" ref="J26:K29" si="7">F26-H26</f>
        <v>0</v>
      </c>
      <c r="K26" s="426">
        <f t="shared" si="7"/>
        <v>0</v>
      </c>
      <c r="L26" s="426"/>
      <c r="M26" s="426">
        <v>72609</v>
      </c>
      <c r="N26" s="494">
        <f t="shared" si="6"/>
        <v>0</v>
      </c>
      <c r="O26" s="422"/>
    </row>
    <row r="27" spans="1:15" x14ac:dyDescent="0.3">
      <c r="A27" s="422"/>
      <c r="D27" s="423" t="s">
        <v>2495</v>
      </c>
      <c r="E27" s="438"/>
      <c r="F27" s="424"/>
      <c r="G27" s="425"/>
      <c r="H27" s="426"/>
      <c r="I27" s="427"/>
      <c r="J27" s="492">
        <f t="shared" si="7"/>
        <v>0</v>
      </c>
      <c r="K27" s="426">
        <f t="shared" si="7"/>
        <v>0</v>
      </c>
      <c r="L27" s="426"/>
      <c r="M27" s="426"/>
      <c r="N27" s="494">
        <f t="shared" si="6"/>
        <v>0</v>
      </c>
      <c r="O27" s="422"/>
    </row>
    <row r="28" spans="1:15" x14ac:dyDescent="0.3">
      <c r="A28" s="422"/>
      <c r="D28" s="423" t="s">
        <v>2496</v>
      </c>
      <c r="E28" s="438"/>
      <c r="F28" s="432"/>
      <c r="G28" s="433"/>
      <c r="H28" s="431"/>
      <c r="I28" s="435"/>
      <c r="J28" s="492">
        <f t="shared" si="7"/>
        <v>0</v>
      </c>
      <c r="K28" s="426">
        <f t="shared" si="7"/>
        <v>0</v>
      </c>
      <c r="L28" s="426"/>
      <c r="M28" s="431"/>
      <c r="N28" s="494">
        <f t="shared" si="6"/>
        <v>0</v>
      </c>
      <c r="O28" s="422"/>
    </row>
    <row r="29" spans="1:15" x14ac:dyDescent="0.3">
      <c r="A29" s="422"/>
      <c r="D29" s="423" t="s">
        <v>2497</v>
      </c>
      <c r="E29" s="438"/>
      <c r="F29" s="424"/>
      <c r="G29" s="427"/>
      <c r="H29" s="426"/>
      <c r="I29" s="425"/>
      <c r="J29" s="492">
        <f t="shared" si="7"/>
        <v>0</v>
      </c>
      <c r="K29" s="426">
        <f t="shared" si="7"/>
        <v>0</v>
      </c>
      <c r="L29" s="426"/>
      <c r="M29" s="425"/>
      <c r="N29" s="494">
        <f t="shared" si="6"/>
        <v>0</v>
      </c>
      <c r="O29" s="422"/>
    </row>
    <row r="30" spans="1:15" x14ac:dyDescent="0.3">
      <c r="A30" s="422"/>
      <c r="C30" s="423" t="s">
        <v>2498</v>
      </c>
      <c r="E30" s="438"/>
      <c r="F30" s="424"/>
      <c r="G30" s="427"/>
      <c r="H30" s="426"/>
      <c r="I30" s="425"/>
      <c r="J30" s="426"/>
      <c r="K30" s="426"/>
      <c r="L30" s="426"/>
      <c r="M30" s="425"/>
      <c r="N30" s="428"/>
      <c r="O30" s="422"/>
    </row>
    <row r="31" spans="1:15" x14ac:dyDescent="0.3">
      <c r="A31" s="422"/>
      <c r="D31" s="423" t="s">
        <v>2499</v>
      </c>
      <c r="E31" s="438"/>
      <c r="F31" s="424"/>
      <c r="G31" s="427"/>
      <c r="H31" s="426"/>
      <c r="I31" s="425"/>
      <c r="J31" s="492">
        <f t="shared" ref="J31:K33" si="8">F31-H31</f>
        <v>0</v>
      </c>
      <c r="K31" s="426">
        <f t="shared" si="8"/>
        <v>0</v>
      </c>
      <c r="L31" s="426"/>
      <c r="M31" s="425"/>
      <c r="N31" s="494">
        <f t="shared" si="6"/>
        <v>0</v>
      </c>
      <c r="O31" s="422"/>
    </row>
    <row r="32" spans="1:15" x14ac:dyDescent="0.3">
      <c r="A32" s="422"/>
      <c r="D32" s="423" t="s">
        <v>2500</v>
      </c>
      <c r="E32" s="438"/>
      <c r="F32" s="424">
        <v>2800000</v>
      </c>
      <c r="G32" s="427">
        <v>0</v>
      </c>
      <c r="H32" s="428">
        <v>10612957.539999999</v>
      </c>
      <c r="I32" s="426">
        <v>15122372.490000002</v>
      </c>
      <c r="J32" s="426">
        <f t="shared" si="8"/>
        <v>-7812957.5399999991</v>
      </c>
      <c r="K32" s="426">
        <f t="shared" si="8"/>
        <v>-15122372.490000002</v>
      </c>
      <c r="L32" s="427">
        <v>10612957.539999999</v>
      </c>
      <c r="M32" s="426">
        <v>15122372.489999998</v>
      </c>
      <c r="N32" s="494">
        <f t="shared" si="6"/>
        <v>0</v>
      </c>
      <c r="O32" s="422"/>
    </row>
    <row r="33" spans="1:15" x14ac:dyDescent="0.3">
      <c r="A33" s="422"/>
      <c r="C33" s="423" t="s">
        <v>2501</v>
      </c>
      <c r="E33" s="438"/>
      <c r="F33" s="424"/>
      <c r="G33" s="427"/>
      <c r="H33" s="428"/>
      <c r="I33" s="426"/>
      <c r="J33" s="492">
        <f t="shared" si="8"/>
        <v>0</v>
      </c>
      <c r="K33" s="426">
        <f t="shared" si="8"/>
        <v>0</v>
      </c>
      <c r="L33" s="427"/>
      <c r="M33" s="426"/>
      <c r="N33" s="494">
        <f t="shared" si="6"/>
        <v>0</v>
      </c>
      <c r="O33" s="422"/>
    </row>
    <row r="34" spans="1:15" x14ac:dyDescent="0.3">
      <c r="A34" s="422"/>
      <c r="C34" s="423" t="s">
        <v>2502</v>
      </c>
      <c r="E34" s="438"/>
      <c r="F34" s="429"/>
      <c r="G34" s="428"/>
      <c r="H34" s="428"/>
      <c r="I34" s="426"/>
      <c r="J34" s="426"/>
      <c r="K34" s="426"/>
      <c r="L34" s="427"/>
      <c r="M34" s="426"/>
      <c r="N34" s="428"/>
      <c r="O34" s="422"/>
    </row>
    <row r="35" spans="1:15" x14ac:dyDescent="0.3">
      <c r="A35" s="422"/>
      <c r="D35" s="423" t="s">
        <v>2503</v>
      </c>
      <c r="E35" s="438"/>
      <c r="F35" s="429"/>
      <c r="G35" s="428"/>
      <c r="H35" s="428"/>
      <c r="I35" s="426"/>
      <c r="J35" s="492">
        <f t="shared" ref="J35:K38" si="9">F35-H35</f>
        <v>0</v>
      </c>
      <c r="K35" s="426">
        <f t="shared" si="9"/>
        <v>0</v>
      </c>
      <c r="L35" s="427"/>
      <c r="M35" s="426"/>
      <c r="N35" s="494">
        <f t="shared" si="6"/>
        <v>0</v>
      </c>
      <c r="O35" s="422"/>
    </row>
    <row r="36" spans="1:15" x14ac:dyDescent="0.3">
      <c r="A36" s="422"/>
      <c r="D36" s="423" t="s">
        <v>2504</v>
      </c>
      <c r="E36" s="438"/>
      <c r="F36" s="429"/>
      <c r="G36" s="428"/>
      <c r="H36" s="428"/>
      <c r="I36" s="426"/>
      <c r="J36" s="492">
        <f t="shared" si="9"/>
        <v>0</v>
      </c>
      <c r="K36" s="426">
        <f t="shared" si="9"/>
        <v>0</v>
      </c>
      <c r="L36" s="427"/>
      <c r="M36" s="426"/>
      <c r="N36" s="494">
        <f t="shared" si="6"/>
        <v>0</v>
      </c>
      <c r="O36" s="422"/>
    </row>
    <row r="37" spans="1:15" x14ac:dyDescent="0.3">
      <c r="A37" s="422"/>
      <c r="D37" s="423" t="s">
        <v>2505</v>
      </c>
      <c r="E37" s="438"/>
      <c r="F37" s="429"/>
      <c r="G37" s="428"/>
      <c r="H37" s="428"/>
      <c r="I37" s="426"/>
      <c r="J37" s="492">
        <f t="shared" si="9"/>
        <v>0</v>
      </c>
      <c r="K37" s="426">
        <f t="shared" si="9"/>
        <v>0</v>
      </c>
      <c r="L37" s="427"/>
      <c r="M37" s="426">
        <v>549735</v>
      </c>
      <c r="N37" s="494">
        <f t="shared" si="6"/>
        <v>0</v>
      </c>
      <c r="O37" s="422"/>
    </row>
    <row r="38" spans="1:15" x14ac:dyDescent="0.3">
      <c r="A38" s="422"/>
      <c r="B38" s="423" t="s">
        <v>2506</v>
      </c>
      <c r="E38" s="438"/>
      <c r="F38" s="429">
        <v>393480157.12</v>
      </c>
      <c r="G38" s="428"/>
      <c r="H38" s="428">
        <v>393480157.12</v>
      </c>
      <c r="I38" s="426">
        <v>600000000</v>
      </c>
      <c r="J38" s="492">
        <f t="shared" si="9"/>
        <v>0</v>
      </c>
      <c r="K38" s="426">
        <f t="shared" si="9"/>
        <v>-600000000</v>
      </c>
      <c r="L38" s="427">
        <v>393480157.12</v>
      </c>
      <c r="M38" s="426">
        <v>9564783</v>
      </c>
      <c r="N38" s="494">
        <f t="shared" si="6"/>
        <v>0</v>
      </c>
      <c r="O38" s="422"/>
    </row>
    <row r="39" spans="1:15" x14ac:dyDescent="0.3">
      <c r="A39" s="437" t="s">
        <v>2507</v>
      </c>
      <c r="E39" s="438"/>
      <c r="F39" s="447">
        <f>SUM(F21:F38,F16)</f>
        <v>2038378670.4400001</v>
      </c>
      <c r="G39" s="449">
        <f t="shared" ref="G39:M39" si="10">SUM(G21:G38,G16)</f>
        <v>1656222517.21</v>
      </c>
      <c r="H39" s="449">
        <f t="shared" si="10"/>
        <v>2546342855.8399997</v>
      </c>
      <c r="I39" s="449">
        <f t="shared" si="10"/>
        <v>2458867145.8599997</v>
      </c>
      <c r="J39" s="449">
        <f t="shared" si="10"/>
        <v>-507964185.39999992</v>
      </c>
      <c r="K39" s="449">
        <f t="shared" si="10"/>
        <v>-802644628.6500001</v>
      </c>
      <c r="L39" s="449">
        <f t="shared" si="10"/>
        <v>2585847693.4099998</v>
      </c>
      <c r="M39" s="449">
        <f t="shared" si="10"/>
        <v>1672744618.74</v>
      </c>
      <c r="N39" s="449">
        <f>SUM(N21:N38,N16)</f>
        <v>-39504837.570000052</v>
      </c>
      <c r="O39" s="422"/>
    </row>
    <row r="40" spans="1:15" x14ac:dyDescent="0.3">
      <c r="A40" s="437" t="s">
        <v>2508</v>
      </c>
      <c r="E40" s="438"/>
      <c r="F40" s="453"/>
      <c r="G40" s="428"/>
      <c r="H40" s="428"/>
      <c r="I40" s="426"/>
      <c r="J40" s="426"/>
      <c r="K40" s="426"/>
      <c r="L40" s="427"/>
      <c r="M40" s="426"/>
      <c r="N40" s="428"/>
      <c r="O40" s="422"/>
    </row>
    <row r="41" spans="1:15" x14ac:dyDescent="0.3">
      <c r="A41" s="437" t="s">
        <v>2509</v>
      </c>
      <c r="E41" s="438"/>
      <c r="F41" s="429"/>
      <c r="G41" s="428"/>
      <c r="H41" s="428"/>
      <c r="I41" s="426"/>
      <c r="J41" s="426"/>
      <c r="K41" s="428"/>
      <c r="L41" s="426"/>
      <c r="M41" s="426"/>
      <c r="N41" s="428"/>
      <c r="O41" s="422"/>
    </row>
    <row r="42" spans="1:15" x14ac:dyDescent="0.3">
      <c r="A42" s="422"/>
      <c r="B42" s="472" t="s">
        <v>2510</v>
      </c>
      <c r="E42" s="438"/>
      <c r="F42" s="424"/>
      <c r="G42" s="427"/>
      <c r="H42" s="428"/>
      <c r="I42" s="426"/>
      <c r="J42" s="426"/>
      <c r="K42" s="426"/>
      <c r="L42" s="425"/>
      <c r="M42" s="426"/>
      <c r="N42" s="428"/>
      <c r="O42" s="422"/>
    </row>
    <row r="43" spans="1:15" x14ac:dyDescent="0.3">
      <c r="A43" s="422"/>
      <c r="B43" s="472"/>
      <c r="C43" s="423" t="s">
        <v>2511</v>
      </c>
      <c r="E43" s="438"/>
      <c r="F43" s="424">
        <v>305589107.97000003</v>
      </c>
      <c r="G43" s="433">
        <v>274852405.19999999</v>
      </c>
      <c r="H43" s="425">
        <v>287623368.13</v>
      </c>
      <c r="I43" s="430">
        <v>271983899</v>
      </c>
      <c r="J43" s="426">
        <f t="shared" ref="J43:K45" si="11">F43-H43</f>
        <v>17965739.840000033</v>
      </c>
      <c r="K43" s="426">
        <f t="shared" si="11"/>
        <v>2868506.1999999881</v>
      </c>
      <c r="L43" s="425">
        <v>245918410.30999997</v>
      </c>
      <c r="M43" s="431">
        <v>239243955.87000003</v>
      </c>
      <c r="N43" s="428">
        <f>+H43-L43</f>
        <v>41704957.820000023</v>
      </c>
      <c r="O43" s="422"/>
    </row>
    <row r="44" spans="1:15" x14ac:dyDescent="0.3">
      <c r="A44" s="422"/>
      <c r="B44" s="472"/>
      <c r="C44" s="423" t="s">
        <v>2512</v>
      </c>
      <c r="E44" s="438"/>
      <c r="F44" s="424">
        <v>238957148.87</v>
      </c>
      <c r="G44" s="433">
        <v>244717106.79999998</v>
      </c>
      <c r="H44" s="425">
        <v>309638699.32000005</v>
      </c>
      <c r="I44" s="430">
        <v>254311940.01000002</v>
      </c>
      <c r="J44" s="426">
        <f t="shared" si="11"/>
        <v>-70681550.450000048</v>
      </c>
      <c r="K44" s="426">
        <f t="shared" si="11"/>
        <v>-9594833.2100000381</v>
      </c>
      <c r="L44" s="425">
        <v>276370279.31</v>
      </c>
      <c r="M44" s="431">
        <v>234211268.22999999</v>
      </c>
      <c r="N44" s="428">
        <f t="shared" ref="N44:N59" si="12">+H44-L44</f>
        <v>33268420.01000005</v>
      </c>
      <c r="O44" s="422"/>
    </row>
    <row r="45" spans="1:15" x14ac:dyDescent="0.3">
      <c r="A45" s="422"/>
      <c r="B45" s="472"/>
      <c r="C45" s="423" t="s">
        <v>2513</v>
      </c>
      <c r="E45" s="438"/>
      <c r="F45" s="424">
        <v>3380000</v>
      </c>
      <c r="G45" s="425">
        <v>9446000</v>
      </c>
      <c r="H45" s="425">
        <v>13381128</v>
      </c>
      <c r="I45" s="430">
        <v>76131000</v>
      </c>
      <c r="J45" s="426">
        <f t="shared" si="11"/>
        <v>-10001128</v>
      </c>
      <c r="K45" s="426">
        <f t="shared" si="11"/>
        <v>-66685000</v>
      </c>
      <c r="L45" s="425">
        <v>7890975.5999999996</v>
      </c>
      <c r="M45" s="431">
        <v>14473179.380000001</v>
      </c>
      <c r="N45" s="428">
        <f t="shared" si="12"/>
        <v>5490152.4000000004</v>
      </c>
      <c r="O45" s="422"/>
    </row>
    <row r="46" spans="1:15" x14ac:dyDescent="0.3">
      <c r="A46" s="422"/>
      <c r="B46" s="472" t="s">
        <v>2514</v>
      </c>
      <c r="C46" s="472"/>
      <c r="E46" s="438"/>
      <c r="F46" s="424"/>
      <c r="G46" s="425"/>
      <c r="H46" s="428"/>
      <c r="I46" s="428"/>
      <c r="J46" s="426"/>
      <c r="K46" s="426"/>
      <c r="L46" s="425"/>
      <c r="M46" s="426"/>
      <c r="N46" s="428"/>
      <c r="O46" s="422"/>
    </row>
    <row r="47" spans="1:15" x14ac:dyDescent="0.3">
      <c r="A47" s="422"/>
      <c r="C47" s="423" t="s">
        <v>2511</v>
      </c>
      <c r="E47" s="438"/>
      <c r="F47" s="424"/>
      <c r="G47" s="425"/>
      <c r="H47" s="428"/>
      <c r="I47" s="428"/>
      <c r="J47" s="492">
        <f t="shared" ref="J47:K49" si="13">F47-H47</f>
        <v>0</v>
      </c>
      <c r="K47" s="426">
        <f t="shared" si="13"/>
        <v>0</v>
      </c>
      <c r="L47" s="425"/>
      <c r="M47" s="426"/>
      <c r="N47" s="494">
        <f t="shared" si="12"/>
        <v>0</v>
      </c>
      <c r="O47" s="422"/>
    </row>
    <row r="48" spans="1:15" x14ac:dyDescent="0.3">
      <c r="A48" s="422"/>
      <c r="C48" s="423" t="s">
        <v>2512</v>
      </c>
      <c r="E48" s="438"/>
      <c r="F48" s="432"/>
      <c r="G48" s="433"/>
      <c r="H48" s="430"/>
      <c r="I48" s="430"/>
      <c r="J48" s="492">
        <f t="shared" si="13"/>
        <v>0</v>
      </c>
      <c r="K48" s="426"/>
      <c r="L48" s="433"/>
      <c r="M48" s="431"/>
      <c r="N48" s="494">
        <f t="shared" si="12"/>
        <v>0</v>
      </c>
      <c r="O48" s="422"/>
    </row>
    <row r="49" spans="1:15" x14ac:dyDescent="0.3">
      <c r="A49" s="422"/>
      <c r="C49" s="423" t="s">
        <v>2513</v>
      </c>
      <c r="E49" s="438"/>
      <c r="F49" s="424"/>
      <c r="G49" s="425"/>
      <c r="H49" s="428"/>
      <c r="I49" s="428"/>
      <c r="J49" s="492">
        <f t="shared" si="13"/>
        <v>0</v>
      </c>
      <c r="K49" s="426"/>
      <c r="L49" s="425"/>
      <c r="M49" s="426"/>
      <c r="N49" s="494">
        <f t="shared" si="12"/>
        <v>0</v>
      </c>
      <c r="O49" s="422"/>
    </row>
    <row r="50" spans="1:15" x14ac:dyDescent="0.3">
      <c r="A50" s="422"/>
      <c r="B50" s="472" t="s">
        <v>2515</v>
      </c>
      <c r="E50" s="438"/>
      <c r="F50" s="432"/>
      <c r="G50" s="433"/>
      <c r="H50" s="430"/>
      <c r="I50" s="430"/>
      <c r="J50" s="426"/>
      <c r="K50" s="426"/>
      <c r="L50" s="433"/>
      <c r="M50" s="431"/>
      <c r="N50" s="428"/>
      <c r="O50" s="422"/>
    </row>
    <row r="51" spans="1:15" x14ac:dyDescent="0.3">
      <c r="A51" s="422"/>
      <c r="C51" s="423" t="s">
        <v>2511</v>
      </c>
      <c r="E51" s="438"/>
      <c r="F51" s="424">
        <v>61817706.119999997</v>
      </c>
      <c r="G51" s="433">
        <v>53662361.899999999</v>
      </c>
      <c r="H51" s="425">
        <v>63620004.640000001</v>
      </c>
      <c r="I51" s="430">
        <v>54027769.729999997</v>
      </c>
      <c r="J51" s="426">
        <f t="shared" ref="J51:J53" si="14">F51-H51</f>
        <v>-1802298.5200000033</v>
      </c>
      <c r="K51" s="426">
        <f>G51-I51</f>
        <v>-365407.82999999821</v>
      </c>
      <c r="L51" s="425">
        <v>55290153.140000008</v>
      </c>
      <c r="M51" s="431">
        <v>47047731.900000006</v>
      </c>
      <c r="N51" s="428">
        <f t="shared" si="12"/>
        <v>8329851.4999999925</v>
      </c>
      <c r="O51" s="422"/>
    </row>
    <row r="52" spans="1:15" x14ac:dyDescent="0.3">
      <c r="A52" s="422"/>
      <c r="C52" s="423" t="s">
        <v>2512</v>
      </c>
      <c r="E52" s="438"/>
      <c r="F52" s="424">
        <v>34188783.729999997</v>
      </c>
      <c r="G52" s="433">
        <v>29302211</v>
      </c>
      <c r="H52" s="425">
        <v>41596950.43</v>
      </c>
      <c r="I52" s="430">
        <v>37744801.579999998</v>
      </c>
      <c r="J52" s="426">
        <f t="shared" si="14"/>
        <v>-7408166.700000003</v>
      </c>
      <c r="K52" s="426">
        <f>G52-I52</f>
        <v>-8442590.5799999982</v>
      </c>
      <c r="L52" s="425">
        <v>37156085.620000005</v>
      </c>
      <c r="M52" s="431">
        <v>25637292.709999997</v>
      </c>
      <c r="N52" s="428">
        <f t="shared" si="12"/>
        <v>4440864.8099999949</v>
      </c>
      <c r="O52" s="422"/>
    </row>
    <row r="53" spans="1:15" x14ac:dyDescent="0.3">
      <c r="A53" s="422"/>
      <c r="C53" s="423" t="s">
        <v>2513</v>
      </c>
      <c r="E53" s="438"/>
      <c r="F53" s="495">
        <v>0</v>
      </c>
      <c r="G53" s="425">
        <v>864000</v>
      </c>
      <c r="H53" s="425">
        <v>860000</v>
      </c>
      <c r="I53" s="428">
        <v>864000</v>
      </c>
      <c r="J53" s="426">
        <f t="shared" si="14"/>
        <v>-860000</v>
      </c>
      <c r="K53" s="426">
        <f>G53-I53</f>
        <v>0</v>
      </c>
      <c r="L53" s="425">
        <v>378086</v>
      </c>
      <c r="M53" s="426">
        <v>776348</v>
      </c>
      <c r="N53" s="428">
        <f t="shared" si="12"/>
        <v>481914</v>
      </c>
      <c r="O53" s="422"/>
    </row>
    <row r="54" spans="1:15" x14ac:dyDescent="0.3">
      <c r="A54" s="422"/>
      <c r="B54" s="472" t="s">
        <v>2516</v>
      </c>
      <c r="C54" s="472"/>
      <c r="E54" s="438"/>
      <c r="F54" s="424"/>
      <c r="G54" s="427"/>
      <c r="H54" s="428"/>
      <c r="I54" s="426"/>
      <c r="J54" s="426"/>
      <c r="K54" s="426"/>
      <c r="L54" s="425"/>
      <c r="M54" s="426"/>
      <c r="N54" s="428"/>
      <c r="O54" s="422"/>
    </row>
    <row r="55" spans="1:15" x14ac:dyDescent="0.3">
      <c r="A55" s="422"/>
      <c r="C55" s="423" t="s">
        <v>2511</v>
      </c>
      <c r="E55" s="438"/>
      <c r="F55" s="432"/>
      <c r="G55" s="427"/>
      <c r="H55" s="430"/>
      <c r="I55" s="426"/>
      <c r="J55" s="492">
        <f t="shared" ref="J55:K57" si="15">F55-H55</f>
        <v>0</v>
      </c>
      <c r="K55" s="426">
        <f t="shared" si="15"/>
        <v>0</v>
      </c>
      <c r="L55" s="433"/>
      <c r="M55" s="426"/>
      <c r="N55" s="494">
        <f t="shared" si="12"/>
        <v>0</v>
      </c>
      <c r="O55" s="422"/>
    </row>
    <row r="56" spans="1:15" x14ac:dyDescent="0.3">
      <c r="A56" s="422"/>
      <c r="C56" s="423" t="s">
        <v>2512</v>
      </c>
      <c r="E56" s="438"/>
      <c r="F56" s="432"/>
      <c r="G56" s="454"/>
      <c r="H56" s="428"/>
      <c r="I56" s="455"/>
      <c r="J56" s="492">
        <f t="shared" si="15"/>
        <v>0</v>
      </c>
      <c r="K56" s="426">
        <f t="shared" si="15"/>
        <v>0</v>
      </c>
      <c r="L56" s="433"/>
      <c r="M56" s="426"/>
      <c r="N56" s="494">
        <f t="shared" si="12"/>
        <v>0</v>
      </c>
      <c r="O56" s="422"/>
    </row>
    <row r="57" spans="1:15" x14ac:dyDescent="0.3">
      <c r="A57" s="422"/>
      <c r="C57" s="423" t="s">
        <v>2513</v>
      </c>
      <c r="E57" s="438"/>
      <c r="F57" s="434"/>
      <c r="G57" s="428"/>
      <c r="H57" s="428"/>
      <c r="I57" s="426"/>
      <c r="J57" s="492">
        <f t="shared" si="15"/>
        <v>0</v>
      </c>
      <c r="K57" s="426">
        <f t="shared" si="15"/>
        <v>0</v>
      </c>
      <c r="L57" s="433"/>
      <c r="M57" s="426"/>
      <c r="N57" s="494">
        <f t="shared" si="12"/>
        <v>0</v>
      </c>
      <c r="O57" s="422"/>
    </row>
    <row r="58" spans="1:15" x14ac:dyDescent="0.3">
      <c r="A58" s="422"/>
      <c r="B58" s="472" t="s">
        <v>2517</v>
      </c>
      <c r="C58" s="472"/>
      <c r="E58" s="438"/>
      <c r="F58" s="429"/>
      <c r="G58" s="428"/>
      <c r="H58" s="428"/>
      <c r="I58" s="426"/>
      <c r="J58" s="426"/>
      <c r="K58" s="428"/>
      <c r="L58" s="426"/>
      <c r="M58" s="426"/>
      <c r="N58" s="428"/>
      <c r="O58" s="422"/>
    </row>
    <row r="59" spans="1:15" x14ac:dyDescent="0.3">
      <c r="A59" s="422"/>
      <c r="C59" s="423" t="s">
        <v>2511</v>
      </c>
      <c r="E59" s="438"/>
      <c r="F59" s="434"/>
      <c r="G59" s="456"/>
      <c r="H59" s="428"/>
      <c r="I59" s="455"/>
      <c r="J59" s="492">
        <f t="shared" ref="J59:K61" si="16">F59-H59</f>
        <v>0</v>
      </c>
      <c r="K59" s="428">
        <f t="shared" si="16"/>
        <v>0</v>
      </c>
      <c r="L59" s="431"/>
      <c r="M59" s="426"/>
      <c r="N59" s="494">
        <f t="shared" si="12"/>
        <v>0</v>
      </c>
      <c r="O59" s="422"/>
    </row>
    <row r="60" spans="1:15" x14ac:dyDescent="0.3">
      <c r="A60" s="422"/>
      <c r="C60" s="423" t="s">
        <v>2512</v>
      </c>
      <c r="E60" s="438"/>
      <c r="F60" s="434"/>
      <c r="G60" s="456"/>
      <c r="H60" s="428"/>
      <c r="I60" s="455"/>
      <c r="J60" s="492">
        <f t="shared" si="16"/>
        <v>0</v>
      </c>
      <c r="K60" s="428">
        <f t="shared" si="16"/>
        <v>0</v>
      </c>
      <c r="L60" s="431"/>
      <c r="M60" s="426"/>
      <c r="N60" s="494">
        <f t="shared" ref="N60:N85" si="17">+H60-L60</f>
        <v>0</v>
      </c>
      <c r="O60" s="422"/>
    </row>
    <row r="61" spans="1:15" x14ac:dyDescent="0.3">
      <c r="A61" s="422"/>
      <c r="C61" s="423" t="s">
        <v>2513</v>
      </c>
      <c r="E61" s="438"/>
      <c r="F61" s="434"/>
      <c r="G61" s="456"/>
      <c r="H61" s="428"/>
      <c r="I61" s="455"/>
      <c r="J61" s="492">
        <f t="shared" si="16"/>
        <v>0</v>
      </c>
      <c r="K61" s="426">
        <f t="shared" si="16"/>
        <v>0</v>
      </c>
      <c r="L61" s="433"/>
      <c r="M61" s="426"/>
      <c r="N61" s="494">
        <f t="shared" si="17"/>
        <v>0</v>
      </c>
      <c r="O61" s="422"/>
    </row>
    <row r="62" spans="1:15" x14ac:dyDescent="0.3">
      <c r="A62" s="422"/>
      <c r="B62" s="472" t="s">
        <v>2518</v>
      </c>
      <c r="E62" s="438"/>
      <c r="F62" s="429"/>
      <c r="G62" s="439"/>
      <c r="H62" s="428"/>
      <c r="I62" s="426"/>
      <c r="J62" s="426"/>
      <c r="K62" s="426"/>
      <c r="L62" s="425"/>
      <c r="M62" s="426"/>
      <c r="N62" s="428"/>
      <c r="O62" s="422"/>
    </row>
    <row r="63" spans="1:15" x14ac:dyDescent="0.3">
      <c r="A63" s="422"/>
      <c r="C63" s="423" t="s">
        <v>2511</v>
      </c>
      <c r="E63" s="438"/>
      <c r="F63" s="424">
        <v>18968433.440000001</v>
      </c>
      <c r="G63" s="433">
        <v>16749565.76</v>
      </c>
      <c r="H63" s="425">
        <v>19297565.539999999</v>
      </c>
      <c r="I63" s="430">
        <v>16485149.24</v>
      </c>
      <c r="J63" s="426">
        <f>+F63-H63</f>
        <v>-329132.09999999776</v>
      </c>
      <c r="K63" s="426">
        <f>+G63-I63</f>
        <v>264416.51999999955</v>
      </c>
      <c r="L63" s="425">
        <v>15477806.609999999</v>
      </c>
      <c r="M63" s="431">
        <v>14109581.550000001</v>
      </c>
      <c r="N63" s="428">
        <f t="shared" si="17"/>
        <v>3819758.9299999997</v>
      </c>
      <c r="O63" s="422"/>
    </row>
    <row r="64" spans="1:15" x14ac:dyDescent="0.3">
      <c r="A64" s="422"/>
      <c r="C64" s="423" t="s">
        <v>2512</v>
      </c>
      <c r="E64" s="438"/>
      <c r="F64" s="424">
        <v>28194366.23</v>
      </c>
      <c r="G64" s="433">
        <v>26684076.48</v>
      </c>
      <c r="H64" s="425">
        <v>37264485.399999999</v>
      </c>
      <c r="I64" s="430">
        <v>37924585.670000002</v>
      </c>
      <c r="J64" s="426">
        <f>+F64-H64</f>
        <v>-9070119.1699999981</v>
      </c>
      <c r="K64" s="426">
        <f>+G64-I64</f>
        <v>-11240509.190000001</v>
      </c>
      <c r="L64" s="425">
        <v>35394636.149999999</v>
      </c>
      <c r="M64" s="431">
        <v>35595275.839999996</v>
      </c>
      <c r="N64" s="428">
        <f t="shared" si="17"/>
        <v>1869849.25</v>
      </c>
      <c r="O64" s="422"/>
    </row>
    <row r="65" spans="1:15" x14ac:dyDescent="0.3">
      <c r="A65" s="422"/>
      <c r="C65" s="423" t="s">
        <v>2513</v>
      </c>
      <c r="E65" s="438"/>
      <c r="F65" s="424"/>
      <c r="G65" s="433"/>
      <c r="H65" s="425"/>
      <c r="I65" s="430">
        <v>2010000</v>
      </c>
      <c r="J65" s="492">
        <f>F65-H65</f>
        <v>0</v>
      </c>
      <c r="K65" s="426">
        <f>G65-I65</f>
        <v>-2010000</v>
      </c>
      <c r="L65" s="425"/>
      <c r="M65" s="431">
        <v>1788696.4</v>
      </c>
      <c r="N65" s="494">
        <f t="shared" si="17"/>
        <v>0</v>
      </c>
      <c r="O65" s="422"/>
    </row>
    <row r="66" spans="1:15" x14ac:dyDescent="0.3">
      <c r="A66" s="422"/>
      <c r="B66" s="472" t="s">
        <v>2519</v>
      </c>
      <c r="C66" s="472"/>
      <c r="E66" s="438"/>
      <c r="F66" s="424"/>
      <c r="G66" s="425"/>
      <c r="H66" s="425"/>
      <c r="I66" s="428"/>
      <c r="J66" s="426"/>
      <c r="K66" s="426"/>
      <c r="L66" s="425"/>
      <c r="M66" s="426"/>
      <c r="N66" s="428"/>
      <c r="O66" s="422"/>
    </row>
    <row r="67" spans="1:15" x14ac:dyDescent="0.3">
      <c r="A67" s="422"/>
      <c r="C67" s="423" t="s">
        <v>2511</v>
      </c>
      <c r="E67" s="438"/>
      <c r="F67" s="424">
        <v>85005872.24000001</v>
      </c>
      <c r="G67" s="433">
        <v>78418085.239999995</v>
      </c>
      <c r="H67" s="425">
        <v>84404181.870000005</v>
      </c>
      <c r="I67" s="430">
        <v>74912063.900000006</v>
      </c>
      <c r="J67" s="426">
        <f t="shared" ref="J67:K69" si="18">F67-H67</f>
        <v>601690.37000000477</v>
      </c>
      <c r="K67" s="426">
        <f t="shared" si="18"/>
        <v>3506021.3399999887</v>
      </c>
      <c r="L67" s="425">
        <v>70228950.909999996</v>
      </c>
      <c r="M67" s="431">
        <v>62314376.089999989</v>
      </c>
      <c r="N67" s="428">
        <f t="shared" si="17"/>
        <v>14175230.960000008</v>
      </c>
      <c r="O67" s="422"/>
    </row>
    <row r="68" spans="1:15" x14ac:dyDescent="0.3">
      <c r="A68" s="422"/>
      <c r="C68" s="423" t="s">
        <v>2512</v>
      </c>
      <c r="E68" s="438"/>
      <c r="F68" s="424">
        <v>138340090.45000002</v>
      </c>
      <c r="G68" s="433">
        <v>142076388.15000001</v>
      </c>
      <c r="H68" s="425">
        <v>199877895.01000002</v>
      </c>
      <c r="I68" s="430">
        <v>151280177.14000002</v>
      </c>
      <c r="J68" s="426">
        <f t="shared" si="18"/>
        <v>-61537804.560000002</v>
      </c>
      <c r="K68" s="426">
        <f t="shared" si="18"/>
        <v>-9203788.9900000095</v>
      </c>
      <c r="L68" s="425">
        <v>159612222.76999998</v>
      </c>
      <c r="M68" s="431">
        <v>119030896.34999999</v>
      </c>
      <c r="N68" s="428">
        <f t="shared" si="17"/>
        <v>40265672.240000039</v>
      </c>
      <c r="O68" s="422"/>
    </row>
    <row r="69" spans="1:15" x14ac:dyDescent="0.3">
      <c r="A69" s="422"/>
      <c r="C69" s="423" t="s">
        <v>2513</v>
      </c>
      <c r="E69" s="438"/>
      <c r="F69" s="424">
        <v>5485000</v>
      </c>
      <c r="G69" s="433">
        <v>164165000</v>
      </c>
      <c r="H69" s="425">
        <v>177775000</v>
      </c>
      <c r="I69" s="430">
        <v>618869818.75999999</v>
      </c>
      <c r="J69" s="426">
        <f t="shared" si="18"/>
        <v>-172290000</v>
      </c>
      <c r="K69" s="426">
        <f t="shared" si="18"/>
        <v>-454704818.75999999</v>
      </c>
      <c r="L69" s="425">
        <v>3247275.35</v>
      </c>
      <c r="M69" s="431">
        <v>55892241.420000002</v>
      </c>
      <c r="N69" s="428">
        <f t="shared" si="17"/>
        <v>174527724.65000001</v>
      </c>
      <c r="O69" s="422"/>
    </row>
    <row r="70" spans="1:15" x14ac:dyDescent="0.3">
      <c r="A70" s="422"/>
      <c r="B70" s="472" t="s">
        <v>2520</v>
      </c>
      <c r="C70" s="510"/>
      <c r="D70" s="511"/>
      <c r="E70" s="457"/>
      <c r="F70" s="424"/>
      <c r="G70" s="427"/>
      <c r="H70" s="428"/>
      <c r="I70" s="428"/>
      <c r="J70" s="426"/>
      <c r="K70" s="426"/>
      <c r="L70" s="425"/>
      <c r="M70" s="426"/>
      <c r="N70" s="428"/>
      <c r="O70" s="422"/>
    </row>
    <row r="71" spans="1:15" x14ac:dyDescent="0.3">
      <c r="A71" s="422"/>
      <c r="C71" s="423" t="s">
        <v>2521</v>
      </c>
      <c r="E71" s="438"/>
      <c r="F71" s="424"/>
      <c r="G71" s="427"/>
      <c r="H71" s="428"/>
      <c r="I71" s="428"/>
      <c r="J71" s="426"/>
      <c r="K71" s="426"/>
      <c r="L71" s="425"/>
      <c r="M71" s="426"/>
      <c r="N71" s="428"/>
      <c r="O71" s="422"/>
    </row>
    <row r="72" spans="1:15" x14ac:dyDescent="0.3">
      <c r="A72" s="422"/>
      <c r="D72" s="423" t="s">
        <v>2522</v>
      </c>
      <c r="E72" s="438"/>
      <c r="F72" s="432">
        <v>66409428.560000002</v>
      </c>
      <c r="G72" s="435">
        <v>45965580.939999998</v>
      </c>
      <c r="H72" s="430">
        <v>72702013.070000008</v>
      </c>
      <c r="I72" s="430">
        <v>49108874.439999998</v>
      </c>
      <c r="J72" s="426">
        <f>F72-H72</f>
        <v>-6292584.5100000054</v>
      </c>
      <c r="K72" s="426">
        <f>G72-I72</f>
        <v>-3143293.5</v>
      </c>
      <c r="L72" s="433">
        <v>21498605.43</v>
      </c>
      <c r="M72" s="431">
        <v>10687840.5</v>
      </c>
      <c r="N72" s="428">
        <f t="shared" si="17"/>
        <v>51203407.640000008</v>
      </c>
      <c r="O72" s="422"/>
    </row>
    <row r="73" spans="1:15" x14ac:dyDescent="0.3">
      <c r="A73" s="422"/>
      <c r="D73" s="423" t="s">
        <v>2523</v>
      </c>
      <c r="E73" s="438"/>
      <c r="F73" s="432"/>
      <c r="G73" s="435"/>
      <c r="H73" s="430"/>
      <c r="I73" s="430"/>
      <c r="J73" s="492">
        <f>F73-H73</f>
        <v>0</v>
      </c>
      <c r="K73" s="426">
        <f>G73-I73</f>
        <v>0</v>
      </c>
      <c r="L73" s="433">
        <v>32681550.449999999</v>
      </c>
      <c r="M73" s="431">
        <v>27653353.720000003</v>
      </c>
      <c r="N73" s="428">
        <f t="shared" si="17"/>
        <v>-32681550.449999999</v>
      </c>
      <c r="O73" s="422"/>
    </row>
    <row r="74" spans="1:15" x14ac:dyDescent="0.3">
      <c r="A74" s="422"/>
      <c r="C74" s="423" t="s">
        <v>2524</v>
      </c>
      <c r="E74" s="438"/>
      <c r="F74" s="424"/>
      <c r="G74" s="427"/>
      <c r="H74" s="428"/>
      <c r="I74" s="428"/>
      <c r="J74" s="426"/>
      <c r="K74" s="426"/>
      <c r="L74" s="425"/>
      <c r="M74" s="426"/>
      <c r="N74" s="428"/>
      <c r="O74" s="422"/>
    </row>
    <row r="75" spans="1:15" x14ac:dyDescent="0.3">
      <c r="A75" s="422"/>
      <c r="D75" s="423" t="s">
        <v>2512</v>
      </c>
      <c r="E75" s="438"/>
      <c r="F75" s="424">
        <v>25727698.079999998</v>
      </c>
      <c r="G75" s="433">
        <v>29003941.759999998</v>
      </c>
      <c r="H75" s="426">
        <v>32228847.43</v>
      </c>
      <c r="I75" s="430">
        <v>58628415.030000001</v>
      </c>
      <c r="J75" s="426">
        <f>+F75-H75</f>
        <v>-6501149.3500000015</v>
      </c>
      <c r="K75" s="426">
        <f>+G75-I75</f>
        <v>-29624473.270000003</v>
      </c>
      <c r="L75" s="425">
        <v>28653191.710000001</v>
      </c>
      <c r="M75" s="431">
        <v>51789959.030000001</v>
      </c>
      <c r="N75" s="428">
        <f t="shared" si="17"/>
        <v>3575655.7199999988</v>
      </c>
      <c r="O75" s="422"/>
    </row>
    <row r="76" spans="1:15" x14ac:dyDescent="0.3">
      <c r="A76" s="422"/>
      <c r="D76" s="423" t="s">
        <v>2513</v>
      </c>
      <c r="E76" s="438"/>
      <c r="F76" s="424">
        <v>32697962.18</v>
      </c>
      <c r="G76" s="433">
        <v>26342530.789999999</v>
      </c>
      <c r="H76" s="426">
        <v>44400000</v>
      </c>
      <c r="I76" s="430">
        <v>14704025.26</v>
      </c>
      <c r="J76" s="426">
        <f>+F76-H76</f>
        <v>-11702037.82</v>
      </c>
      <c r="K76" s="426">
        <f>+G76-I76</f>
        <v>11638505.529999999</v>
      </c>
      <c r="L76" s="425">
        <v>2560247.4500000002</v>
      </c>
      <c r="M76" s="426"/>
      <c r="N76" s="428">
        <f t="shared" si="17"/>
        <v>41839752.549999997</v>
      </c>
      <c r="O76" s="422"/>
    </row>
    <row r="77" spans="1:15" x14ac:dyDescent="0.3">
      <c r="A77" s="422"/>
      <c r="C77" s="423" t="s">
        <v>2525</v>
      </c>
      <c r="E77" s="438"/>
      <c r="F77" s="424"/>
      <c r="G77" s="425"/>
      <c r="H77" s="426"/>
      <c r="I77" s="428"/>
      <c r="J77" s="426"/>
      <c r="K77" s="426"/>
      <c r="L77" s="425"/>
      <c r="M77" s="426"/>
      <c r="N77" s="428"/>
      <c r="O77" s="422"/>
    </row>
    <row r="78" spans="1:15" x14ac:dyDescent="0.3">
      <c r="A78" s="422"/>
      <c r="D78" s="423" t="s">
        <v>2512</v>
      </c>
      <c r="E78" s="438"/>
      <c r="F78" s="424"/>
      <c r="G78" s="433"/>
      <c r="H78" s="426"/>
      <c r="I78" s="428"/>
      <c r="J78" s="492">
        <f>F78-H78</f>
        <v>0</v>
      </c>
      <c r="K78" s="426">
        <f>G78-I78</f>
        <v>0</v>
      </c>
      <c r="L78" s="425"/>
      <c r="M78" s="431">
        <v>423852.48000000004</v>
      </c>
      <c r="N78" s="494">
        <f t="shared" si="17"/>
        <v>0</v>
      </c>
      <c r="O78" s="422"/>
    </row>
    <row r="79" spans="1:15" x14ac:dyDescent="0.3">
      <c r="A79" s="496"/>
      <c r="B79" s="497"/>
      <c r="C79" s="497"/>
      <c r="D79" s="497" t="s">
        <v>2513</v>
      </c>
      <c r="E79" s="498"/>
      <c r="F79" s="445">
        <v>178100000</v>
      </c>
      <c r="G79" s="499">
        <v>11000000</v>
      </c>
      <c r="H79" s="458">
        <v>257100000</v>
      </c>
      <c r="I79" s="500">
        <v>195599800</v>
      </c>
      <c r="J79" s="458">
        <f>F79-H79</f>
        <v>-79000000</v>
      </c>
      <c r="K79" s="458">
        <f>G79-I79</f>
        <v>-184599800</v>
      </c>
      <c r="L79" s="446">
        <v>65684752.890000008</v>
      </c>
      <c r="M79" s="501">
        <v>132959247.60999998</v>
      </c>
      <c r="N79" s="458">
        <f t="shared" si="17"/>
        <v>191415247.10999998</v>
      </c>
      <c r="O79" s="422"/>
    </row>
    <row r="80" spans="1:15" x14ac:dyDescent="0.3">
      <c r="A80" s="422"/>
      <c r="C80" s="423" t="s">
        <v>2526</v>
      </c>
      <c r="E80" s="438"/>
      <c r="F80" s="424"/>
      <c r="G80" s="427"/>
      <c r="H80" s="428"/>
      <c r="I80" s="428"/>
      <c r="J80" s="426"/>
      <c r="K80" s="426"/>
      <c r="L80" s="425"/>
      <c r="M80" s="426"/>
      <c r="N80" s="428"/>
      <c r="O80" s="422"/>
    </row>
    <row r="81" spans="1:15" x14ac:dyDescent="0.3">
      <c r="A81" s="422"/>
      <c r="D81" s="423" t="s">
        <v>2512</v>
      </c>
      <c r="E81" s="438"/>
      <c r="F81" s="424"/>
      <c r="G81" s="427"/>
      <c r="H81" s="428"/>
      <c r="I81" s="428"/>
      <c r="J81" s="492">
        <f>F81-H81</f>
        <v>0</v>
      </c>
      <c r="K81" s="426">
        <f>G81-I81</f>
        <v>0</v>
      </c>
      <c r="L81" s="425"/>
      <c r="M81" s="426"/>
      <c r="N81" s="494">
        <f t="shared" si="17"/>
        <v>0</v>
      </c>
      <c r="O81" s="422"/>
    </row>
    <row r="82" spans="1:15" x14ac:dyDescent="0.3">
      <c r="A82" s="422"/>
      <c r="D82" s="423" t="s">
        <v>2513</v>
      </c>
      <c r="E82" s="438"/>
      <c r="F82" s="424"/>
      <c r="G82" s="427"/>
      <c r="H82" s="428"/>
      <c r="I82" s="428"/>
      <c r="J82" s="492">
        <f>F82-H82</f>
        <v>0</v>
      </c>
      <c r="K82" s="426">
        <f>G82-I82</f>
        <v>0</v>
      </c>
      <c r="L82" s="425"/>
      <c r="M82" s="426"/>
      <c r="N82" s="494">
        <f t="shared" si="17"/>
        <v>0</v>
      </c>
      <c r="O82" s="422"/>
    </row>
    <row r="83" spans="1:15" x14ac:dyDescent="0.3">
      <c r="A83" s="422"/>
      <c r="C83" s="423" t="s">
        <v>2527</v>
      </c>
      <c r="E83" s="438"/>
      <c r="F83" s="424"/>
      <c r="G83" s="427"/>
      <c r="H83" s="428"/>
      <c r="I83" s="428"/>
      <c r="J83" s="426"/>
      <c r="K83" s="426"/>
      <c r="L83" s="425"/>
      <c r="M83" s="426"/>
      <c r="N83" s="428"/>
      <c r="O83" s="422"/>
    </row>
    <row r="84" spans="1:15" x14ac:dyDescent="0.3">
      <c r="A84" s="422"/>
      <c r="D84" s="423" t="s">
        <v>2512</v>
      </c>
      <c r="E84" s="438"/>
      <c r="F84" s="424"/>
      <c r="G84" s="427"/>
      <c r="H84" s="426"/>
      <c r="I84" s="428"/>
      <c r="J84" s="492">
        <f>F84-H84</f>
        <v>0</v>
      </c>
      <c r="K84" s="426">
        <f>G84-I84</f>
        <v>0</v>
      </c>
      <c r="L84" s="425"/>
      <c r="M84" s="426"/>
      <c r="N84" s="494">
        <f t="shared" si="17"/>
        <v>0</v>
      </c>
      <c r="O84" s="422"/>
    </row>
    <row r="85" spans="1:15" x14ac:dyDescent="0.3">
      <c r="A85" s="422"/>
      <c r="D85" s="423" t="s">
        <v>2513</v>
      </c>
      <c r="E85" s="438"/>
      <c r="F85" s="424"/>
      <c r="G85" s="427"/>
      <c r="H85" s="426"/>
      <c r="I85" s="428"/>
      <c r="J85" s="492">
        <f>F85-H85</f>
        <v>0</v>
      </c>
      <c r="K85" s="426">
        <f>G85-I85</f>
        <v>0</v>
      </c>
      <c r="L85" s="425"/>
      <c r="M85" s="426"/>
      <c r="N85" s="494">
        <f t="shared" si="17"/>
        <v>0</v>
      </c>
      <c r="O85" s="422"/>
    </row>
    <row r="86" spans="1:15" x14ac:dyDescent="0.3">
      <c r="A86" s="422"/>
      <c r="C86" s="423" t="s">
        <v>2528</v>
      </c>
      <c r="E86" s="438"/>
      <c r="F86" s="424"/>
      <c r="G86" s="427"/>
      <c r="H86" s="426"/>
      <c r="I86" s="428"/>
      <c r="J86" s="426"/>
      <c r="K86" s="426"/>
      <c r="L86" s="425"/>
      <c r="M86" s="426"/>
      <c r="N86" s="428"/>
      <c r="O86" s="422"/>
    </row>
    <row r="87" spans="1:15" x14ac:dyDescent="0.3">
      <c r="A87" s="422"/>
      <c r="D87" s="423" t="s">
        <v>2511</v>
      </c>
      <c r="E87" s="438"/>
      <c r="F87" s="424"/>
      <c r="G87" s="433"/>
      <c r="H87" s="426"/>
      <c r="I87" s="430"/>
      <c r="J87" s="492">
        <f t="shared" ref="J87:K89" si="19">F87-H87</f>
        <v>0</v>
      </c>
      <c r="K87" s="426">
        <f t="shared" si="19"/>
        <v>0</v>
      </c>
      <c r="L87" s="425"/>
      <c r="M87" s="431"/>
      <c r="N87" s="494">
        <f>+H87-L87</f>
        <v>0</v>
      </c>
      <c r="O87" s="422"/>
    </row>
    <row r="88" spans="1:15" x14ac:dyDescent="0.3">
      <c r="A88" s="422"/>
      <c r="D88" s="423" t="s">
        <v>2512</v>
      </c>
      <c r="E88" s="438"/>
      <c r="F88" s="424">
        <v>13836810.51</v>
      </c>
      <c r="G88" s="433">
        <v>31912389.989999998</v>
      </c>
      <c r="H88" s="426">
        <v>115694620.76000001</v>
      </c>
      <c r="I88" s="430">
        <v>91667384.920000002</v>
      </c>
      <c r="J88" s="426">
        <f t="shared" si="19"/>
        <v>-101857810.25</v>
      </c>
      <c r="K88" s="426">
        <f t="shared" si="19"/>
        <v>-59754994.930000007</v>
      </c>
      <c r="L88" s="425">
        <v>110536392.66</v>
      </c>
      <c r="M88" s="431">
        <v>90063494.969999999</v>
      </c>
      <c r="N88" s="428">
        <f>+H88-L88</f>
        <v>5158228.1000000089</v>
      </c>
      <c r="O88" s="422"/>
    </row>
    <row r="89" spans="1:15" x14ac:dyDescent="0.3">
      <c r="A89" s="422"/>
      <c r="D89" s="423" t="s">
        <v>2513</v>
      </c>
      <c r="E89" s="438"/>
      <c r="F89" s="436"/>
      <c r="G89" s="435"/>
      <c r="H89" s="428"/>
      <c r="I89" s="428"/>
      <c r="J89" s="492">
        <f t="shared" si="19"/>
        <v>0</v>
      </c>
      <c r="K89" s="458">
        <f t="shared" si="19"/>
        <v>0</v>
      </c>
      <c r="L89" s="433"/>
      <c r="M89" s="431"/>
      <c r="N89" s="494">
        <f>+H89-L89</f>
        <v>0</v>
      </c>
      <c r="O89" s="422"/>
    </row>
    <row r="90" spans="1:15" x14ac:dyDescent="0.3">
      <c r="A90" s="422"/>
      <c r="C90" s="472" t="s">
        <v>2529</v>
      </c>
      <c r="E90" s="438"/>
      <c r="F90" s="459">
        <f>SUM(F43:F89)</f>
        <v>1236698408.3800001</v>
      </c>
      <c r="G90" s="451">
        <f t="shared" ref="G90:N90" si="20">SUM(G43:G89)</f>
        <v>1185161644.01</v>
      </c>
      <c r="H90" s="451">
        <f t="shared" si="20"/>
        <v>1757464759.5999999</v>
      </c>
      <c r="I90" s="449">
        <f t="shared" si="20"/>
        <v>2006253704.6800001</v>
      </c>
      <c r="J90" s="449">
        <f>SUM(J43:J89)</f>
        <v>-520766351.22000003</v>
      </c>
      <c r="K90" s="451">
        <f>SUM(K43:K89)</f>
        <v>-821092060.67000008</v>
      </c>
      <c r="L90" s="449">
        <f>SUM(L43:L89)</f>
        <v>1168579622.3600001</v>
      </c>
      <c r="M90" s="449">
        <f t="shared" si="20"/>
        <v>1163698592.05</v>
      </c>
      <c r="N90" s="451">
        <f t="shared" si="20"/>
        <v>588885137.24000013</v>
      </c>
      <c r="O90" s="422"/>
    </row>
    <row r="91" spans="1:15" x14ac:dyDescent="0.3">
      <c r="A91" s="437" t="s">
        <v>2530</v>
      </c>
      <c r="E91" s="438"/>
      <c r="F91" s="429"/>
      <c r="G91" s="428"/>
      <c r="H91" s="428"/>
      <c r="I91" s="426"/>
      <c r="J91" s="426"/>
      <c r="K91" s="428"/>
      <c r="L91" s="426"/>
      <c r="M91" s="426"/>
      <c r="N91" s="428"/>
      <c r="O91" s="422"/>
    </row>
    <row r="92" spans="1:15" x14ac:dyDescent="0.3">
      <c r="A92" s="422"/>
      <c r="B92" s="472" t="s">
        <v>2510</v>
      </c>
      <c r="E92" s="438"/>
      <c r="F92" s="429"/>
      <c r="G92" s="428"/>
      <c r="H92" s="428"/>
      <c r="I92" s="426"/>
      <c r="J92" s="426"/>
      <c r="K92" s="428"/>
      <c r="L92" s="426"/>
      <c r="M92" s="426"/>
      <c r="N92" s="428"/>
      <c r="O92" s="422"/>
    </row>
    <row r="93" spans="1:15" x14ac:dyDescent="0.3">
      <c r="A93" s="422"/>
      <c r="C93" s="423" t="s">
        <v>2513</v>
      </c>
      <c r="E93" s="438"/>
      <c r="F93" s="429">
        <v>22991434.830000002</v>
      </c>
      <c r="G93" s="428">
        <v>69919676.039999992</v>
      </c>
      <c r="H93" s="428">
        <v>22908098.310000002</v>
      </c>
      <c r="I93" s="426">
        <v>67859676.040000007</v>
      </c>
      <c r="J93" s="426">
        <f>F93-H93</f>
        <v>83336.519999999553</v>
      </c>
      <c r="K93" s="428">
        <f>G93-I93</f>
        <v>2059999.9999999851</v>
      </c>
      <c r="L93" s="426">
        <v>6210476.04</v>
      </c>
      <c r="M93" s="426">
        <v>45365119.600000001</v>
      </c>
      <c r="N93" s="428">
        <f>H93-L93</f>
        <v>16697622.270000003</v>
      </c>
      <c r="O93" s="422"/>
    </row>
    <row r="94" spans="1:15" x14ac:dyDescent="0.3">
      <c r="A94" s="422"/>
      <c r="B94" s="472" t="s">
        <v>2514</v>
      </c>
      <c r="E94" s="438"/>
      <c r="F94" s="429"/>
      <c r="G94" s="428"/>
      <c r="H94" s="428"/>
      <c r="I94" s="426"/>
      <c r="J94" s="426"/>
      <c r="K94" s="428"/>
      <c r="L94" s="426"/>
      <c r="M94" s="426"/>
      <c r="N94" s="428"/>
      <c r="O94" s="422"/>
    </row>
    <row r="95" spans="1:15" x14ac:dyDescent="0.3">
      <c r="A95" s="422"/>
      <c r="C95" s="423" t="s">
        <v>2513</v>
      </c>
      <c r="E95" s="438"/>
      <c r="F95" s="429"/>
      <c r="G95" s="428"/>
      <c r="H95" s="428"/>
      <c r="I95" s="426"/>
      <c r="J95" s="492">
        <f>F95-H95</f>
        <v>0</v>
      </c>
      <c r="K95" s="428">
        <f>G95-I95</f>
        <v>0</v>
      </c>
      <c r="L95" s="426"/>
      <c r="M95" s="426"/>
      <c r="N95" s="494">
        <f>H95-L95</f>
        <v>0</v>
      </c>
      <c r="O95" s="422"/>
    </row>
    <row r="96" spans="1:15" x14ac:dyDescent="0.3">
      <c r="A96" s="422"/>
      <c r="B96" s="472" t="s">
        <v>2515</v>
      </c>
      <c r="E96" s="438"/>
      <c r="F96" s="429"/>
      <c r="G96" s="428"/>
      <c r="H96" s="428"/>
      <c r="I96" s="426"/>
      <c r="J96" s="426"/>
      <c r="K96" s="428"/>
      <c r="L96" s="426"/>
      <c r="M96" s="426"/>
      <c r="N96" s="428"/>
      <c r="O96" s="422"/>
    </row>
    <row r="97" spans="1:15" x14ac:dyDescent="0.3">
      <c r="A97" s="422"/>
      <c r="C97" s="423" t="s">
        <v>2513</v>
      </c>
      <c r="E97" s="438"/>
      <c r="F97" s="429">
        <v>200600</v>
      </c>
      <c r="G97" s="428">
        <v>457920.15</v>
      </c>
      <c r="H97" s="428">
        <v>200600</v>
      </c>
      <c r="I97" s="426">
        <v>457920.15</v>
      </c>
      <c r="J97" s="492">
        <f>F97-H97</f>
        <v>0</v>
      </c>
      <c r="K97" s="428">
        <f>G97-I97</f>
        <v>0</v>
      </c>
      <c r="L97" s="426"/>
      <c r="M97" s="426">
        <v>144760</v>
      </c>
      <c r="N97" s="428">
        <f>H97-L97</f>
        <v>200600</v>
      </c>
      <c r="O97" s="422"/>
    </row>
    <row r="98" spans="1:15" x14ac:dyDescent="0.3">
      <c r="A98" s="422"/>
      <c r="B98" s="472" t="s">
        <v>2516</v>
      </c>
      <c r="E98" s="438"/>
      <c r="F98" s="429"/>
      <c r="G98" s="428"/>
      <c r="H98" s="428"/>
      <c r="I98" s="426"/>
      <c r="J98" s="426"/>
      <c r="K98" s="428"/>
      <c r="L98" s="426"/>
      <c r="M98" s="426"/>
      <c r="N98" s="428"/>
      <c r="O98" s="422"/>
    </row>
    <row r="99" spans="1:15" x14ac:dyDescent="0.3">
      <c r="A99" s="422"/>
      <c r="B99" s="472"/>
      <c r="C99" s="423" t="s">
        <v>2513</v>
      </c>
      <c r="E99" s="438"/>
      <c r="F99" s="429"/>
      <c r="G99" s="428"/>
      <c r="H99" s="428"/>
      <c r="I99" s="426"/>
      <c r="J99" s="492">
        <f>F99-H99</f>
        <v>0</v>
      </c>
      <c r="K99" s="428">
        <f>G99-I99</f>
        <v>0</v>
      </c>
      <c r="L99" s="426"/>
      <c r="M99" s="426"/>
      <c r="N99" s="494">
        <f>H99-L99</f>
        <v>0</v>
      </c>
      <c r="O99" s="422"/>
    </row>
    <row r="100" spans="1:15" x14ac:dyDescent="0.3">
      <c r="A100" s="422"/>
      <c r="B100" s="472" t="s">
        <v>2517</v>
      </c>
      <c r="E100" s="438"/>
      <c r="F100" s="429"/>
      <c r="G100" s="428"/>
      <c r="H100" s="428"/>
      <c r="I100" s="426"/>
      <c r="J100" s="426"/>
      <c r="K100" s="428"/>
      <c r="L100" s="426"/>
      <c r="M100" s="426"/>
      <c r="N100" s="428"/>
      <c r="O100" s="422"/>
    </row>
    <row r="101" spans="1:15" x14ac:dyDescent="0.3">
      <c r="A101" s="422"/>
      <c r="B101" s="472"/>
      <c r="C101" s="423" t="s">
        <v>2513</v>
      </c>
      <c r="E101" s="438"/>
      <c r="F101" s="429"/>
      <c r="G101" s="428"/>
      <c r="H101" s="428"/>
      <c r="I101" s="426"/>
      <c r="J101" s="492">
        <f>F101-H101</f>
        <v>0</v>
      </c>
      <c r="K101" s="428">
        <f>G101-I101</f>
        <v>0</v>
      </c>
      <c r="L101" s="426"/>
      <c r="M101" s="426"/>
      <c r="N101" s="494">
        <f>H101-L101</f>
        <v>0</v>
      </c>
      <c r="O101" s="422"/>
    </row>
    <row r="102" spans="1:15" x14ac:dyDescent="0.3">
      <c r="A102" s="422"/>
      <c r="B102" s="472" t="s">
        <v>2518</v>
      </c>
      <c r="E102" s="438"/>
      <c r="F102" s="429"/>
      <c r="G102" s="428"/>
      <c r="H102" s="428"/>
      <c r="I102" s="426"/>
      <c r="J102" s="426"/>
      <c r="K102" s="428"/>
      <c r="L102" s="426"/>
      <c r="M102" s="426"/>
      <c r="N102" s="428"/>
      <c r="O102" s="422"/>
    </row>
    <row r="103" spans="1:15" x14ac:dyDescent="0.3">
      <c r="A103" s="422"/>
      <c r="B103" s="472"/>
      <c r="C103" s="423" t="s">
        <v>2513</v>
      </c>
      <c r="E103" s="438"/>
      <c r="F103" s="429"/>
      <c r="G103" s="428">
        <v>95000</v>
      </c>
      <c r="H103" s="428"/>
      <c r="I103" s="426">
        <v>95000</v>
      </c>
      <c r="J103" s="492">
        <f>F103-H103</f>
        <v>0</v>
      </c>
      <c r="K103" s="428">
        <f>G103-I103</f>
        <v>0</v>
      </c>
      <c r="L103" s="426"/>
      <c r="M103" s="426">
        <v>0</v>
      </c>
      <c r="N103" s="494">
        <f>H103-L103</f>
        <v>0</v>
      </c>
      <c r="O103" s="422"/>
    </row>
    <row r="104" spans="1:15" x14ac:dyDescent="0.3">
      <c r="A104" s="422"/>
      <c r="B104" s="472" t="s">
        <v>2519</v>
      </c>
      <c r="E104" s="438"/>
      <c r="F104" s="429"/>
      <c r="G104" s="428"/>
      <c r="H104" s="428"/>
      <c r="I104" s="426"/>
      <c r="J104" s="426"/>
      <c r="K104" s="428"/>
      <c r="L104" s="426"/>
      <c r="M104" s="426"/>
      <c r="N104" s="428"/>
      <c r="O104" s="422"/>
    </row>
    <row r="105" spans="1:15" x14ac:dyDescent="0.3">
      <c r="A105" s="422"/>
      <c r="B105" s="472"/>
      <c r="C105" s="423" t="s">
        <v>2513</v>
      </c>
      <c r="E105" s="438"/>
      <c r="F105" s="429">
        <v>640793056.90999985</v>
      </c>
      <c r="G105" s="428">
        <v>236214592.99000001</v>
      </c>
      <c r="H105" s="428">
        <v>642020155.91999996</v>
      </c>
      <c r="I105" s="426">
        <v>236214592.99000001</v>
      </c>
      <c r="J105" s="426">
        <f>F105-H105</f>
        <v>-1227099.0100001097</v>
      </c>
      <c r="K105" s="428">
        <f>G105-I105</f>
        <v>0</v>
      </c>
      <c r="L105" s="426">
        <v>338990477.26000005</v>
      </c>
      <c r="M105" s="426">
        <v>136831708.68999997</v>
      </c>
      <c r="N105" s="428">
        <f>H105-L105</f>
        <v>303029678.65999991</v>
      </c>
      <c r="O105" s="422"/>
    </row>
    <row r="106" spans="1:15" x14ac:dyDescent="0.3">
      <c r="A106" s="422"/>
      <c r="B106" s="472" t="s">
        <v>2520</v>
      </c>
      <c r="E106" s="438"/>
      <c r="F106" s="429"/>
      <c r="G106" s="428"/>
      <c r="H106" s="428"/>
      <c r="I106" s="426"/>
      <c r="J106" s="426"/>
      <c r="K106" s="428"/>
      <c r="L106" s="426"/>
      <c r="M106" s="426"/>
      <c r="N106" s="428"/>
      <c r="O106" s="422"/>
    </row>
    <row r="107" spans="1:15" x14ac:dyDescent="0.3">
      <c r="A107" s="422"/>
      <c r="B107" s="472"/>
      <c r="C107" s="423" t="s">
        <v>2513</v>
      </c>
      <c r="E107" s="438"/>
      <c r="F107" s="429">
        <v>124088221.2</v>
      </c>
      <c r="G107" s="428">
        <v>153401042.03</v>
      </c>
      <c r="H107" s="428">
        <v>122352006.50999999</v>
      </c>
      <c r="I107" s="426">
        <v>127137536.75</v>
      </c>
      <c r="J107" s="428">
        <f>F107-H107</f>
        <v>1736214.6900000125</v>
      </c>
      <c r="K107" s="428">
        <f>G107-I107</f>
        <v>26263505.280000001</v>
      </c>
      <c r="L107" s="426">
        <v>97487532.799999997</v>
      </c>
      <c r="M107" s="426">
        <v>73978319.00999999</v>
      </c>
      <c r="N107" s="428">
        <f>H107-L107</f>
        <v>24864473.709999993</v>
      </c>
      <c r="O107" s="422"/>
    </row>
    <row r="108" spans="1:15" x14ac:dyDescent="0.3">
      <c r="A108" s="422"/>
      <c r="B108" s="472"/>
      <c r="C108" s="472" t="s">
        <v>2531</v>
      </c>
      <c r="E108" s="438"/>
      <c r="F108" s="459">
        <f>SUM(F93:F107)</f>
        <v>788073312.93999994</v>
      </c>
      <c r="G108" s="451">
        <f>SUM(G93:G107)</f>
        <v>460088231.21000004</v>
      </c>
      <c r="H108" s="451">
        <f t="shared" ref="H108:N108" si="21">SUM(H93:H107)</f>
        <v>787480860.74000001</v>
      </c>
      <c r="I108" s="449">
        <f t="shared" si="21"/>
        <v>431764725.93000001</v>
      </c>
      <c r="J108" s="451">
        <f t="shared" si="21"/>
        <v>592452.1999999024</v>
      </c>
      <c r="K108" s="451">
        <f t="shared" si="21"/>
        <v>28323505.279999986</v>
      </c>
      <c r="L108" s="449">
        <f t="shared" si="21"/>
        <v>442688486.10000008</v>
      </c>
      <c r="M108" s="449">
        <f t="shared" si="21"/>
        <v>256319907.29999995</v>
      </c>
      <c r="N108" s="465">
        <f t="shared" si="21"/>
        <v>344792374.63999987</v>
      </c>
      <c r="O108" s="422"/>
    </row>
    <row r="109" spans="1:15" ht="16.2" thickBot="1" x14ac:dyDescent="0.35">
      <c r="A109" s="437" t="s">
        <v>2532</v>
      </c>
      <c r="B109" s="472"/>
      <c r="E109" s="438"/>
      <c r="F109" s="462">
        <f t="shared" ref="F109:N109" si="22">F90+F108</f>
        <v>2024771721.3200002</v>
      </c>
      <c r="G109" s="463">
        <f t="shared" si="22"/>
        <v>1645249875.22</v>
      </c>
      <c r="H109" s="463">
        <f t="shared" si="22"/>
        <v>2544945620.3400002</v>
      </c>
      <c r="I109" s="464">
        <f t="shared" si="22"/>
        <v>2438018430.6100001</v>
      </c>
      <c r="J109" s="463">
        <f t="shared" si="22"/>
        <v>-520173899.0200001</v>
      </c>
      <c r="K109" s="463">
        <f t="shared" si="22"/>
        <v>-792768555.3900001</v>
      </c>
      <c r="L109" s="464">
        <f t="shared" si="22"/>
        <v>1611268108.4600003</v>
      </c>
      <c r="M109" s="464">
        <f t="shared" si="22"/>
        <v>1420018499.3499999</v>
      </c>
      <c r="N109" s="464">
        <f t="shared" si="22"/>
        <v>933677511.88</v>
      </c>
      <c r="O109" s="422"/>
    </row>
    <row r="110" spans="1:15" ht="16.2" thickBot="1" x14ac:dyDescent="0.35">
      <c r="A110" s="466" t="s">
        <v>2533</v>
      </c>
      <c r="B110" s="467"/>
      <c r="C110" s="467"/>
      <c r="D110" s="467"/>
      <c r="E110" s="474"/>
      <c r="F110" s="525">
        <f>F39-F109</f>
        <v>13606949.119999886</v>
      </c>
      <c r="G110" s="507"/>
      <c r="H110" s="525">
        <f>H39-H109</f>
        <v>1397235.4999995232</v>
      </c>
      <c r="I110" s="507"/>
      <c r="J110" s="526">
        <f>J39-J109</f>
        <v>12209713.620000184</v>
      </c>
      <c r="K110" s="507"/>
      <c r="L110" s="526">
        <f>L39-L109</f>
        <v>974579584.94999957</v>
      </c>
      <c r="M110" s="507"/>
      <c r="N110" s="508">
        <f>N39-N109</f>
        <v>-973182349.45000005</v>
      </c>
      <c r="O110" s="422"/>
    </row>
    <row r="111" spans="1:15" x14ac:dyDescent="0.3">
      <c r="F111" s="460"/>
      <c r="H111" s="460"/>
      <c r="J111" s="460"/>
      <c r="L111" s="460"/>
      <c r="N111" s="460"/>
    </row>
    <row r="112" spans="1:15" x14ac:dyDescent="0.3">
      <c r="F112" s="461"/>
      <c r="G112" s="461"/>
      <c r="H112" s="461"/>
      <c r="I112" s="461"/>
      <c r="J112" s="461"/>
      <c r="K112" s="461"/>
      <c r="L112" s="461"/>
      <c r="M112" s="461"/>
      <c r="N112" s="461"/>
    </row>
    <row r="117" spans="6:14" x14ac:dyDescent="0.3">
      <c r="F117" s="461"/>
      <c r="G117" s="461"/>
      <c r="H117" s="461"/>
      <c r="I117" s="461"/>
      <c r="J117" s="461"/>
      <c r="K117" s="461"/>
      <c r="L117" s="461"/>
      <c r="M117" s="461"/>
      <c r="N117" s="461"/>
    </row>
    <row r="118" spans="6:14" x14ac:dyDescent="0.3">
      <c r="F118" s="461"/>
      <c r="G118" s="461"/>
      <c r="H118" s="461"/>
      <c r="I118" s="461"/>
      <c r="J118" s="461"/>
      <c r="K118" s="461"/>
      <c r="L118" s="461"/>
      <c r="M118" s="461"/>
      <c r="N118" s="461"/>
    </row>
  </sheetData>
  <sheetProtection algorithmName="SHA-512" hashValue="fGote2jfjOd/H8w0PlMZTl+afR0ihkf2CzXKo3+ES1J+0bjwaZQu26aob6Rq/ceiGvpWIpKuHeo9qMqg+ElX2A==" saltValue="xx+JswGB40Y5XzB74VNiyA==" spinCount="100000" sheet="1" objects="1" scenarios="1" selectLockedCells="1" selectUnlockedCells="1"/>
  <mergeCells count="14">
    <mergeCell ref="A6:E8"/>
    <mergeCell ref="F6:I6"/>
    <mergeCell ref="J6:K6"/>
    <mergeCell ref="A1:N1"/>
    <mergeCell ref="A2:N2"/>
    <mergeCell ref="A3:N3"/>
    <mergeCell ref="A4:N4"/>
    <mergeCell ref="A5:N5"/>
    <mergeCell ref="L6:M8"/>
    <mergeCell ref="F7:I7"/>
    <mergeCell ref="J7:K7"/>
    <mergeCell ref="F8:G8"/>
    <mergeCell ref="H8:I8"/>
    <mergeCell ref="J8:K8"/>
  </mergeCells>
  <conditionalFormatting sqref="C102:C103">
    <cfRule type="duplicateValues" dxfId="2" priority="2" stopIfTrue="1"/>
  </conditionalFormatting>
  <conditionalFormatting sqref="C102:C104">
    <cfRule type="duplicateValues" dxfId="1" priority="3" stopIfTrue="1"/>
  </conditionalFormatting>
  <conditionalFormatting sqref="C104">
    <cfRule type="duplicateValues" dxfId="0" priority="1" stopIfTrue="1"/>
  </conditionalFormatting>
  <printOptions horizontalCentered="1"/>
  <pageMargins left="0.86614173228346458" right="1.4173228346456694" top="0.98425196850393704" bottom="0.98425196850393704" header="0.51181102362204722" footer="0.51181102362204722"/>
  <pageSetup scale="51" fitToHeight="0" orientation="portrait" r:id="rId1"/>
  <headerFooter>
    <oddHeader>&amp;R&amp;"Times New Roman,Regular"Annex A.5
AAR Page 10</oddHeader>
  </headerFooter>
  <rowBreaks count="1" manualBreakCount="1">
    <brk id="79" max="1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57"/>
  <sheetViews>
    <sheetView zoomScaleNormal="100" workbookViewId="0">
      <selection sqref="A1:E1"/>
    </sheetView>
  </sheetViews>
  <sheetFormatPr defaultRowHeight="14.4" x14ac:dyDescent="0.3"/>
  <cols>
    <col min="1" max="1" width="39.109375" customWidth="1"/>
    <col min="2" max="2" width="21.109375" customWidth="1"/>
    <col min="3" max="3" width="3.6640625" customWidth="1"/>
    <col min="4" max="4" width="21.109375" customWidth="1"/>
    <col min="5" max="5" width="0.88671875" customWidth="1"/>
    <col min="6" max="6" width="15.33203125" hidden="1" customWidth="1"/>
    <col min="7" max="7" width="16.88671875" hidden="1" customWidth="1"/>
    <col min="8" max="9" width="16.88671875" style="308" bestFit="1" customWidth="1"/>
    <col min="10" max="10" width="16.88671875" bestFit="1" customWidth="1"/>
  </cols>
  <sheetData>
    <row r="1" spans="1:9" ht="17.399999999999999" x14ac:dyDescent="0.3">
      <c r="A1" s="750" t="s">
        <v>0</v>
      </c>
      <c r="B1" s="750"/>
      <c r="C1" s="750"/>
      <c r="D1" s="750"/>
      <c r="E1" s="750"/>
      <c r="I1"/>
    </row>
    <row r="2" spans="1:9" ht="17.399999999999999" x14ac:dyDescent="0.3">
      <c r="A2" s="751" t="s">
        <v>2371</v>
      </c>
      <c r="B2" s="751"/>
      <c r="C2" s="751"/>
      <c r="D2" s="751"/>
      <c r="E2" s="751"/>
      <c r="I2"/>
    </row>
    <row r="3" spans="1:9" ht="17.399999999999999" x14ac:dyDescent="0.3">
      <c r="A3" s="751" t="s">
        <v>2372</v>
      </c>
      <c r="B3" s="751"/>
      <c r="C3" s="751"/>
      <c r="D3" s="751"/>
      <c r="E3" s="751"/>
      <c r="I3"/>
    </row>
    <row r="4" spans="1:9" ht="17.399999999999999" x14ac:dyDescent="0.3">
      <c r="A4" s="751" t="s">
        <v>2534</v>
      </c>
      <c r="B4" s="751"/>
      <c r="C4" s="751"/>
      <c r="D4" s="751"/>
      <c r="E4" s="751"/>
      <c r="I4"/>
    </row>
    <row r="5" spans="1:9" ht="18" x14ac:dyDescent="0.3">
      <c r="A5" s="747" t="s">
        <v>5</v>
      </c>
      <c r="B5" s="747"/>
      <c r="C5" s="747"/>
      <c r="D5" s="747"/>
      <c r="E5" s="747"/>
      <c r="I5"/>
    </row>
    <row r="6" spans="1:9" ht="18" x14ac:dyDescent="0.3">
      <c r="A6" s="747" t="s">
        <v>2373</v>
      </c>
      <c r="B6" s="747"/>
      <c r="C6" s="747"/>
      <c r="D6" s="747"/>
      <c r="E6" s="747"/>
      <c r="I6"/>
    </row>
    <row r="7" spans="1:9" ht="18" x14ac:dyDescent="0.3">
      <c r="A7" s="748" t="s">
        <v>2374</v>
      </c>
      <c r="B7" s="748"/>
      <c r="C7" s="748"/>
      <c r="D7" s="748"/>
      <c r="E7" s="748"/>
      <c r="I7"/>
    </row>
    <row r="9" spans="1:9" ht="15.6" x14ac:dyDescent="0.3">
      <c r="A9" s="73"/>
      <c r="B9" s="309">
        <v>2022</v>
      </c>
      <c r="C9" s="310"/>
      <c r="D9" s="309">
        <v>2021</v>
      </c>
      <c r="E9" s="310"/>
      <c r="I9"/>
    </row>
    <row r="10" spans="1:9" ht="15.6" x14ac:dyDescent="0.3">
      <c r="A10" s="311" t="s">
        <v>2375</v>
      </c>
      <c r="B10" s="73"/>
      <c r="C10" s="73"/>
      <c r="D10" s="73"/>
      <c r="E10" s="73"/>
      <c r="I10"/>
    </row>
    <row r="11" spans="1:9" ht="16.2" x14ac:dyDescent="0.3">
      <c r="A11" s="312" t="s">
        <v>2376</v>
      </c>
      <c r="B11" s="73"/>
      <c r="C11" s="73"/>
      <c r="D11" s="73"/>
      <c r="E11" s="73"/>
      <c r="I11"/>
    </row>
    <row r="12" spans="1:9" ht="15.6" x14ac:dyDescent="0.3">
      <c r="A12" s="73" t="s">
        <v>2377</v>
      </c>
      <c r="B12" s="314">
        <v>62791853.049999997</v>
      </c>
      <c r="C12" s="315"/>
      <c r="D12" s="314">
        <v>81255687.969999984</v>
      </c>
      <c r="E12" s="315"/>
      <c r="F12" s="316" t="e">
        <f>B12-#REF!</f>
        <v>#REF!</v>
      </c>
      <c r="G12" s="316" t="e">
        <f>D12-#REF!</f>
        <v>#REF!</v>
      </c>
      <c r="H12" s="317"/>
      <c r="I12"/>
    </row>
    <row r="13" spans="1:9" ht="15.6" x14ac:dyDescent="0.3">
      <c r="A13" s="73" t="s">
        <v>2378</v>
      </c>
      <c r="B13" s="314">
        <v>175954.67</v>
      </c>
      <c r="C13" s="315"/>
      <c r="D13" s="314">
        <v>175954.67</v>
      </c>
      <c r="E13" s="315"/>
      <c r="F13" s="316" t="e">
        <f>B13-#REF!</f>
        <v>#REF!</v>
      </c>
      <c r="G13" s="316" t="e">
        <f>D13-#REF!</f>
        <v>#REF!</v>
      </c>
      <c r="I13"/>
    </row>
    <row r="14" spans="1:9" ht="15.6" x14ac:dyDescent="0.3">
      <c r="A14" s="73" t="s">
        <v>2379</v>
      </c>
      <c r="B14" s="314">
        <v>59357423.640000001</v>
      </c>
      <c r="C14" s="315"/>
      <c r="D14" s="314">
        <v>1134607.5700000075</v>
      </c>
      <c r="E14" s="315"/>
      <c r="F14" s="316" t="e">
        <f>B14-#REF!</f>
        <v>#REF!</v>
      </c>
      <c r="G14" s="316" t="e">
        <f>D14-#REF!</f>
        <v>#REF!</v>
      </c>
      <c r="I14"/>
    </row>
    <row r="15" spans="1:9" ht="15.6" x14ac:dyDescent="0.3">
      <c r="A15" s="73" t="s">
        <v>2380</v>
      </c>
      <c r="B15" s="314">
        <v>6323243.6500000004</v>
      </c>
      <c r="C15" s="315"/>
      <c r="D15" s="314">
        <v>5211075.84</v>
      </c>
      <c r="E15" s="315"/>
      <c r="F15" s="316" t="e">
        <f>B15-#REF!</f>
        <v>#REF!</v>
      </c>
      <c r="G15" s="316" t="e">
        <f>D15-#REF!</f>
        <v>#REF!</v>
      </c>
      <c r="I15"/>
    </row>
    <row r="16" spans="1:9" ht="15.6" x14ac:dyDescent="0.3">
      <c r="A16" s="318" t="s">
        <v>2381</v>
      </c>
      <c r="B16" s="319">
        <v>224750.16</v>
      </c>
      <c r="C16" s="315"/>
      <c r="D16" s="319">
        <v>602064.55999999971</v>
      </c>
      <c r="E16" s="315"/>
      <c r="F16" s="316" t="e">
        <f>B16-#REF!</f>
        <v>#REF!</v>
      </c>
      <c r="G16" s="316" t="e">
        <f>D16-#REF!</f>
        <v>#REF!</v>
      </c>
      <c r="I16"/>
    </row>
    <row r="17" spans="1:10" ht="15.6" x14ac:dyDescent="0.3">
      <c r="A17" s="311" t="s">
        <v>2382</v>
      </c>
      <c r="B17" s="320">
        <f>SUM(B12:B16)</f>
        <v>128873225.17</v>
      </c>
      <c r="C17" s="321"/>
      <c r="D17" s="320">
        <f>SUM(D12:D16)</f>
        <v>88379390.609999999</v>
      </c>
      <c r="E17" s="321"/>
      <c r="F17" s="316" t="e">
        <f>B17-#REF!</f>
        <v>#REF!</v>
      </c>
      <c r="G17" s="322" t="e">
        <f>D17-#REF!</f>
        <v>#REF!</v>
      </c>
      <c r="H17" s="323"/>
      <c r="I17" s="324"/>
      <c r="J17" s="323"/>
    </row>
    <row r="18" spans="1:10" ht="15.6" x14ac:dyDescent="0.3">
      <c r="A18" s="73"/>
      <c r="B18" s="314"/>
      <c r="C18" s="315"/>
      <c r="D18" s="314"/>
      <c r="E18" s="315"/>
      <c r="G18" s="322"/>
      <c r="H18" s="323"/>
      <c r="I18" s="324"/>
      <c r="J18" s="324"/>
    </row>
    <row r="19" spans="1:10" ht="16.2" x14ac:dyDescent="0.3">
      <c r="A19" s="312" t="s">
        <v>2383</v>
      </c>
      <c r="B19" s="314"/>
      <c r="C19" s="315"/>
      <c r="D19" s="314"/>
      <c r="E19" s="315"/>
      <c r="H19" s="324"/>
      <c r="I19" s="324"/>
      <c r="J19" s="324"/>
    </row>
    <row r="20" spans="1:10" ht="15.6" x14ac:dyDescent="0.3">
      <c r="A20" s="73" t="s">
        <v>2384</v>
      </c>
      <c r="B20" s="314">
        <v>141585503.82999995</v>
      </c>
      <c r="C20" s="315"/>
      <c r="D20" s="314">
        <v>93360680.809999987</v>
      </c>
      <c r="E20" s="315"/>
      <c r="F20" s="316" t="e">
        <f>B20-#REF!</f>
        <v>#REF!</v>
      </c>
      <c r="G20" s="325" t="e">
        <f>D20-#REF!</f>
        <v>#REF!</v>
      </c>
      <c r="H20" s="326"/>
      <c r="I20" s="324"/>
      <c r="J20" s="326"/>
    </row>
    <row r="21" spans="1:10" ht="15.6" x14ac:dyDescent="0.3">
      <c r="A21" s="73" t="s">
        <v>2385</v>
      </c>
      <c r="B21" s="373">
        <v>0</v>
      </c>
      <c r="C21" s="486"/>
      <c r="D21" s="373">
        <v>0</v>
      </c>
      <c r="E21" s="315"/>
      <c r="F21" s="316" t="e">
        <f>B21-#REF!</f>
        <v>#REF!</v>
      </c>
      <c r="G21" s="325" t="e">
        <f>D21-#REF!</f>
        <v>#REF!</v>
      </c>
      <c r="H21" s="327"/>
      <c r="I21" s="324"/>
      <c r="J21" s="327"/>
    </row>
    <row r="22" spans="1:10" ht="15.6" x14ac:dyDescent="0.3">
      <c r="A22" s="73" t="s">
        <v>2386</v>
      </c>
      <c r="B22" s="373">
        <v>0</v>
      </c>
      <c r="C22" s="486"/>
      <c r="D22" s="373">
        <v>0</v>
      </c>
      <c r="E22" s="329"/>
      <c r="F22" s="316" t="e">
        <f>B22-#REF!</f>
        <v>#REF!</v>
      </c>
      <c r="G22" s="330" t="e">
        <f>D22-#REF!</f>
        <v>#REF!</v>
      </c>
      <c r="H22" s="331"/>
      <c r="I22" s="324"/>
      <c r="J22" s="331"/>
    </row>
    <row r="23" spans="1:10" ht="15.6" x14ac:dyDescent="0.3">
      <c r="A23" s="311" t="s">
        <v>2387</v>
      </c>
      <c r="B23" s="320">
        <f>SUM(B20:B22)</f>
        <v>141585503.82999995</v>
      </c>
      <c r="C23" s="321"/>
      <c r="D23" s="320">
        <f>SUM(D20:D22)</f>
        <v>93360680.809999987</v>
      </c>
      <c r="E23" s="321"/>
      <c r="F23" s="316" t="e">
        <f>B23-#REF!</f>
        <v>#REF!</v>
      </c>
      <c r="G23" s="332" t="e">
        <f>D23-#REF!</f>
        <v>#REF!</v>
      </c>
      <c r="H23" s="333"/>
      <c r="I23" s="324"/>
      <c r="J23" s="323"/>
    </row>
    <row r="24" spans="1:10" ht="16.2" thickBot="1" x14ac:dyDescent="0.35">
      <c r="A24" s="311" t="s">
        <v>2388</v>
      </c>
      <c r="B24" s="334">
        <f>B23+B17</f>
        <v>270458728.99999994</v>
      </c>
      <c r="C24" s="321"/>
      <c r="D24" s="334">
        <f>D23+D17</f>
        <v>181740071.41999999</v>
      </c>
      <c r="E24" s="321"/>
      <c r="F24" s="316" t="e">
        <f>B24-#REF!</f>
        <v>#REF!</v>
      </c>
      <c r="G24" s="325" t="e">
        <f>D24-#REF!</f>
        <v>#REF!</v>
      </c>
      <c r="H24" s="335"/>
      <c r="I24" s="336"/>
      <c r="J24" s="323"/>
    </row>
    <row r="25" spans="1:10" ht="16.2" thickTop="1" x14ac:dyDescent="0.3">
      <c r="A25" s="73"/>
      <c r="B25" s="314"/>
      <c r="C25" s="315"/>
      <c r="D25" s="314"/>
      <c r="E25" s="315"/>
      <c r="G25" s="337"/>
      <c r="H25" s="338"/>
      <c r="I25" s="327"/>
      <c r="J25" s="324"/>
    </row>
    <row r="26" spans="1:10" ht="15.6" x14ac:dyDescent="0.3">
      <c r="A26" s="339" t="s">
        <v>2389</v>
      </c>
      <c r="B26" s="314"/>
      <c r="C26" s="315"/>
      <c r="D26" s="314"/>
      <c r="E26" s="315"/>
      <c r="G26" s="330"/>
      <c r="H26" s="340"/>
      <c r="I26" s="341"/>
      <c r="J26" s="324"/>
    </row>
    <row r="27" spans="1:10" ht="16.2" x14ac:dyDescent="0.3">
      <c r="A27" s="312" t="s">
        <v>2390</v>
      </c>
      <c r="B27" s="314"/>
      <c r="C27" s="315"/>
      <c r="D27" s="314"/>
      <c r="E27" s="315"/>
      <c r="G27" s="316"/>
      <c r="H27" s="342"/>
      <c r="I27" s="324"/>
      <c r="J27" s="324"/>
    </row>
    <row r="28" spans="1:10" ht="15.6" x14ac:dyDescent="0.3">
      <c r="A28" s="73" t="s">
        <v>2391</v>
      </c>
      <c r="B28" s="381">
        <v>1762371.04</v>
      </c>
      <c r="C28" s="329"/>
      <c r="D28" s="381">
        <v>6201155.6099999985</v>
      </c>
      <c r="E28" s="315"/>
      <c r="F28" s="316" t="e">
        <f>B28-#REF!</f>
        <v>#REF!</v>
      </c>
      <c r="G28" s="316" t="e">
        <f>D28-#REF!</f>
        <v>#REF!</v>
      </c>
      <c r="H28" s="324"/>
      <c r="I28" s="324"/>
      <c r="J28" s="324"/>
    </row>
    <row r="29" spans="1:10" ht="15.6" x14ac:dyDescent="0.3">
      <c r="A29" s="73" t="s">
        <v>2392</v>
      </c>
      <c r="B29" s="314">
        <v>440045.79</v>
      </c>
      <c r="C29" s="315"/>
      <c r="D29" s="314">
        <v>518819.55000000028</v>
      </c>
      <c r="E29" s="315"/>
      <c r="F29" s="316" t="e">
        <f>B29-#REF!</f>
        <v>#REF!</v>
      </c>
      <c r="G29" s="316" t="e">
        <f>D29-#REF!</f>
        <v>#REF!</v>
      </c>
      <c r="H29" s="324"/>
      <c r="I29" s="324"/>
      <c r="J29" s="393"/>
    </row>
    <row r="30" spans="1:10" ht="15.6" x14ac:dyDescent="0.3">
      <c r="A30" s="73" t="s">
        <v>2393</v>
      </c>
      <c r="B30" s="314">
        <v>235685.8</v>
      </c>
      <c r="C30" s="315"/>
      <c r="D30" s="314">
        <v>1746142.9499999997</v>
      </c>
      <c r="E30" s="315"/>
      <c r="F30" s="316" t="e">
        <f>B30-#REF!</f>
        <v>#REF!</v>
      </c>
      <c r="G30" s="316" t="e">
        <f>D30-#REF!</f>
        <v>#REF!</v>
      </c>
      <c r="H30" s="324"/>
      <c r="I30" s="324"/>
      <c r="J30" s="324"/>
    </row>
    <row r="31" spans="1:10" ht="15.6" x14ac:dyDescent="0.3">
      <c r="A31" s="73" t="s">
        <v>2394</v>
      </c>
      <c r="B31" s="314">
        <v>3111984.3000000003</v>
      </c>
      <c r="C31" s="315"/>
      <c r="D31" s="314">
        <v>1780446.8699999994</v>
      </c>
      <c r="E31" s="315"/>
      <c r="F31" s="316" t="e">
        <f>B31-#REF!</f>
        <v>#REF!</v>
      </c>
      <c r="G31" s="316" t="e">
        <f>D31-#REF!</f>
        <v>#REF!</v>
      </c>
      <c r="H31" s="324"/>
      <c r="I31" s="324"/>
      <c r="J31" s="324"/>
    </row>
    <row r="32" spans="1:10" ht="15.6" x14ac:dyDescent="0.3">
      <c r="A32" s="73" t="s">
        <v>2395</v>
      </c>
      <c r="B32" s="373">
        <v>0</v>
      </c>
      <c r="C32" s="486"/>
      <c r="D32" s="373">
        <v>0</v>
      </c>
      <c r="E32" s="315"/>
      <c r="F32" s="316" t="e">
        <f>B32-#REF!</f>
        <v>#REF!</v>
      </c>
      <c r="G32" s="316" t="e">
        <f>D32-#REF!</f>
        <v>#REF!</v>
      </c>
      <c r="H32" s="324"/>
      <c r="I32" s="324"/>
      <c r="J32" s="324"/>
    </row>
    <row r="33" spans="1:10" ht="15.6" x14ac:dyDescent="0.3">
      <c r="A33" s="318" t="s">
        <v>2396</v>
      </c>
      <c r="B33" s="329">
        <v>57803314.670000002</v>
      </c>
      <c r="C33" s="329"/>
      <c r="D33" s="315">
        <v>9088478.8800000083</v>
      </c>
      <c r="E33" s="315"/>
      <c r="F33" s="316" t="e">
        <f>B33-#REF!</f>
        <v>#REF!</v>
      </c>
      <c r="G33" s="316" t="e">
        <f>D33-#REF!</f>
        <v>#REF!</v>
      </c>
      <c r="H33" s="324"/>
      <c r="I33" s="324"/>
      <c r="J33" s="324"/>
    </row>
    <row r="34" spans="1:10" ht="15.6" x14ac:dyDescent="0.3">
      <c r="A34" s="318" t="s">
        <v>2397</v>
      </c>
      <c r="B34" s="328">
        <v>2030573.2</v>
      </c>
      <c r="C34" s="329"/>
      <c r="D34" s="319">
        <v>2038803.57</v>
      </c>
      <c r="E34" s="315"/>
      <c r="F34" s="316" t="e">
        <f>B34-#REF!</f>
        <v>#REF!</v>
      </c>
      <c r="G34" s="316" t="e">
        <f>D34-#REF!</f>
        <v>#REF!</v>
      </c>
      <c r="H34" s="324"/>
      <c r="I34" s="324"/>
      <c r="J34" s="324"/>
    </row>
    <row r="35" spans="1:10" ht="15.6" x14ac:dyDescent="0.3">
      <c r="A35" s="311" t="s">
        <v>2398</v>
      </c>
      <c r="B35" s="401">
        <f>SUM(B28:B34)</f>
        <v>65383974.800000004</v>
      </c>
      <c r="C35" s="374"/>
      <c r="D35" s="320">
        <f>SUM(D28:D34)</f>
        <v>21373847.430000007</v>
      </c>
      <c r="E35" s="321"/>
      <c r="F35" s="316" t="e">
        <f>B35-#REF!</f>
        <v>#REF!</v>
      </c>
      <c r="G35" s="322"/>
      <c r="H35" s="323"/>
      <c r="I35" s="324"/>
      <c r="J35" s="323"/>
    </row>
    <row r="36" spans="1:10" ht="15.6" x14ac:dyDescent="0.3">
      <c r="A36" s="73"/>
      <c r="B36" s="381"/>
      <c r="C36" s="329"/>
      <c r="D36" s="314"/>
      <c r="E36" s="315"/>
      <c r="G36" s="322"/>
      <c r="H36" s="323"/>
      <c r="I36" s="324"/>
      <c r="J36" s="324"/>
    </row>
    <row r="37" spans="1:10" ht="16.2" x14ac:dyDescent="0.3">
      <c r="A37" s="312" t="s">
        <v>2399</v>
      </c>
      <c r="B37" s="381"/>
      <c r="C37" s="329"/>
      <c r="D37" s="314"/>
      <c r="E37" s="315"/>
      <c r="H37" s="324"/>
      <c r="I37" s="324"/>
      <c r="J37" s="324"/>
    </row>
    <row r="38" spans="1:10" ht="15.6" x14ac:dyDescent="0.3">
      <c r="A38" s="73" t="s">
        <v>2391</v>
      </c>
      <c r="B38" s="381"/>
      <c r="C38" s="329"/>
      <c r="D38" s="314"/>
      <c r="E38" s="315"/>
      <c r="F38" s="316" t="e">
        <f>B38-#REF!</f>
        <v>#REF!</v>
      </c>
      <c r="G38" s="316" t="e">
        <f>D38-#REF!</f>
        <v>#REF!</v>
      </c>
      <c r="H38" s="324"/>
      <c r="I38" s="342"/>
      <c r="J38" s="324"/>
    </row>
    <row r="39" spans="1:10" ht="15.6" x14ac:dyDescent="0.3">
      <c r="A39" s="318" t="s">
        <v>2396</v>
      </c>
      <c r="B39" s="328">
        <v>15168795.65</v>
      </c>
      <c r="C39" s="329"/>
      <c r="D39" s="319">
        <v>786492.97</v>
      </c>
      <c r="E39" s="315"/>
      <c r="F39" s="316" t="e">
        <f>B39-#REF!</f>
        <v>#REF!</v>
      </c>
      <c r="G39" s="316" t="e">
        <f>D39-#REF!</f>
        <v>#REF!</v>
      </c>
      <c r="H39" s="324"/>
      <c r="I39" s="324"/>
      <c r="J39" s="324"/>
    </row>
    <row r="40" spans="1:10" ht="15.6" x14ac:dyDescent="0.3">
      <c r="A40" s="311" t="s">
        <v>2400</v>
      </c>
      <c r="B40" s="320">
        <f>SUM(B38:B39)</f>
        <v>15168795.65</v>
      </c>
      <c r="C40" s="321"/>
      <c r="D40" s="320">
        <f>SUM(D38:D39)</f>
        <v>786492.97</v>
      </c>
      <c r="E40" s="321"/>
      <c r="F40" s="316" t="e">
        <f>B40-#REF!</f>
        <v>#REF!</v>
      </c>
      <c r="G40" s="322" t="e">
        <f>D40-#REF!</f>
        <v>#REF!</v>
      </c>
      <c r="H40" s="323"/>
      <c r="I40" s="342"/>
      <c r="J40" s="324"/>
    </row>
    <row r="41" spans="1:10" ht="15.6" x14ac:dyDescent="0.3">
      <c r="A41" s="311" t="s">
        <v>2401</v>
      </c>
      <c r="B41" s="343">
        <f>B35+B40</f>
        <v>80552770.450000003</v>
      </c>
      <c r="C41" s="321"/>
      <c r="D41" s="343">
        <f>D35+D40</f>
        <v>22160340.400000006</v>
      </c>
      <c r="E41" s="321"/>
      <c r="F41" s="316" t="e">
        <f>B41-#REF!</f>
        <v>#REF!</v>
      </c>
      <c r="G41" s="322" t="e">
        <f>D41-#REF!</f>
        <v>#REF!</v>
      </c>
      <c r="H41" s="323"/>
      <c r="I41" s="323"/>
      <c r="J41" s="323"/>
    </row>
    <row r="42" spans="1:10" ht="15.6" x14ac:dyDescent="0.3">
      <c r="A42" s="311"/>
      <c r="B42" s="344"/>
      <c r="C42" s="345"/>
      <c r="D42" s="344"/>
      <c r="E42" s="345"/>
      <c r="G42" s="322"/>
      <c r="H42" s="324"/>
      <c r="I42" s="324"/>
      <c r="J42" s="324"/>
    </row>
    <row r="43" spans="1:10" ht="15.6" x14ac:dyDescent="0.3">
      <c r="A43" s="311" t="s">
        <v>2402</v>
      </c>
      <c r="B43" s="344"/>
      <c r="C43" s="345"/>
      <c r="D43" s="344"/>
      <c r="E43" s="345"/>
      <c r="G43" s="322"/>
      <c r="H43" s="323"/>
      <c r="J43" s="324"/>
    </row>
    <row r="44" spans="1:10" ht="15.6" x14ac:dyDescent="0.3">
      <c r="A44" s="73" t="s">
        <v>2403</v>
      </c>
      <c r="B44" s="343">
        <f>[2]SCNAE!D18</f>
        <v>189905958.54999998</v>
      </c>
      <c r="C44" s="321"/>
      <c r="D44" s="343">
        <v>159579731.01999998</v>
      </c>
      <c r="E44" s="321"/>
      <c r="F44" s="316" t="e">
        <f>B44-#REF!</f>
        <v>#REF!</v>
      </c>
      <c r="G44" s="322" t="e">
        <f>D44-#REF!</f>
        <v>#REF!</v>
      </c>
      <c r="H44" s="323"/>
      <c r="I44" s="323"/>
      <c r="J44" s="324"/>
    </row>
    <row r="45" spans="1:10" ht="15.75" customHeight="1" thickBot="1" x14ac:dyDescent="0.35">
      <c r="A45" s="339" t="s">
        <v>2404</v>
      </c>
      <c r="B45" s="346">
        <f>B44+B41</f>
        <v>270458729</v>
      </c>
      <c r="C45" s="321"/>
      <c r="D45" s="346">
        <f>D44+D41</f>
        <v>181740071.41999999</v>
      </c>
      <c r="E45" s="321"/>
      <c r="F45" s="316" t="e">
        <f>B45-#REF!</f>
        <v>#REF!</v>
      </c>
      <c r="G45" s="322" t="e">
        <f>D45-#REF!</f>
        <v>#REF!</v>
      </c>
      <c r="H45" s="323"/>
      <c r="I45" s="323"/>
      <c r="J45" s="323"/>
    </row>
    <row r="46" spans="1:10" ht="16.2" thickTop="1" x14ac:dyDescent="0.3">
      <c r="A46" s="347"/>
      <c r="B46" s="347"/>
      <c r="C46" s="347"/>
      <c r="D46" s="347"/>
      <c r="E46" s="347"/>
      <c r="H46" s="324"/>
      <c r="I46" s="324"/>
      <c r="J46" s="324"/>
    </row>
    <row r="47" spans="1:10" ht="15.6" x14ac:dyDescent="0.3">
      <c r="A47" s="749"/>
      <c r="B47" s="749"/>
      <c r="C47" s="749"/>
      <c r="D47" s="749"/>
      <c r="E47" s="749"/>
      <c r="H47" s="324"/>
      <c r="I47" s="324"/>
      <c r="J47" s="324"/>
    </row>
    <row r="48" spans="1:10" x14ac:dyDescent="0.3">
      <c r="H48" s="324"/>
      <c r="I48" s="324"/>
      <c r="J48" s="324"/>
    </row>
    <row r="49" spans="2:10" x14ac:dyDescent="0.3">
      <c r="B49" s="402">
        <f>B24-B45</f>
        <v>0</v>
      </c>
      <c r="C49" s="402"/>
      <c r="D49" s="392"/>
      <c r="E49" s="348"/>
      <c r="F49" s="348"/>
      <c r="G49" s="348"/>
      <c r="H49" s="324"/>
      <c r="I49" s="324"/>
      <c r="J49" s="324"/>
    </row>
    <row r="50" spans="2:10" x14ac:dyDescent="0.3">
      <c r="B50" s="322"/>
      <c r="C50" s="322"/>
      <c r="D50" s="322"/>
      <c r="E50" s="322"/>
      <c r="H50" s="324"/>
      <c r="I50" s="324"/>
      <c r="J50" s="324"/>
    </row>
    <row r="51" spans="2:10" x14ac:dyDescent="0.3">
      <c r="B51" s="322"/>
      <c r="C51" s="322"/>
      <c r="D51" s="322"/>
      <c r="E51" s="322"/>
      <c r="H51" s="324"/>
      <c r="I51" s="324"/>
      <c r="J51" s="324"/>
    </row>
    <row r="52" spans="2:10" x14ac:dyDescent="0.3">
      <c r="B52" s="322"/>
      <c r="C52" s="322"/>
      <c r="D52" s="322"/>
      <c r="E52" s="322"/>
      <c r="H52" s="324"/>
      <c r="I52" s="324"/>
      <c r="J52" s="324"/>
    </row>
    <row r="53" spans="2:10" x14ac:dyDescent="0.3">
      <c r="B53" s="322"/>
      <c r="C53" s="322"/>
      <c r="D53" s="322"/>
      <c r="E53" s="322"/>
      <c r="H53" s="324"/>
      <c r="I53" s="324"/>
      <c r="J53" s="324"/>
    </row>
    <row r="54" spans="2:10" x14ac:dyDescent="0.3">
      <c r="B54" s="322"/>
      <c r="C54" s="322"/>
      <c r="D54" s="322"/>
      <c r="E54" s="322"/>
    </row>
    <row r="55" spans="2:10" x14ac:dyDescent="0.3">
      <c r="B55" s="322"/>
      <c r="C55" s="322"/>
      <c r="D55" s="322"/>
      <c r="E55" s="322"/>
    </row>
    <row r="56" spans="2:10" x14ac:dyDescent="0.3">
      <c r="B56" s="322"/>
      <c r="C56" s="322"/>
      <c r="D56" s="322"/>
      <c r="E56" s="322"/>
    </row>
    <row r="57" spans="2:10" x14ac:dyDescent="0.3">
      <c r="B57" s="322"/>
      <c r="C57" s="322"/>
      <c r="D57" s="322"/>
      <c r="E57" s="322"/>
    </row>
  </sheetData>
  <sheetProtection algorithmName="SHA-512" hashValue="8hUxGSxbl/4QIwYqorvPEVBXgRUoXh5PF1WcNXc30O3EHlU4csD/XSk3VGcd3pGspP2G45qgV/2ZlbmMWETkAg==" saltValue="GV0RaG2HxOMYdU4S7A+49g==" spinCount="100000" sheet="1" objects="1" scenarios="1" selectLockedCells="1" selectUnlockedCells="1"/>
  <mergeCells count="8">
    <mergeCell ref="A7:E7"/>
    <mergeCell ref="A47:E47"/>
    <mergeCell ref="A1:E1"/>
    <mergeCell ref="A2:E2"/>
    <mergeCell ref="A3:E3"/>
    <mergeCell ref="A4:E4"/>
    <mergeCell ref="A5:E5"/>
    <mergeCell ref="A6:E6"/>
  </mergeCells>
  <printOptions horizontalCentered="1"/>
  <pageMargins left="1.4960629921259843" right="0.98425196850393704" top="0.98425196850393704" bottom="0.98425196850393704" header="0.51181102362204722" footer="0.51181102362204722"/>
  <pageSetup scale="87" orientation="portrait" r:id="rId1"/>
  <headerFooter>
    <oddHeader>&amp;R&amp;"Times New Roman,Regular"Annex B.1
AAR Page 6</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40"/>
  <sheetViews>
    <sheetView zoomScaleNormal="100" workbookViewId="0">
      <selection sqref="A1:D1"/>
    </sheetView>
  </sheetViews>
  <sheetFormatPr defaultRowHeight="14.4" x14ac:dyDescent="0.3"/>
  <cols>
    <col min="1" max="1" width="44.6640625" customWidth="1"/>
    <col min="2" max="2" width="20.88671875" style="370" customWidth="1"/>
    <col min="3" max="3" width="3.6640625" style="354" customWidth="1"/>
    <col min="4" max="4" width="20.88671875" style="370" customWidth="1"/>
    <col min="5" max="5" width="14.33203125" hidden="1" customWidth="1"/>
    <col min="6" max="6" width="16.88671875" hidden="1" customWidth="1"/>
    <col min="7" max="7" width="19.109375" hidden="1" customWidth="1"/>
    <col min="8" max="8" width="17" bestFit="1" customWidth="1"/>
    <col min="9" max="9" width="16.88671875" bestFit="1" customWidth="1"/>
    <col min="10" max="10" width="16.33203125" bestFit="1" customWidth="1"/>
  </cols>
  <sheetData>
    <row r="1" spans="1:10" ht="17.399999999999999" x14ac:dyDescent="0.3">
      <c r="A1" s="750" t="s">
        <v>0</v>
      </c>
      <c r="B1" s="750"/>
      <c r="C1" s="750"/>
      <c r="D1" s="750"/>
    </row>
    <row r="2" spans="1:10" ht="17.399999999999999" x14ac:dyDescent="0.3">
      <c r="A2" s="751" t="s">
        <v>2371</v>
      </c>
      <c r="B2" s="751"/>
      <c r="C2" s="751"/>
      <c r="D2" s="751"/>
    </row>
    <row r="3" spans="1:10" ht="17.399999999999999" x14ac:dyDescent="0.3">
      <c r="A3" s="751" t="s">
        <v>2405</v>
      </c>
      <c r="B3" s="751"/>
      <c r="C3" s="751"/>
      <c r="D3" s="751"/>
    </row>
    <row r="4" spans="1:10" ht="17.399999999999999" x14ac:dyDescent="0.3">
      <c r="A4" s="751" t="s">
        <v>2534</v>
      </c>
      <c r="B4" s="751"/>
      <c r="C4" s="751"/>
      <c r="D4" s="751"/>
    </row>
    <row r="5" spans="1:10" ht="18" x14ac:dyDescent="0.3">
      <c r="A5" s="747" t="s">
        <v>2406</v>
      </c>
      <c r="B5" s="747"/>
      <c r="C5" s="747"/>
      <c r="D5" s="747"/>
    </row>
    <row r="6" spans="1:10" ht="18" x14ac:dyDescent="0.3">
      <c r="A6" s="747" t="s">
        <v>2373</v>
      </c>
      <c r="B6" s="747"/>
      <c r="C6" s="747"/>
      <c r="D6" s="747"/>
    </row>
    <row r="7" spans="1:10" ht="18" x14ac:dyDescent="0.3">
      <c r="A7" s="748" t="s">
        <v>2374</v>
      </c>
      <c r="B7" s="748"/>
      <c r="C7" s="748"/>
      <c r="D7" s="748"/>
    </row>
    <row r="9" spans="1:10" ht="15.6" x14ac:dyDescent="0.3">
      <c r="A9" s="73"/>
      <c r="B9" s="309">
        <v>2022</v>
      </c>
      <c r="C9" s="310"/>
      <c r="D9" s="309">
        <v>2021</v>
      </c>
    </row>
    <row r="10" spans="1:10" ht="15.6" x14ac:dyDescent="0.3">
      <c r="A10" s="311" t="s">
        <v>2407</v>
      </c>
      <c r="B10" s="314"/>
      <c r="C10" s="315"/>
      <c r="D10" s="314"/>
    </row>
    <row r="11" spans="1:10" ht="15.6" x14ac:dyDescent="0.3">
      <c r="A11" s="73" t="s">
        <v>2408</v>
      </c>
      <c r="B11" s="403">
        <v>59658489.259999998</v>
      </c>
      <c r="C11" s="404"/>
      <c r="D11" s="381">
        <v>63029671.809999995</v>
      </c>
      <c r="E11" s="316" t="e">
        <f>B11-#REF!</f>
        <v>#REF!</v>
      </c>
      <c r="G11" s="316" t="e">
        <f>D11-#REF!</f>
        <v>#REF!</v>
      </c>
    </row>
    <row r="12" spans="1:10" ht="15.6" x14ac:dyDescent="0.3">
      <c r="A12" s="76" t="s">
        <v>2409</v>
      </c>
      <c r="B12" s="403">
        <v>0</v>
      </c>
      <c r="C12" s="404"/>
      <c r="D12" s="403">
        <v>0</v>
      </c>
      <c r="E12" s="316" t="e">
        <f>B12-#REF!</f>
        <v>#REF!</v>
      </c>
      <c r="G12" s="316" t="e">
        <f>D12-#REF!</f>
        <v>#REF!</v>
      </c>
    </row>
    <row r="13" spans="1:10" ht="15.6" x14ac:dyDescent="0.3">
      <c r="A13" s="318" t="s">
        <v>2410</v>
      </c>
      <c r="B13" s="403">
        <v>0</v>
      </c>
      <c r="C13" s="404"/>
      <c r="D13" s="403">
        <v>0</v>
      </c>
      <c r="E13" s="316" t="e">
        <f>B13-#REF!</f>
        <v>#REF!</v>
      </c>
      <c r="G13" s="349" t="e">
        <f>D13-#REF!</f>
        <v>#REF!</v>
      </c>
      <c r="I13" s="395"/>
    </row>
    <row r="14" spans="1:10" ht="15.6" x14ac:dyDescent="0.3">
      <c r="A14" s="73" t="s">
        <v>2411</v>
      </c>
      <c r="B14" s="404">
        <v>41162.51</v>
      </c>
      <c r="C14" s="404"/>
      <c r="D14" s="329">
        <v>35280.660000000003</v>
      </c>
      <c r="E14" s="316" t="e">
        <f>B14-#REF!</f>
        <v>#REF!</v>
      </c>
      <c r="G14" s="316" t="e">
        <f>D14-#REF!</f>
        <v>#REF!</v>
      </c>
      <c r="H14" s="351"/>
      <c r="I14" s="394"/>
    </row>
    <row r="15" spans="1:10" ht="15.6" x14ac:dyDescent="0.3">
      <c r="A15" s="73" t="s">
        <v>2412</v>
      </c>
      <c r="B15" s="403">
        <v>0</v>
      </c>
      <c r="C15" s="404"/>
      <c r="D15" s="403">
        <v>0</v>
      </c>
      <c r="E15" s="316" t="e">
        <f>B15-#REF!</f>
        <v>#REF!</v>
      </c>
      <c r="F15" s="322"/>
      <c r="G15" s="352" t="e">
        <f>D15-#REF!</f>
        <v>#REF!</v>
      </c>
      <c r="H15" s="353"/>
      <c r="I15" s="354"/>
    </row>
    <row r="16" spans="1:10" ht="15.6" x14ac:dyDescent="0.3">
      <c r="A16" s="311" t="s">
        <v>2413</v>
      </c>
      <c r="B16" s="406">
        <f>SUM(B11:B15)</f>
        <v>59699651.769999996</v>
      </c>
      <c r="C16" s="484"/>
      <c r="D16" s="401">
        <f>SUM(D11:D15)</f>
        <v>63064952.469999991</v>
      </c>
      <c r="F16" s="322"/>
      <c r="G16" s="356"/>
      <c r="H16" s="353"/>
      <c r="I16" s="354"/>
      <c r="J16" s="354"/>
    </row>
    <row r="17" spans="1:10" ht="15.6" x14ac:dyDescent="0.3">
      <c r="A17" s="311"/>
      <c r="B17" s="403"/>
      <c r="C17" s="404"/>
      <c r="D17" s="381"/>
      <c r="G17" s="357"/>
      <c r="H17" s="358"/>
      <c r="I17" s="316"/>
      <c r="J17" s="316"/>
    </row>
    <row r="18" spans="1:10" ht="15.6" x14ac:dyDescent="0.3">
      <c r="A18" s="311" t="s">
        <v>2414</v>
      </c>
      <c r="B18" s="403"/>
      <c r="C18" s="404"/>
      <c r="D18" s="381"/>
      <c r="G18" s="359"/>
      <c r="H18" s="353"/>
      <c r="I18" s="354"/>
    </row>
    <row r="19" spans="1:10" ht="15.6" x14ac:dyDescent="0.3">
      <c r="A19" s="73" t="s">
        <v>2415</v>
      </c>
      <c r="B19" s="403">
        <v>6029794.7000000002</v>
      </c>
      <c r="C19" s="404"/>
      <c r="D19" s="403">
        <v>0</v>
      </c>
      <c r="E19" s="316" t="e">
        <f>B19-#REF!</f>
        <v>#REF!</v>
      </c>
      <c r="G19" s="360" t="e">
        <f>D19-#REF!</f>
        <v>#REF!</v>
      </c>
      <c r="H19" s="353"/>
      <c r="I19" s="396"/>
    </row>
    <row r="20" spans="1:10" ht="15.6" x14ac:dyDescent="0.3">
      <c r="A20" s="361" t="s">
        <v>2416</v>
      </c>
      <c r="B20" s="403">
        <v>8128144.8600000013</v>
      </c>
      <c r="C20" s="404"/>
      <c r="D20" s="381">
        <v>15910417.140000001</v>
      </c>
      <c r="E20" s="316" t="e">
        <f>B20-#REF!</f>
        <v>#REF!</v>
      </c>
      <c r="G20" s="362" t="e">
        <f>D20-#REF!</f>
        <v>#REF!</v>
      </c>
      <c r="H20" s="354"/>
      <c r="I20" s="354"/>
    </row>
    <row r="21" spans="1:10" ht="15.6" x14ac:dyDescent="0.3">
      <c r="A21" s="73" t="s">
        <v>2417</v>
      </c>
      <c r="B21" s="403">
        <v>4583192.9799999995</v>
      </c>
      <c r="C21" s="404"/>
      <c r="D21" s="381">
        <v>3508714.2099999995</v>
      </c>
      <c r="E21" s="316" t="e">
        <f>B21-#REF!</f>
        <v>#REF!</v>
      </c>
      <c r="G21" s="352" t="e">
        <f>D21-#REF!</f>
        <v>#REF!</v>
      </c>
      <c r="H21" s="351"/>
      <c r="I21" s="363"/>
    </row>
    <row r="22" spans="1:10" ht="15.6" x14ac:dyDescent="0.3">
      <c r="A22" s="73" t="s">
        <v>2418</v>
      </c>
      <c r="B22" s="403">
        <v>0</v>
      </c>
      <c r="C22" s="404"/>
      <c r="D22" s="403">
        <v>0</v>
      </c>
      <c r="E22" s="316" t="e">
        <f>B22-#REF!</f>
        <v>#REF!</v>
      </c>
      <c r="G22" s="357" t="e">
        <f>D22-#REF!</f>
        <v>#REF!</v>
      </c>
      <c r="H22" s="365"/>
    </row>
    <row r="23" spans="1:10" ht="15.6" x14ac:dyDescent="0.3">
      <c r="A23" s="311" t="s">
        <v>2419</v>
      </c>
      <c r="B23" s="406">
        <f>SUM(B19:B22)</f>
        <v>18741132.540000003</v>
      </c>
      <c r="C23" s="484"/>
      <c r="D23" s="401">
        <f>SUM(D19:D22)</f>
        <v>19419131.350000001</v>
      </c>
      <c r="E23" s="316" t="e">
        <f>B23-#REF!</f>
        <v>#REF!</v>
      </c>
      <c r="F23" s="322"/>
      <c r="G23" s="357" t="e">
        <f>D23-#REF!</f>
        <v>#REF!</v>
      </c>
      <c r="H23" s="365"/>
    </row>
    <row r="24" spans="1:10" ht="15.6" x14ac:dyDescent="0.3">
      <c r="A24" s="73"/>
      <c r="B24" s="403"/>
      <c r="C24" s="404"/>
      <c r="D24" s="381"/>
      <c r="G24" s="322"/>
      <c r="H24" s="322"/>
    </row>
    <row r="25" spans="1:10" ht="15.6" x14ac:dyDescent="0.3">
      <c r="A25" s="311" t="s">
        <v>2420</v>
      </c>
      <c r="B25" s="407">
        <f>B16-B23</f>
        <v>40958519.229999989</v>
      </c>
      <c r="C25" s="484"/>
      <c r="D25" s="408">
        <f>D16-D23</f>
        <v>43645821.11999999</v>
      </c>
      <c r="E25" s="316" t="e">
        <f>B25-#REF!</f>
        <v>#REF!</v>
      </c>
      <c r="F25" s="322"/>
      <c r="G25" s="316" t="e">
        <f>D25-#REF!</f>
        <v>#REF!</v>
      </c>
    </row>
    <row r="26" spans="1:10" ht="15.6" x14ac:dyDescent="0.3">
      <c r="A26" s="73" t="s">
        <v>2421</v>
      </c>
      <c r="B26" s="403"/>
      <c r="C26" s="404"/>
      <c r="D26" s="381"/>
    </row>
    <row r="27" spans="1:10" ht="15.6" x14ac:dyDescent="0.3">
      <c r="A27" s="361" t="s">
        <v>2422</v>
      </c>
      <c r="B27" s="403">
        <v>0</v>
      </c>
      <c r="C27" s="404"/>
      <c r="D27" s="403">
        <v>0</v>
      </c>
      <c r="E27" s="412" t="e">
        <f>B27-#REF!</f>
        <v>#REF!</v>
      </c>
      <c r="F27" s="413"/>
      <c r="G27" s="412" t="e">
        <f>D27-#REF!</f>
        <v>#REF!</v>
      </c>
      <c r="H27" s="413"/>
    </row>
    <row r="28" spans="1:10" ht="15.6" x14ac:dyDescent="0.3">
      <c r="A28" s="73" t="s">
        <v>2423</v>
      </c>
      <c r="B28" s="403">
        <v>0</v>
      </c>
      <c r="C28" s="404"/>
      <c r="D28" s="403">
        <v>0</v>
      </c>
      <c r="E28" s="316" t="e">
        <f>B28-#REF!</f>
        <v>#REF!</v>
      </c>
      <c r="G28" s="315" t="e">
        <f>D28+#REF!</f>
        <v>#REF!</v>
      </c>
      <c r="H28" s="315"/>
      <c r="I28" s="395"/>
    </row>
    <row r="29" spans="1:10" ht="15.6" x14ac:dyDescent="0.3">
      <c r="A29" s="73" t="s">
        <v>2424</v>
      </c>
      <c r="B29" s="383">
        <v>30020.240000000002</v>
      </c>
      <c r="C29" s="404"/>
      <c r="D29" s="328">
        <v>22294.239999999998</v>
      </c>
      <c r="E29" s="316" t="e">
        <f>B29-#REF!</f>
        <v>#REF!</v>
      </c>
      <c r="G29" s="315" t="e">
        <f>D29-#REF!</f>
        <v>#REF!</v>
      </c>
      <c r="H29" s="315"/>
    </row>
    <row r="30" spans="1:10" ht="16.2" thickBot="1" x14ac:dyDescent="0.35">
      <c r="A30" s="311" t="s">
        <v>2425</v>
      </c>
      <c r="B30" s="366">
        <f>SUM(B25:B29)</f>
        <v>40988539.469999991</v>
      </c>
      <c r="C30" s="384"/>
      <c r="D30" s="367">
        <f>SUM(D25:D29)</f>
        <v>43668115.359999992</v>
      </c>
      <c r="E30" s="316" t="e">
        <f>B30-#REF!</f>
        <v>#REF!</v>
      </c>
      <c r="F30" s="322"/>
      <c r="G30" s="322" t="e">
        <f>D30-#REF!</f>
        <v>#REF!</v>
      </c>
      <c r="H30" s="322"/>
    </row>
    <row r="31" spans="1:10" ht="16.2" thickTop="1" x14ac:dyDescent="0.3">
      <c r="A31" s="347"/>
      <c r="B31" s="368"/>
      <c r="C31" s="368"/>
      <c r="D31" s="368"/>
      <c r="F31" s="322"/>
      <c r="G31" s="322"/>
      <c r="H31" s="322"/>
    </row>
    <row r="32" spans="1:10" ht="15.6" x14ac:dyDescent="0.3">
      <c r="A32" s="749"/>
      <c r="B32" s="749"/>
      <c r="C32" s="749"/>
      <c r="D32" s="749"/>
      <c r="G32" s="369"/>
    </row>
    <row r="35" spans="2:8" x14ac:dyDescent="0.3">
      <c r="B35" s="371"/>
      <c r="C35" s="485"/>
      <c r="D35" s="372"/>
      <c r="E35" s="348"/>
      <c r="F35" s="348"/>
      <c r="G35" s="348"/>
      <c r="H35" s="348"/>
    </row>
    <row r="36" spans="2:8" x14ac:dyDescent="0.3">
      <c r="B36" s="371"/>
      <c r="C36" s="485"/>
      <c r="D36" s="372"/>
      <c r="E36" s="348"/>
      <c r="F36" s="348"/>
      <c r="G36" s="348"/>
      <c r="H36" s="348"/>
    </row>
    <row r="37" spans="2:8" x14ac:dyDescent="0.3">
      <c r="B37" s="371"/>
      <c r="C37" s="485"/>
      <c r="D37" s="372"/>
      <c r="E37" s="348"/>
      <c r="F37" s="348"/>
      <c r="G37" s="348"/>
      <c r="H37" s="348"/>
    </row>
    <row r="38" spans="2:8" x14ac:dyDescent="0.3">
      <c r="B38" s="371"/>
      <c r="C38" s="485"/>
      <c r="D38" s="372"/>
      <c r="E38" s="348"/>
      <c r="F38" s="348"/>
      <c r="G38" s="348"/>
      <c r="H38" s="348"/>
    </row>
    <row r="39" spans="2:8" x14ac:dyDescent="0.3">
      <c r="B39" s="372"/>
      <c r="C39" s="386"/>
      <c r="D39" s="372"/>
      <c r="E39" s="348"/>
      <c r="F39" s="348"/>
      <c r="G39" s="348"/>
      <c r="H39" s="348"/>
    </row>
    <row r="40" spans="2:8" x14ac:dyDescent="0.3">
      <c r="B40" s="372"/>
      <c r="C40" s="386"/>
      <c r="D40" s="372"/>
      <c r="E40" s="348"/>
      <c r="F40" s="348"/>
      <c r="G40" s="348"/>
      <c r="H40" s="348"/>
    </row>
  </sheetData>
  <sheetProtection algorithmName="SHA-512" hashValue="Zq34ykxbu7GsRlD7RacN3A28S2IsxUHwXQJMBhQeVsAv7OXNAC6OiQHipFMumCDXHa6OoLtussduuxcGnHxKVQ==" saltValue="kXTf89PpCQEmtZ2dHFTQAg==" spinCount="100000" sheet="1" objects="1" scenarios="1" selectLockedCells="1" selectUnlockedCells="1"/>
  <mergeCells count="8">
    <mergeCell ref="A7:D7"/>
    <mergeCell ref="A32:D32"/>
    <mergeCell ref="A1:D1"/>
    <mergeCell ref="A2:D2"/>
    <mergeCell ref="A3:D3"/>
    <mergeCell ref="A4:D4"/>
    <mergeCell ref="A5:D5"/>
    <mergeCell ref="A6:D6"/>
  </mergeCells>
  <printOptions horizontalCentered="1"/>
  <pageMargins left="1.4960629921259843" right="0.98425196850393704" top="0.98425196850393704" bottom="0.98425196850393704" header="0.51181102362204722" footer="0.51181102362204722"/>
  <pageSetup scale="85" orientation="portrait" r:id="rId1"/>
  <headerFooter>
    <oddHeader>&amp;R&amp;"Times New Roman,Regular"Annex B.2
AAR Page 7</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28"/>
  <sheetViews>
    <sheetView zoomScaleNormal="100" workbookViewId="0">
      <selection sqref="A1:D1"/>
    </sheetView>
  </sheetViews>
  <sheetFormatPr defaultRowHeight="14.4" x14ac:dyDescent="0.3"/>
  <cols>
    <col min="1" max="1" width="43" customWidth="1"/>
    <col min="2" max="2" width="21.33203125" style="370" customWidth="1"/>
    <col min="3" max="3" width="3.6640625" style="354" customWidth="1"/>
    <col min="4" max="4" width="21.33203125" style="370" customWidth="1"/>
    <col min="5" max="5" width="15.33203125" bestFit="1" customWidth="1"/>
    <col min="6" max="7" width="16.88671875" hidden="1" customWidth="1"/>
  </cols>
  <sheetData>
    <row r="1" spans="1:7" ht="17.399999999999999" x14ac:dyDescent="0.3">
      <c r="A1" s="750" t="s">
        <v>0</v>
      </c>
      <c r="B1" s="750"/>
      <c r="C1" s="750"/>
      <c r="D1" s="750"/>
    </row>
    <row r="2" spans="1:7" ht="17.399999999999999" x14ac:dyDescent="0.3">
      <c r="A2" s="751" t="s">
        <v>2371</v>
      </c>
      <c r="B2" s="751"/>
      <c r="C2" s="751"/>
      <c r="D2" s="751"/>
    </row>
    <row r="3" spans="1:7" ht="17.399999999999999" x14ac:dyDescent="0.3">
      <c r="A3" s="751" t="s">
        <v>2426</v>
      </c>
      <c r="B3" s="751"/>
      <c r="C3" s="751"/>
      <c r="D3" s="751"/>
    </row>
    <row r="4" spans="1:7" ht="17.399999999999999" x14ac:dyDescent="0.3">
      <c r="A4" s="751" t="s">
        <v>2534</v>
      </c>
      <c r="B4" s="751"/>
      <c r="C4" s="751"/>
      <c r="D4" s="751"/>
    </row>
    <row r="5" spans="1:7" ht="18" x14ac:dyDescent="0.3">
      <c r="A5" s="747" t="s">
        <v>2406</v>
      </c>
      <c r="B5" s="747"/>
      <c r="C5" s="747"/>
      <c r="D5" s="747"/>
    </row>
    <row r="6" spans="1:7" ht="18" x14ac:dyDescent="0.3">
      <c r="A6" s="747" t="s">
        <v>2373</v>
      </c>
      <c r="B6" s="747"/>
      <c r="C6" s="747"/>
      <c r="D6" s="747"/>
    </row>
    <row r="7" spans="1:7" ht="18" x14ac:dyDescent="0.3">
      <c r="A7" s="748" t="s">
        <v>2374</v>
      </c>
      <c r="B7" s="748"/>
      <c r="C7" s="748"/>
      <c r="D7" s="748"/>
    </row>
    <row r="8" spans="1:7" x14ac:dyDescent="0.3">
      <c r="B8" s="354"/>
      <c r="D8" s="354"/>
    </row>
    <row r="9" spans="1:7" ht="15.6" x14ac:dyDescent="0.3">
      <c r="A9" s="310"/>
      <c r="B9" s="309">
        <v>2022</v>
      </c>
      <c r="C9" s="310"/>
      <c r="D9" s="309">
        <v>2021</v>
      </c>
    </row>
    <row r="10" spans="1:7" ht="15.6" x14ac:dyDescent="0.3">
      <c r="A10" s="339" t="s">
        <v>2427</v>
      </c>
      <c r="B10" s="314">
        <f>D18</f>
        <v>159579731.01999998</v>
      </c>
      <c r="C10" s="315"/>
      <c r="D10" s="314">
        <v>296525959.82999998</v>
      </c>
      <c r="F10" s="316" t="e">
        <f>B10-#REF!</f>
        <v>#REF!</v>
      </c>
      <c r="G10" s="316" t="e">
        <f>D10-#REF!</f>
        <v>#REF!</v>
      </c>
    </row>
    <row r="11" spans="1:7" ht="15.6" x14ac:dyDescent="0.3">
      <c r="A11" s="318" t="s">
        <v>2428</v>
      </c>
      <c r="B11" s="314"/>
      <c r="C11" s="315"/>
      <c r="D11" s="314"/>
    </row>
    <row r="12" spans="1:7" ht="15.6" x14ac:dyDescent="0.3">
      <c r="A12" s="318" t="s">
        <v>2429</v>
      </c>
      <c r="B12" s="373">
        <v>0</v>
      </c>
      <c r="C12" s="486"/>
      <c r="D12" s="373">
        <v>0</v>
      </c>
      <c r="G12" s="349" t="e">
        <f>D12-#REF!</f>
        <v>#REF!</v>
      </c>
    </row>
    <row r="13" spans="1:7" ht="15.6" x14ac:dyDescent="0.3">
      <c r="A13" s="318" t="s">
        <v>2430</v>
      </c>
      <c r="B13" s="319">
        <v>-10662311.940000001</v>
      </c>
      <c r="C13" s="315"/>
      <c r="D13" s="319">
        <v>-180614344.16999999</v>
      </c>
      <c r="E13" s="316"/>
      <c r="F13" s="322" t="e">
        <f>B13-#REF!</f>
        <v>#REF!</v>
      </c>
      <c r="G13" s="322" t="e">
        <f>D13-#REF!</f>
        <v>#REF!</v>
      </c>
    </row>
    <row r="14" spans="1:7" ht="15.6" x14ac:dyDescent="0.3">
      <c r="A14" s="339" t="s">
        <v>2431</v>
      </c>
      <c r="B14" s="321">
        <f>SUM(B10:B13)</f>
        <v>148917419.07999998</v>
      </c>
      <c r="C14" s="321"/>
      <c r="D14" s="374">
        <f>D10+D12+D13</f>
        <v>115911615.66</v>
      </c>
      <c r="F14" s="322" t="e">
        <f>B14-#REF!</f>
        <v>#REF!</v>
      </c>
      <c r="G14" s="322" t="e">
        <f>D14-#REF!</f>
        <v>#REF!</v>
      </c>
    </row>
    <row r="15" spans="1:7" ht="31.2" x14ac:dyDescent="0.3">
      <c r="A15" s="61" t="s">
        <v>2432</v>
      </c>
      <c r="B15" s="61"/>
      <c r="C15" s="61"/>
      <c r="D15" s="27"/>
    </row>
    <row r="16" spans="1:7" ht="15.6" x14ac:dyDescent="0.3">
      <c r="A16" s="318" t="s">
        <v>2433</v>
      </c>
      <c r="B16" s="319">
        <f>[2]SFPER!D30</f>
        <v>40988539.469999991</v>
      </c>
      <c r="C16" s="315"/>
      <c r="D16" s="319">
        <f>[2]SFPER!E30</f>
        <v>43668115.359999992</v>
      </c>
      <c r="F16" s="316" t="e">
        <f>B16-#REF!</f>
        <v>#REF!</v>
      </c>
      <c r="G16" s="316" t="e">
        <f>D16-#REF!</f>
        <v>#REF!</v>
      </c>
    </row>
    <row r="17" spans="1:8" ht="15.6" x14ac:dyDescent="0.3">
      <c r="A17" s="375" t="s">
        <v>2434</v>
      </c>
      <c r="B17" s="376">
        <f>B16</f>
        <v>40988539.469999991</v>
      </c>
      <c r="C17" s="487"/>
      <c r="D17" s="376">
        <f>D16</f>
        <v>43668115.359999992</v>
      </c>
      <c r="F17" s="322"/>
      <c r="G17" s="322"/>
    </row>
    <row r="18" spans="1:8" ht="16.2" thickBot="1" x14ac:dyDescent="0.35">
      <c r="A18" s="339" t="s">
        <v>2435</v>
      </c>
      <c r="B18" s="334">
        <f>B14+B17</f>
        <v>189905958.54999998</v>
      </c>
      <c r="C18" s="321"/>
      <c r="D18" s="334">
        <f>D14+D16</f>
        <v>159579731.01999998</v>
      </c>
      <c r="E18" s="316"/>
      <c r="F18" s="322"/>
      <c r="G18" s="322"/>
    </row>
    <row r="19" spans="1:8" ht="16.2" thickTop="1" x14ac:dyDescent="0.3">
      <c r="A19" s="347"/>
      <c r="B19" s="418"/>
      <c r="C19" s="418"/>
      <c r="D19" s="418"/>
      <c r="F19" s="322"/>
      <c r="H19" s="322"/>
    </row>
    <row r="20" spans="1:8" ht="15.6" x14ac:dyDescent="0.3">
      <c r="A20" s="749"/>
      <c r="B20" s="749"/>
      <c r="C20" s="749"/>
      <c r="D20" s="749"/>
    </row>
    <row r="23" spans="1:8" hidden="1" x14ac:dyDescent="0.3"/>
    <row r="24" spans="1:8" hidden="1" x14ac:dyDescent="0.3"/>
    <row r="25" spans="1:8" hidden="1" x14ac:dyDescent="0.3"/>
    <row r="26" spans="1:8" hidden="1" x14ac:dyDescent="0.3"/>
    <row r="27" spans="1:8" x14ac:dyDescent="0.3">
      <c r="B27" s="372"/>
      <c r="C27" s="386"/>
      <c r="D27" s="372"/>
    </row>
    <row r="28" spans="1:8" x14ac:dyDescent="0.3">
      <c r="B28" s="372"/>
      <c r="C28" s="386"/>
      <c r="D28" s="372"/>
    </row>
  </sheetData>
  <sheetProtection algorithmName="SHA-512" hashValue="jATfvKNuK060XODEc+CTp6RTGFKDqjNgaOJiwhF83i6Fve0HtI34vsPonlYMtZJnPQHbkcFKZJy/dnfDcnYd4Q==" saltValue="N77dglT7a0ryH40MeE75HQ==" spinCount="100000" sheet="1" objects="1" scenarios="1" selectLockedCells="1" selectUnlockedCells="1"/>
  <mergeCells count="8">
    <mergeCell ref="A7:D7"/>
    <mergeCell ref="A20:D20"/>
    <mergeCell ref="A1:D1"/>
    <mergeCell ref="A2:D2"/>
    <mergeCell ref="A3:D3"/>
    <mergeCell ref="A4:D4"/>
    <mergeCell ref="A5:D5"/>
    <mergeCell ref="A6:D6"/>
  </mergeCells>
  <printOptions horizontalCentered="1"/>
  <pageMargins left="1.4960629921259843" right="0.98425196850393704" top="0.98425196850393704" bottom="0.98425196850393704" header="0.51181102362204722" footer="0.51181102362204722"/>
  <pageSetup scale="85" orientation="portrait" r:id="rId1"/>
  <headerFooter>
    <oddHeader>&amp;R&amp;"Times New Roman,Regular"Annex B.3
AAR Page 8</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60"/>
  <sheetViews>
    <sheetView zoomScaleNormal="100" workbookViewId="0">
      <selection sqref="A1:D1"/>
    </sheetView>
  </sheetViews>
  <sheetFormatPr defaultRowHeight="14.4" x14ac:dyDescent="0.3"/>
  <cols>
    <col min="1" max="1" width="42.44140625" customWidth="1"/>
    <col min="2" max="2" width="19.44140625" style="370" bestFit="1" customWidth="1"/>
    <col min="3" max="3" width="3.6640625" style="354" customWidth="1"/>
    <col min="4" max="4" width="18.6640625" style="370" customWidth="1"/>
    <col min="6" max="6" width="17.6640625" bestFit="1" customWidth="1"/>
    <col min="7" max="7" width="16.88671875" bestFit="1" customWidth="1"/>
  </cols>
  <sheetData>
    <row r="1" spans="1:4" ht="17.399999999999999" x14ac:dyDescent="0.3">
      <c r="A1" s="750" t="s">
        <v>0</v>
      </c>
      <c r="B1" s="750"/>
      <c r="C1" s="750"/>
      <c r="D1" s="750"/>
    </row>
    <row r="2" spans="1:4" ht="17.399999999999999" x14ac:dyDescent="0.3">
      <c r="A2" s="751" t="s">
        <v>2371</v>
      </c>
      <c r="B2" s="751"/>
      <c r="C2" s="751"/>
      <c r="D2" s="751"/>
    </row>
    <row r="3" spans="1:4" ht="17.399999999999999" x14ac:dyDescent="0.3">
      <c r="A3" s="751" t="s">
        <v>2436</v>
      </c>
      <c r="B3" s="751"/>
      <c r="C3" s="751"/>
      <c r="D3" s="751"/>
    </row>
    <row r="4" spans="1:4" ht="17.399999999999999" x14ac:dyDescent="0.3">
      <c r="A4" s="751" t="s">
        <v>2534</v>
      </c>
      <c r="B4" s="751"/>
      <c r="C4" s="751"/>
      <c r="D4" s="751"/>
    </row>
    <row r="5" spans="1:4" ht="18" x14ac:dyDescent="0.3">
      <c r="A5" s="747" t="s">
        <v>2406</v>
      </c>
      <c r="B5" s="747"/>
      <c r="C5" s="747"/>
      <c r="D5" s="747"/>
    </row>
    <row r="6" spans="1:4" ht="18" x14ac:dyDescent="0.3">
      <c r="A6" s="747" t="s">
        <v>2373</v>
      </c>
      <c r="B6" s="747"/>
      <c r="C6" s="747"/>
      <c r="D6" s="747"/>
    </row>
    <row r="7" spans="1:4" ht="18" x14ac:dyDescent="0.3">
      <c r="A7" s="748" t="s">
        <v>2374</v>
      </c>
      <c r="B7" s="748"/>
      <c r="C7" s="748"/>
      <c r="D7" s="748"/>
    </row>
    <row r="9" spans="1:4" ht="15.6" x14ac:dyDescent="0.3">
      <c r="A9" s="73"/>
      <c r="B9" s="309">
        <v>2022</v>
      </c>
      <c r="C9" s="310"/>
      <c r="D9" s="309">
        <v>2021</v>
      </c>
    </row>
    <row r="10" spans="1:4" ht="15.6" x14ac:dyDescent="0.3">
      <c r="A10" s="311" t="s">
        <v>2437</v>
      </c>
      <c r="B10" s="73"/>
      <c r="C10" s="73"/>
      <c r="D10" s="73"/>
    </row>
    <row r="11" spans="1:4" ht="16.2" x14ac:dyDescent="0.3">
      <c r="A11" s="377" t="s">
        <v>2438</v>
      </c>
      <c r="B11" s="378"/>
      <c r="C11" s="379"/>
      <c r="D11" s="378"/>
    </row>
    <row r="12" spans="1:4" ht="15.6" x14ac:dyDescent="0.3">
      <c r="A12" s="318" t="s">
        <v>2439</v>
      </c>
      <c r="B12" s="390">
        <v>65507971.989999995</v>
      </c>
      <c r="C12" s="315"/>
      <c r="D12" s="314">
        <v>63443402.68</v>
      </c>
    </row>
    <row r="13" spans="1:4" ht="15.6" x14ac:dyDescent="0.3">
      <c r="A13" s="318" t="s">
        <v>2440</v>
      </c>
      <c r="B13" s="373">
        <v>0</v>
      </c>
      <c r="C13" s="315"/>
      <c r="D13" s="373">
        <v>0</v>
      </c>
    </row>
    <row r="14" spans="1:4" ht="15.6" x14ac:dyDescent="0.3">
      <c r="A14" s="318" t="s">
        <v>2441</v>
      </c>
      <c r="B14" s="390">
        <v>19170.7</v>
      </c>
      <c r="C14" s="315"/>
      <c r="D14" s="373">
        <v>0</v>
      </c>
    </row>
    <row r="15" spans="1:4" ht="15.6" x14ac:dyDescent="0.3">
      <c r="A15" s="318" t="s">
        <v>2442</v>
      </c>
      <c r="B15" s="373">
        <v>0</v>
      </c>
      <c r="C15" s="315"/>
      <c r="D15" s="314">
        <v>35280.660000000003</v>
      </c>
    </row>
    <row r="16" spans="1:4" ht="15.6" x14ac:dyDescent="0.3">
      <c r="A16" s="318" t="s">
        <v>2443</v>
      </c>
      <c r="B16" s="400">
        <v>400</v>
      </c>
      <c r="C16" s="315"/>
      <c r="D16" s="315">
        <v>1326632.3899999999</v>
      </c>
    </row>
    <row r="17" spans="1:7" ht="15.6" x14ac:dyDescent="0.3">
      <c r="A17" s="339" t="s">
        <v>2444</v>
      </c>
      <c r="B17" s="417">
        <f>+SUM(B12:B16)</f>
        <v>65527542.689999998</v>
      </c>
      <c r="C17" s="321"/>
      <c r="D17" s="320">
        <f>+SUM(D12:D16)</f>
        <v>64805315.729999997</v>
      </c>
      <c r="F17" s="322"/>
      <c r="G17" s="322"/>
    </row>
    <row r="18" spans="1:7" ht="16.2" x14ac:dyDescent="0.3">
      <c r="A18" s="377" t="s">
        <v>2445</v>
      </c>
      <c r="B18" s="390"/>
      <c r="C18" s="315"/>
      <c r="D18" s="314"/>
      <c r="F18" s="322"/>
      <c r="G18" s="322"/>
    </row>
    <row r="19" spans="1:7" ht="15.6" x14ac:dyDescent="0.3">
      <c r="A19" s="76" t="s">
        <v>2446</v>
      </c>
      <c r="B19" s="391">
        <v>4228967.53</v>
      </c>
      <c r="C19" s="315"/>
      <c r="D19" s="314">
        <v>11339962.050000001</v>
      </c>
    </row>
    <row r="20" spans="1:7" ht="15.6" x14ac:dyDescent="0.3">
      <c r="A20" s="76" t="s">
        <v>2447</v>
      </c>
      <c r="B20" s="373">
        <v>0</v>
      </c>
      <c r="C20" s="315"/>
      <c r="D20" s="314">
        <v>8656964.6400000006</v>
      </c>
    </row>
    <row r="21" spans="1:7" ht="15.6" x14ac:dyDescent="0.3">
      <c r="A21" s="76" t="s">
        <v>2448</v>
      </c>
      <c r="B21" s="390">
        <v>5100384.5</v>
      </c>
      <c r="C21" s="315"/>
      <c r="D21" s="373">
        <v>0</v>
      </c>
    </row>
    <row r="22" spans="1:7" ht="15.6" x14ac:dyDescent="0.3">
      <c r="A22" s="318" t="s">
        <v>2449</v>
      </c>
      <c r="B22" s="373">
        <v>0</v>
      </c>
      <c r="C22" s="315"/>
      <c r="D22" s="373">
        <v>0</v>
      </c>
    </row>
    <row r="23" spans="1:7" ht="15.6" x14ac:dyDescent="0.3">
      <c r="A23" s="318" t="s">
        <v>2450</v>
      </c>
      <c r="B23" s="415">
        <v>47540021.520000003</v>
      </c>
      <c r="C23" s="315"/>
      <c r="D23" s="319">
        <v>11535296.949999999</v>
      </c>
    </row>
    <row r="24" spans="1:7" ht="15.6" x14ac:dyDescent="0.3">
      <c r="A24" s="339" t="s">
        <v>2451</v>
      </c>
      <c r="B24" s="397">
        <f>+SUM(B19:B23)</f>
        <v>56869373.550000004</v>
      </c>
      <c r="C24" s="321"/>
      <c r="D24" s="380">
        <f>+SUM(D19:D23)</f>
        <v>31532223.640000001</v>
      </c>
      <c r="F24" s="322"/>
      <c r="G24" s="322"/>
    </row>
    <row r="25" spans="1:7" ht="15.6" x14ac:dyDescent="0.3">
      <c r="A25" s="339" t="s">
        <v>2452</v>
      </c>
      <c r="B25" s="417">
        <f>B17-B24</f>
        <v>8658169.1399999931</v>
      </c>
      <c r="C25" s="321"/>
      <c r="D25" s="320">
        <f>D17-D24</f>
        <v>33273092.089999996</v>
      </c>
      <c r="F25" s="322"/>
      <c r="G25" s="322"/>
    </row>
    <row r="26" spans="1:7" ht="15.6" x14ac:dyDescent="0.3">
      <c r="A26" s="339"/>
      <c r="B26" s="398"/>
      <c r="C26" s="321"/>
      <c r="D26" s="321"/>
      <c r="F26" s="322"/>
      <c r="G26" s="322"/>
    </row>
    <row r="27" spans="1:7" ht="15.6" x14ac:dyDescent="0.3">
      <c r="A27" s="382" t="s">
        <v>2453</v>
      </c>
      <c r="B27" s="390"/>
      <c r="C27" s="315"/>
      <c r="D27" s="314"/>
      <c r="F27" s="322"/>
      <c r="G27" s="322"/>
    </row>
    <row r="28" spans="1:7" ht="16.2" x14ac:dyDescent="0.3">
      <c r="A28" s="377" t="s">
        <v>2454</v>
      </c>
      <c r="B28" s="390"/>
      <c r="C28" s="315"/>
      <c r="D28" s="314"/>
    </row>
    <row r="29" spans="1:7" ht="15.6" x14ac:dyDescent="0.3">
      <c r="A29" s="318" t="s">
        <v>2455</v>
      </c>
      <c r="B29" s="373">
        <v>0</v>
      </c>
      <c r="C29" s="315"/>
      <c r="D29" s="373">
        <v>0</v>
      </c>
    </row>
    <row r="30" spans="1:7" ht="15.6" x14ac:dyDescent="0.3">
      <c r="A30" s="339" t="s">
        <v>2456</v>
      </c>
      <c r="B30" s="417">
        <f>+B29</f>
        <v>0</v>
      </c>
      <c r="C30" s="321"/>
      <c r="D30" s="355">
        <f>+D29</f>
        <v>0</v>
      </c>
    </row>
    <row r="31" spans="1:7" ht="16.2" x14ac:dyDescent="0.3">
      <c r="A31" s="377" t="s">
        <v>2445</v>
      </c>
      <c r="B31" s="390"/>
      <c r="C31" s="315"/>
      <c r="D31" s="314"/>
    </row>
    <row r="32" spans="1:7" ht="15.6" x14ac:dyDescent="0.3">
      <c r="A32" s="318" t="s">
        <v>2538</v>
      </c>
      <c r="B32" s="414">
        <v>27122004.059999999</v>
      </c>
      <c r="C32" s="315"/>
      <c r="D32" s="319">
        <v>31337979.989999998</v>
      </c>
    </row>
    <row r="33" spans="1:8" ht="15.6" x14ac:dyDescent="0.3">
      <c r="A33" s="339" t="s">
        <v>2451</v>
      </c>
      <c r="B33" s="416">
        <f>+B32</f>
        <v>27122004.059999999</v>
      </c>
      <c r="C33" s="321"/>
      <c r="D33" s="502">
        <f>+D32</f>
        <v>31337979.989999998</v>
      </c>
    </row>
    <row r="34" spans="1:8" ht="15.6" x14ac:dyDescent="0.3">
      <c r="A34" s="339" t="s">
        <v>2458</v>
      </c>
      <c r="B34" s="488">
        <f>+B30-B33</f>
        <v>-27122004.059999999</v>
      </c>
      <c r="C34" s="398"/>
      <c r="D34" s="488">
        <f>+D30-D33</f>
        <v>-31337979.989999998</v>
      </c>
    </row>
    <row r="35" spans="1:8" ht="15.6" x14ac:dyDescent="0.3">
      <c r="A35" s="339"/>
      <c r="B35" s="399"/>
      <c r="C35" s="398"/>
      <c r="D35" s="399"/>
    </row>
    <row r="36" spans="1:8" ht="15.6" x14ac:dyDescent="0.3">
      <c r="A36" s="382" t="s">
        <v>2459</v>
      </c>
      <c r="B36" s="390"/>
      <c r="C36" s="400"/>
      <c r="D36" s="390"/>
    </row>
    <row r="37" spans="1:8" ht="16.2" x14ac:dyDescent="0.3">
      <c r="A37" s="377" t="s">
        <v>2438</v>
      </c>
      <c r="B37" s="390"/>
      <c r="C37" s="315"/>
      <c r="D37" s="314"/>
    </row>
    <row r="38" spans="1:8" ht="15.6" x14ac:dyDescent="0.3">
      <c r="A38" s="318" t="s">
        <v>2539</v>
      </c>
      <c r="B38" s="373">
        <v>0</v>
      </c>
      <c r="C38" s="315"/>
      <c r="D38" s="373">
        <v>0</v>
      </c>
    </row>
    <row r="39" spans="1:8" ht="15.6" x14ac:dyDescent="0.3">
      <c r="A39" s="339" t="s">
        <v>2444</v>
      </c>
      <c r="B39" s="417">
        <f>+B38</f>
        <v>0</v>
      </c>
      <c r="C39" s="315"/>
      <c r="D39" s="355">
        <f>+D38</f>
        <v>0</v>
      </c>
    </row>
    <row r="40" spans="1:8" ht="16.2" x14ac:dyDescent="0.3">
      <c r="A40" s="377" t="s">
        <v>2445</v>
      </c>
      <c r="B40" s="390"/>
      <c r="C40" s="315"/>
      <c r="D40" s="314"/>
    </row>
    <row r="41" spans="1:8" ht="15.6" x14ac:dyDescent="0.3">
      <c r="A41" s="318" t="s">
        <v>2540</v>
      </c>
      <c r="B41" s="373">
        <v>0</v>
      </c>
      <c r="C41" s="315"/>
      <c r="D41" s="373">
        <v>0</v>
      </c>
    </row>
    <row r="42" spans="1:8" ht="15.6" x14ac:dyDescent="0.3">
      <c r="A42" s="339" t="s">
        <v>2451</v>
      </c>
      <c r="B42" s="417">
        <f>+B41</f>
        <v>0</v>
      </c>
      <c r="C42" s="315"/>
      <c r="D42" s="355">
        <f>+D41</f>
        <v>0</v>
      </c>
    </row>
    <row r="43" spans="1:8" ht="15.6" x14ac:dyDescent="0.3">
      <c r="A43" s="339" t="s">
        <v>2459</v>
      </c>
      <c r="B43" s="355">
        <f>B39-B42</f>
        <v>0</v>
      </c>
      <c r="C43" s="321"/>
      <c r="D43" s="355">
        <f>D39-D42</f>
        <v>0</v>
      </c>
    </row>
    <row r="44" spans="1:8" ht="15.6" x14ac:dyDescent="0.3">
      <c r="A44" s="339"/>
      <c r="B44" s="490"/>
      <c r="C44" s="321"/>
      <c r="D44" s="490"/>
    </row>
    <row r="45" spans="1:8" ht="15.75" customHeight="1" x14ac:dyDescent="0.3">
      <c r="A45" s="311" t="s">
        <v>2462</v>
      </c>
      <c r="B45" s="384"/>
      <c r="C45" s="385"/>
      <c r="D45" s="385"/>
    </row>
    <row r="46" spans="1:8" ht="15.6" x14ac:dyDescent="0.3">
      <c r="A46" s="311" t="s">
        <v>2463</v>
      </c>
      <c r="B46" s="491">
        <f>B25+B34+B43</f>
        <v>-18463834.920000006</v>
      </c>
      <c r="C46" s="384"/>
      <c r="D46" s="384">
        <f>D25+D34+D43</f>
        <v>1935112.0999999978</v>
      </c>
    </row>
    <row r="47" spans="1:8" ht="15.6" x14ac:dyDescent="0.3">
      <c r="A47" s="339" t="s">
        <v>2464</v>
      </c>
      <c r="B47" s="364">
        <f>D48</f>
        <v>81255687.970000014</v>
      </c>
      <c r="C47" s="350"/>
      <c r="D47" s="364">
        <v>79320575.87000002</v>
      </c>
    </row>
    <row r="48" spans="1:8" ht="16.2" thickBot="1" x14ac:dyDescent="0.35">
      <c r="A48" s="339" t="s">
        <v>2465</v>
      </c>
      <c r="B48" s="346">
        <f>SUM(B46:B47)</f>
        <v>62791853.050000012</v>
      </c>
      <c r="C48" s="321"/>
      <c r="D48" s="346">
        <f>SUM(D46:D47)</f>
        <v>81255687.970000014</v>
      </c>
      <c r="F48" s="316"/>
      <c r="G48" s="419"/>
      <c r="H48" t="s">
        <v>2466</v>
      </c>
    </row>
    <row r="49" spans="1:8" ht="16.2" thickTop="1" x14ac:dyDescent="0.3">
      <c r="A49" s="347"/>
    </row>
    <row r="50" spans="1:8" ht="15.6" x14ac:dyDescent="0.3">
      <c r="A50" s="749"/>
      <c r="B50" s="749"/>
      <c r="C50" s="749"/>
      <c r="D50" s="749"/>
      <c r="F50" s="322"/>
      <c r="H50" s="322"/>
    </row>
    <row r="51" spans="1:8" x14ac:dyDescent="0.3">
      <c r="B51" s="372"/>
      <c r="C51" s="386"/>
      <c r="D51" s="372"/>
    </row>
    <row r="52" spans="1:8" ht="15.6" x14ac:dyDescent="0.3">
      <c r="B52" s="387"/>
      <c r="C52" s="388"/>
      <c r="D52" s="387"/>
    </row>
    <row r="53" spans="1:8" x14ac:dyDescent="0.3">
      <c r="B53" s="372"/>
      <c r="C53" s="386"/>
      <c r="D53" s="372"/>
    </row>
    <row r="54" spans="1:8" x14ac:dyDescent="0.3">
      <c r="B54" s="503">
        <f>B48-[2]SFPO!D12</f>
        <v>0</v>
      </c>
      <c r="C54" s="504"/>
      <c r="D54" s="503">
        <f>D48-[2]SFPO!E12</f>
        <v>0</v>
      </c>
    </row>
    <row r="56" spans="1:8" x14ac:dyDescent="0.3">
      <c r="B56" s="389"/>
      <c r="C56" s="363"/>
      <c r="D56" s="389"/>
    </row>
    <row r="57" spans="1:8" x14ac:dyDescent="0.3">
      <c r="B57" s="389"/>
      <c r="C57" s="363"/>
      <c r="D57" s="389"/>
    </row>
    <row r="60" spans="1:8" x14ac:dyDescent="0.3">
      <c r="B60" s="389"/>
      <c r="C60" s="363"/>
      <c r="D60" s="389"/>
    </row>
  </sheetData>
  <sheetProtection algorithmName="SHA-512" hashValue="gXlJl2r0SU2fJ/6QBPU00g+6hp2434N624AzjAA9RnxAhE4A1jFZ1nZGlkSMo+BQOzuXZCfijkhUic2rXLxqKg==" saltValue="5X2TUIcfuWq19hPOxKaTRA==" spinCount="100000" sheet="1" objects="1" scenarios="1" selectLockedCells="1" selectUnlockedCells="1"/>
  <mergeCells count="8">
    <mergeCell ref="A7:D7"/>
    <mergeCell ref="A50:D50"/>
    <mergeCell ref="A1:D1"/>
    <mergeCell ref="A2:D2"/>
    <mergeCell ref="A3:D3"/>
    <mergeCell ref="A4:D4"/>
    <mergeCell ref="A5:D5"/>
    <mergeCell ref="A6:D6"/>
  </mergeCells>
  <printOptions horizontalCentered="1"/>
  <pageMargins left="1.4960629921259843" right="0.98425196850393704" top="0.98425196850393704" bottom="0.98425196850393704" header="0.51181102362204722" footer="0.51181102362204722"/>
  <pageSetup scale="82" orientation="portrait" r:id="rId1"/>
  <headerFooter>
    <oddHeader>&amp;R&amp;"Times New Roman,Regular"Annex B.4
AAR Page 9</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9"/>
  <sheetViews>
    <sheetView zoomScaleNormal="100" workbookViewId="0">
      <selection sqref="A1:N1"/>
    </sheetView>
  </sheetViews>
  <sheetFormatPr defaultColWidth="8.88671875" defaultRowHeight="15.6" x14ac:dyDescent="0.3"/>
  <cols>
    <col min="1" max="4" width="2.6640625" style="423" customWidth="1"/>
    <col min="5" max="5" width="35.44140625" style="423" customWidth="1"/>
    <col min="6" max="6" width="17.33203125" style="423" customWidth="1"/>
    <col min="7" max="7" width="16.5546875" style="423" hidden="1" customWidth="1"/>
    <col min="8" max="8" width="17.33203125" style="423" customWidth="1"/>
    <col min="9" max="9" width="16.88671875" style="423" hidden="1" customWidth="1"/>
    <col min="10" max="10" width="16.6640625" style="423" customWidth="1"/>
    <col min="11" max="11" width="16.109375" style="423" hidden="1" customWidth="1"/>
    <col min="12" max="12" width="17.33203125" style="423" bestFit="1" customWidth="1"/>
    <col min="13" max="13" width="18.6640625" style="423" hidden="1" customWidth="1"/>
    <col min="14" max="14" width="17" style="423" bestFit="1" customWidth="1"/>
    <col min="15" max="254" width="8.88671875" style="423"/>
    <col min="255" max="258" width="2.6640625" style="423" customWidth="1"/>
    <col min="259" max="259" width="49.33203125" style="423" customWidth="1"/>
    <col min="260" max="260" width="10.44140625" style="423" customWidth="1"/>
    <col min="261" max="261" width="18.88671875" style="423" customWidth="1"/>
    <col min="262" max="262" width="18.6640625" style="423" bestFit="1" customWidth="1"/>
    <col min="263" max="263" width="17.6640625" style="423" bestFit="1" customWidth="1"/>
    <col min="264" max="264" width="18.6640625" style="423" bestFit="1" customWidth="1"/>
    <col min="265" max="265" width="17.6640625" style="423" bestFit="1" customWidth="1"/>
    <col min="266" max="266" width="17.33203125" style="423" customWidth="1"/>
    <col min="267" max="267" width="17.33203125" style="423" bestFit="1" customWidth="1"/>
    <col min="268" max="268" width="18.6640625" style="423" bestFit="1" customWidth="1"/>
    <col min="269" max="269" width="19.109375" style="423" bestFit="1" customWidth="1"/>
    <col min="270" max="270" width="19.5546875" style="423" bestFit="1" customWidth="1"/>
    <col min="271" max="510" width="8.88671875" style="423"/>
    <col min="511" max="514" width="2.6640625" style="423" customWidth="1"/>
    <col min="515" max="515" width="49.33203125" style="423" customWidth="1"/>
    <col min="516" max="516" width="10.44140625" style="423" customWidth="1"/>
    <col min="517" max="517" width="18.88671875" style="423" customWidth="1"/>
    <col min="518" max="518" width="18.6640625" style="423" bestFit="1" customWidth="1"/>
    <col min="519" max="519" width="17.6640625" style="423" bestFit="1" customWidth="1"/>
    <col min="520" max="520" width="18.6640625" style="423" bestFit="1" customWidth="1"/>
    <col min="521" max="521" width="17.6640625" style="423" bestFit="1" customWidth="1"/>
    <col min="522" max="522" width="17.33203125" style="423" customWidth="1"/>
    <col min="523" max="523" width="17.33203125" style="423" bestFit="1" customWidth="1"/>
    <col min="524" max="524" width="18.6640625" style="423" bestFit="1" customWidth="1"/>
    <col min="525" max="525" width="19.109375" style="423" bestFit="1" customWidth="1"/>
    <col min="526" max="526" width="19.5546875" style="423" bestFit="1" customWidth="1"/>
    <col min="527" max="766" width="8.88671875" style="423"/>
    <col min="767" max="770" width="2.6640625" style="423" customWidth="1"/>
    <col min="771" max="771" width="49.33203125" style="423" customWidth="1"/>
    <col min="772" max="772" width="10.44140625" style="423" customWidth="1"/>
    <col min="773" max="773" width="18.88671875" style="423" customWidth="1"/>
    <col min="774" max="774" width="18.6640625" style="423" bestFit="1" customWidth="1"/>
    <col min="775" max="775" width="17.6640625" style="423" bestFit="1" customWidth="1"/>
    <col min="776" max="776" width="18.6640625" style="423" bestFit="1" customWidth="1"/>
    <col min="777" max="777" width="17.6640625" style="423" bestFit="1" customWidth="1"/>
    <col min="778" max="778" width="17.33203125" style="423" customWidth="1"/>
    <col min="779" max="779" width="17.33203125" style="423" bestFit="1" customWidth="1"/>
    <col min="780" max="780" width="18.6640625" style="423" bestFit="1" customWidth="1"/>
    <col min="781" max="781" width="19.109375" style="423" bestFit="1" customWidth="1"/>
    <col min="782" max="782" width="19.5546875" style="423" bestFit="1" customWidth="1"/>
    <col min="783" max="1022" width="8.88671875" style="423"/>
    <col min="1023" max="1026" width="2.6640625" style="423" customWidth="1"/>
    <col min="1027" max="1027" width="49.33203125" style="423" customWidth="1"/>
    <col min="1028" max="1028" width="10.44140625" style="423" customWidth="1"/>
    <col min="1029" max="1029" width="18.88671875" style="423" customWidth="1"/>
    <col min="1030" max="1030" width="18.6640625" style="423" bestFit="1" customWidth="1"/>
    <col min="1031" max="1031" width="17.6640625" style="423" bestFit="1" customWidth="1"/>
    <col min="1032" max="1032" width="18.6640625" style="423" bestFit="1" customWidth="1"/>
    <col min="1033" max="1033" width="17.6640625" style="423" bestFit="1" customWidth="1"/>
    <col min="1034" max="1034" width="17.33203125" style="423" customWidth="1"/>
    <col min="1035" max="1035" width="17.33203125" style="423" bestFit="1" customWidth="1"/>
    <col min="1036" max="1036" width="18.6640625" style="423" bestFit="1" customWidth="1"/>
    <col min="1037" max="1037" width="19.109375" style="423" bestFit="1" customWidth="1"/>
    <col min="1038" max="1038" width="19.5546875" style="423" bestFit="1" customWidth="1"/>
    <col min="1039" max="1278" width="8.88671875" style="423"/>
    <col min="1279" max="1282" width="2.6640625" style="423" customWidth="1"/>
    <col min="1283" max="1283" width="49.33203125" style="423" customWidth="1"/>
    <col min="1284" max="1284" width="10.44140625" style="423" customWidth="1"/>
    <col min="1285" max="1285" width="18.88671875" style="423" customWidth="1"/>
    <col min="1286" max="1286" width="18.6640625" style="423" bestFit="1" customWidth="1"/>
    <col min="1287" max="1287" width="17.6640625" style="423" bestFit="1" customWidth="1"/>
    <col min="1288" max="1288" width="18.6640625" style="423" bestFit="1" customWidth="1"/>
    <col min="1289" max="1289" width="17.6640625" style="423" bestFit="1" customWidth="1"/>
    <col min="1290" max="1290" width="17.33203125" style="423" customWidth="1"/>
    <col min="1291" max="1291" width="17.33203125" style="423" bestFit="1" customWidth="1"/>
    <col min="1292" max="1292" width="18.6640625" style="423" bestFit="1" customWidth="1"/>
    <col min="1293" max="1293" width="19.109375" style="423" bestFit="1" customWidth="1"/>
    <col min="1294" max="1294" width="19.5546875" style="423" bestFit="1" customWidth="1"/>
    <col min="1295" max="1534" width="8.88671875" style="423"/>
    <col min="1535" max="1538" width="2.6640625" style="423" customWidth="1"/>
    <col min="1539" max="1539" width="49.33203125" style="423" customWidth="1"/>
    <col min="1540" max="1540" width="10.44140625" style="423" customWidth="1"/>
    <col min="1541" max="1541" width="18.88671875" style="423" customWidth="1"/>
    <col min="1542" max="1542" width="18.6640625" style="423" bestFit="1" customWidth="1"/>
    <col min="1543" max="1543" width="17.6640625" style="423" bestFit="1" customWidth="1"/>
    <col min="1544" max="1544" width="18.6640625" style="423" bestFit="1" customWidth="1"/>
    <col min="1545" max="1545" width="17.6640625" style="423" bestFit="1" customWidth="1"/>
    <col min="1546" max="1546" width="17.33203125" style="423" customWidth="1"/>
    <col min="1547" max="1547" width="17.33203125" style="423" bestFit="1" customWidth="1"/>
    <col min="1548" max="1548" width="18.6640625" style="423" bestFit="1" customWidth="1"/>
    <col min="1549" max="1549" width="19.109375" style="423" bestFit="1" customWidth="1"/>
    <col min="1550" max="1550" width="19.5546875" style="423" bestFit="1" customWidth="1"/>
    <col min="1551" max="1790" width="8.88671875" style="423"/>
    <col min="1791" max="1794" width="2.6640625" style="423" customWidth="1"/>
    <col min="1795" max="1795" width="49.33203125" style="423" customWidth="1"/>
    <col min="1796" max="1796" width="10.44140625" style="423" customWidth="1"/>
    <col min="1797" max="1797" width="18.88671875" style="423" customWidth="1"/>
    <col min="1798" max="1798" width="18.6640625" style="423" bestFit="1" customWidth="1"/>
    <col min="1799" max="1799" width="17.6640625" style="423" bestFit="1" customWidth="1"/>
    <col min="1800" max="1800" width="18.6640625" style="423" bestFit="1" customWidth="1"/>
    <col min="1801" max="1801" width="17.6640625" style="423" bestFit="1" customWidth="1"/>
    <col min="1802" max="1802" width="17.33203125" style="423" customWidth="1"/>
    <col min="1803" max="1803" width="17.33203125" style="423" bestFit="1" customWidth="1"/>
    <col min="1804" max="1804" width="18.6640625" style="423" bestFit="1" customWidth="1"/>
    <col min="1805" max="1805" width="19.109375" style="423" bestFit="1" customWidth="1"/>
    <col min="1806" max="1806" width="19.5546875" style="423" bestFit="1" customWidth="1"/>
    <col min="1807" max="2046" width="8.88671875" style="423"/>
    <col min="2047" max="2050" width="2.6640625" style="423" customWidth="1"/>
    <col min="2051" max="2051" width="49.33203125" style="423" customWidth="1"/>
    <col min="2052" max="2052" width="10.44140625" style="423" customWidth="1"/>
    <col min="2053" max="2053" width="18.88671875" style="423" customWidth="1"/>
    <col min="2054" max="2054" width="18.6640625" style="423" bestFit="1" customWidth="1"/>
    <col min="2055" max="2055" width="17.6640625" style="423" bestFit="1" customWidth="1"/>
    <col min="2056" max="2056" width="18.6640625" style="423" bestFit="1" customWidth="1"/>
    <col min="2057" max="2057" width="17.6640625" style="423" bestFit="1" customWidth="1"/>
    <col min="2058" max="2058" width="17.33203125" style="423" customWidth="1"/>
    <col min="2059" max="2059" width="17.33203125" style="423" bestFit="1" customWidth="1"/>
    <col min="2060" max="2060" width="18.6640625" style="423" bestFit="1" customWidth="1"/>
    <col min="2061" max="2061" width="19.109375" style="423" bestFit="1" customWidth="1"/>
    <col min="2062" max="2062" width="19.5546875" style="423" bestFit="1" customWidth="1"/>
    <col min="2063" max="2302" width="8.88671875" style="423"/>
    <col min="2303" max="2306" width="2.6640625" style="423" customWidth="1"/>
    <col min="2307" max="2307" width="49.33203125" style="423" customWidth="1"/>
    <col min="2308" max="2308" width="10.44140625" style="423" customWidth="1"/>
    <col min="2309" max="2309" width="18.88671875" style="423" customWidth="1"/>
    <col min="2310" max="2310" width="18.6640625" style="423" bestFit="1" customWidth="1"/>
    <col min="2311" max="2311" width="17.6640625" style="423" bestFit="1" customWidth="1"/>
    <col min="2312" max="2312" width="18.6640625" style="423" bestFit="1" customWidth="1"/>
    <col min="2313" max="2313" width="17.6640625" style="423" bestFit="1" customWidth="1"/>
    <col min="2314" max="2314" width="17.33203125" style="423" customWidth="1"/>
    <col min="2315" max="2315" width="17.33203125" style="423" bestFit="1" customWidth="1"/>
    <col min="2316" max="2316" width="18.6640625" style="423" bestFit="1" customWidth="1"/>
    <col min="2317" max="2317" width="19.109375" style="423" bestFit="1" customWidth="1"/>
    <col min="2318" max="2318" width="19.5546875" style="423" bestFit="1" customWidth="1"/>
    <col min="2319" max="2558" width="8.88671875" style="423"/>
    <col min="2559" max="2562" width="2.6640625" style="423" customWidth="1"/>
    <col min="2563" max="2563" width="49.33203125" style="423" customWidth="1"/>
    <col min="2564" max="2564" width="10.44140625" style="423" customWidth="1"/>
    <col min="2565" max="2565" width="18.88671875" style="423" customWidth="1"/>
    <col min="2566" max="2566" width="18.6640625" style="423" bestFit="1" customWidth="1"/>
    <col min="2567" max="2567" width="17.6640625" style="423" bestFit="1" customWidth="1"/>
    <col min="2568" max="2568" width="18.6640625" style="423" bestFit="1" customWidth="1"/>
    <col min="2569" max="2569" width="17.6640625" style="423" bestFit="1" customWidth="1"/>
    <col min="2570" max="2570" width="17.33203125" style="423" customWidth="1"/>
    <col min="2571" max="2571" width="17.33203125" style="423" bestFit="1" customWidth="1"/>
    <col min="2572" max="2572" width="18.6640625" style="423" bestFit="1" customWidth="1"/>
    <col min="2573" max="2573" width="19.109375" style="423" bestFit="1" customWidth="1"/>
    <col min="2574" max="2574" width="19.5546875" style="423" bestFit="1" customWidth="1"/>
    <col min="2575" max="2814" width="8.88671875" style="423"/>
    <col min="2815" max="2818" width="2.6640625" style="423" customWidth="1"/>
    <col min="2819" max="2819" width="49.33203125" style="423" customWidth="1"/>
    <col min="2820" max="2820" width="10.44140625" style="423" customWidth="1"/>
    <col min="2821" max="2821" width="18.88671875" style="423" customWidth="1"/>
    <col min="2822" max="2822" width="18.6640625" style="423" bestFit="1" customWidth="1"/>
    <col min="2823" max="2823" width="17.6640625" style="423" bestFit="1" customWidth="1"/>
    <col min="2824" max="2824" width="18.6640625" style="423" bestFit="1" customWidth="1"/>
    <col min="2825" max="2825" width="17.6640625" style="423" bestFit="1" customWidth="1"/>
    <col min="2826" max="2826" width="17.33203125" style="423" customWidth="1"/>
    <col min="2827" max="2827" width="17.33203125" style="423" bestFit="1" customWidth="1"/>
    <col min="2828" max="2828" width="18.6640625" style="423" bestFit="1" customWidth="1"/>
    <col min="2829" max="2829" width="19.109375" style="423" bestFit="1" customWidth="1"/>
    <col min="2830" max="2830" width="19.5546875" style="423" bestFit="1" customWidth="1"/>
    <col min="2831" max="3070" width="8.88671875" style="423"/>
    <col min="3071" max="3074" width="2.6640625" style="423" customWidth="1"/>
    <col min="3075" max="3075" width="49.33203125" style="423" customWidth="1"/>
    <col min="3076" max="3076" width="10.44140625" style="423" customWidth="1"/>
    <col min="3077" max="3077" width="18.88671875" style="423" customWidth="1"/>
    <col min="3078" max="3078" width="18.6640625" style="423" bestFit="1" customWidth="1"/>
    <col min="3079" max="3079" width="17.6640625" style="423" bestFit="1" customWidth="1"/>
    <col min="3080" max="3080" width="18.6640625" style="423" bestFit="1" customWidth="1"/>
    <col min="3081" max="3081" width="17.6640625" style="423" bestFit="1" customWidth="1"/>
    <col min="3082" max="3082" width="17.33203125" style="423" customWidth="1"/>
    <col min="3083" max="3083" width="17.33203125" style="423" bestFit="1" customWidth="1"/>
    <col min="3084" max="3084" width="18.6640625" style="423" bestFit="1" customWidth="1"/>
    <col min="3085" max="3085" width="19.109375" style="423" bestFit="1" customWidth="1"/>
    <col min="3086" max="3086" width="19.5546875" style="423" bestFit="1" customWidth="1"/>
    <col min="3087" max="3326" width="8.88671875" style="423"/>
    <col min="3327" max="3330" width="2.6640625" style="423" customWidth="1"/>
    <col min="3331" max="3331" width="49.33203125" style="423" customWidth="1"/>
    <col min="3332" max="3332" width="10.44140625" style="423" customWidth="1"/>
    <col min="3333" max="3333" width="18.88671875" style="423" customWidth="1"/>
    <col min="3334" max="3334" width="18.6640625" style="423" bestFit="1" customWidth="1"/>
    <col min="3335" max="3335" width="17.6640625" style="423" bestFit="1" customWidth="1"/>
    <col min="3336" max="3336" width="18.6640625" style="423" bestFit="1" customWidth="1"/>
    <col min="3337" max="3337" width="17.6640625" style="423" bestFit="1" customWidth="1"/>
    <col min="3338" max="3338" width="17.33203125" style="423" customWidth="1"/>
    <col min="3339" max="3339" width="17.33203125" style="423" bestFit="1" customWidth="1"/>
    <col min="3340" max="3340" width="18.6640625" style="423" bestFit="1" customWidth="1"/>
    <col min="3341" max="3341" width="19.109375" style="423" bestFit="1" customWidth="1"/>
    <col min="3342" max="3342" width="19.5546875" style="423" bestFit="1" customWidth="1"/>
    <col min="3343" max="3582" width="8.88671875" style="423"/>
    <col min="3583" max="3586" width="2.6640625" style="423" customWidth="1"/>
    <col min="3587" max="3587" width="49.33203125" style="423" customWidth="1"/>
    <col min="3588" max="3588" width="10.44140625" style="423" customWidth="1"/>
    <col min="3589" max="3589" width="18.88671875" style="423" customWidth="1"/>
    <col min="3590" max="3590" width="18.6640625" style="423" bestFit="1" customWidth="1"/>
    <col min="3591" max="3591" width="17.6640625" style="423" bestFit="1" customWidth="1"/>
    <col min="3592" max="3592" width="18.6640625" style="423" bestFit="1" customWidth="1"/>
    <col min="3593" max="3593" width="17.6640625" style="423" bestFit="1" customWidth="1"/>
    <col min="3594" max="3594" width="17.33203125" style="423" customWidth="1"/>
    <col min="3595" max="3595" width="17.33203125" style="423" bestFit="1" customWidth="1"/>
    <col min="3596" max="3596" width="18.6640625" style="423" bestFit="1" customWidth="1"/>
    <col min="3597" max="3597" width="19.109375" style="423" bestFit="1" customWidth="1"/>
    <col min="3598" max="3598" width="19.5546875" style="423" bestFit="1" customWidth="1"/>
    <col min="3599" max="3838" width="8.88671875" style="423"/>
    <col min="3839" max="3842" width="2.6640625" style="423" customWidth="1"/>
    <col min="3843" max="3843" width="49.33203125" style="423" customWidth="1"/>
    <col min="3844" max="3844" width="10.44140625" style="423" customWidth="1"/>
    <col min="3845" max="3845" width="18.88671875" style="423" customWidth="1"/>
    <col min="3846" max="3846" width="18.6640625" style="423" bestFit="1" customWidth="1"/>
    <col min="3847" max="3847" width="17.6640625" style="423" bestFit="1" customWidth="1"/>
    <col min="3848" max="3848" width="18.6640625" style="423" bestFit="1" customWidth="1"/>
    <col min="3849" max="3849" width="17.6640625" style="423" bestFit="1" customWidth="1"/>
    <col min="3850" max="3850" width="17.33203125" style="423" customWidth="1"/>
    <col min="3851" max="3851" width="17.33203125" style="423" bestFit="1" customWidth="1"/>
    <col min="3852" max="3852" width="18.6640625" style="423" bestFit="1" customWidth="1"/>
    <col min="3853" max="3853" width="19.109375" style="423" bestFit="1" customWidth="1"/>
    <col min="3854" max="3854" width="19.5546875" style="423" bestFit="1" customWidth="1"/>
    <col min="3855" max="4094" width="8.88671875" style="423"/>
    <col min="4095" max="4098" width="2.6640625" style="423" customWidth="1"/>
    <col min="4099" max="4099" width="49.33203125" style="423" customWidth="1"/>
    <col min="4100" max="4100" width="10.44140625" style="423" customWidth="1"/>
    <col min="4101" max="4101" width="18.88671875" style="423" customWidth="1"/>
    <col min="4102" max="4102" width="18.6640625" style="423" bestFit="1" customWidth="1"/>
    <col min="4103" max="4103" width="17.6640625" style="423" bestFit="1" customWidth="1"/>
    <col min="4104" max="4104" width="18.6640625" style="423" bestFit="1" customWidth="1"/>
    <col min="4105" max="4105" width="17.6640625" style="423" bestFit="1" customWidth="1"/>
    <col min="4106" max="4106" width="17.33203125" style="423" customWidth="1"/>
    <col min="4107" max="4107" width="17.33203125" style="423" bestFit="1" customWidth="1"/>
    <col min="4108" max="4108" width="18.6640625" style="423" bestFit="1" customWidth="1"/>
    <col min="4109" max="4109" width="19.109375" style="423" bestFit="1" customWidth="1"/>
    <col min="4110" max="4110" width="19.5546875" style="423" bestFit="1" customWidth="1"/>
    <col min="4111" max="4350" width="8.88671875" style="423"/>
    <col min="4351" max="4354" width="2.6640625" style="423" customWidth="1"/>
    <col min="4355" max="4355" width="49.33203125" style="423" customWidth="1"/>
    <col min="4356" max="4356" width="10.44140625" style="423" customWidth="1"/>
    <col min="4357" max="4357" width="18.88671875" style="423" customWidth="1"/>
    <col min="4358" max="4358" width="18.6640625" style="423" bestFit="1" customWidth="1"/>
    <col min="4359" max="4359" width="17.6640625" style="423" bestFit="1" customWidth="1"/>
    <col min="4360" max="4360" width="18.6640625" style="423" bestFit="1" customWidth="1"/>
    <col min="4361" max="4361" width="17.6640625" style="423" bestFit="1" customWidth="1"/>
    <col min="4362" max="4362" width="17.33203125" style="423" customWidth="1"/>
    <col min="4363" max="4363" width="17.33203125" style="423" bestFit="1" customWidth="1"/>
    <col min="4364" max="4364" width="18.6640625" style="423" bestFit="1" customWidth="1"/>
    <col min="4365" max="4365" width="19.109375" style="423" bestFit="1" customWidth="1"/>
    <col min="4366" max="4366" width="19.5546875" style="423" bestFit="1" customWidth="1"/>
    <col min="4367" max="4606" width="8.88671875" style="423"/>
    <col min="4607" max="4610" width="2.6640625" style="423" customWidth="1"/>
    <col min="4611" max="4611" width="49.33203125" style="423" customWidth="1"/>
    <col min="4612" max="4612" width="10.44140625" style="423" customWidth="1"/>
    <col min="4613" max="4613" width="18.88671875" style="423" customWidth="1"/>
    <col min="4614" max="4614" width="18.6640625" style="423" bestFit="1" customWidth="1"/>
    <col min="4615" max="4615" width="17.6640625" style="423" bestFit="1" customWidth="1"/>
    <col min="4616" max="4616" width="18.6640625" style="423" bestFit="1" customWidth="1"/>
    <col min="4617" max="4617" width="17.6640625" style="423" bestFit="1" customWidth="1"/>
    <col min="4618" max="4618" width="17.33203125" style="423" customWidth="1"/>
    <col min="4619" max="4619" width="17.33203125" style="423" bestFit="1" customWidth="1"/>
    <col min="4620" max="4620" width="18.6640625" style="423" bestFit="1" customWidth="1"/>
    <col min="4621" max="4621" width="19.109375" style="423" bestFit="1" customWidth="1"/>
    <col min="4622" max="4622" width="19.5546875" style="423" bestFit="1" customWidth="1"/>
    <col min="4623" max="4862" width="8.88671875" style="423"/>
    <col min="4863" max="4866" width="2.6640625" style="423" customWidth="1"/>
    <col min="4867" max="4867" width="49.33203125" style="423" customWidth="1"/>
    <col min="4868" max="4868" width="10.44140625" style="423" customWidth="1"/>
    <col min="4869" max="4869" width="18.88671875" style="423" customWidth="1"/>
    <col min="4870" max="4870" width="18.6640625" style="423" bestFit="1" customWidth="1"/>
    <col min="4871" max="4871" width="17.6640625" style="423" bestFit="1" customWidth="1"/>
    <col min="4872" max="4872" width="18.6640625" style="423" bestFit="1" customWidth="1"/>
    <col min="4873" max="4873" width="17.6640625" style="423" bestFit="1" customWidth="1"/>
    <col min="4874" max="4874" width="17.33203125" style="423" customWidth="1"/>
    <col min="4875" max="4875" width="17.33203125" style="423" bestFit="1" customWidth="1"/>
    <col min="4876" max="4876" width="18.6640625" style="423" bestFit="1" customWidth="1"/>
    <col min="4877" max="4877" width="19.109375" style="423" bestFit="1" customWidth="1"/>
    <col min="4878" max="4878" width="19.5546875" style="423" bestFit="1" customWidth="1"/>
    <col min="4879" max="5118" width="8.88671875" style="423"/>
    <col min="5119" max="5122" width="2.6640625" style="423" customWidth="1"/>
    <col min="5123" max="5123" width="49.33203125" style="423" customWidth="1"/>
    <col min="5124" max="5124" width="10.44140625" style="423" customWidth="1"/>
    <col min="5125" max="5125" width="18.88671875" style="423" customWidth="1"/>
    <col min="5126" max="5126" width="18.6640625" style="423" bestFit="1" customWidth="1"/>
    <col min="5127" max="5127" width="17.6640625" style="423" bestFit="1" customWidth="1"/>
    <col min="5128" max="5128" width="18.6640625" style="423" bestFit="1" customWidth="1"/>
    <col min="5129" max="5129" width="17.6640625" style="423" bestFit="1" customWidth="1"/>
    <col min="5130" max="5130" width="17.33203125" style="423" customWidth="1"/>
    <col min="5131" max="5131" width="17.33203125" style="423" bestFit="1" customWidth="1"/>
    <col min="5132" max="5132" width="18.6640625" style="423" bestFit="1" customWidth="1"/>
    <col min="5133" max="5133" width="19.109375" style="423" bestFit="1" customWidth="1"/>
    <col min="5134" max="5134" width="19.5546875" style="423" bestFit="1" customWidth="1"/>
    <col min="5135" max="5374" width="8.88671875" style="423"/>
    <col min="5375" max="5378" width="2.6640625" style="423" customWidth="1"/>
    <col min="5379" max="5379" width="49.33203125" style="423" customWidth="1"/>
    <col min="5380" max="5380" width="10.44140625" style="423" customWidth="1"/>
    <col min="5381" max="5381" width="18.88671875" style="423" customWidth="1"/>
    <col min="5382" max="5382" width="18.6640625" style="423" bestFit="1" customWidth="1"/>
    <col min="5383" max="5383" width="17.6640625" style="423" bestFit="1" customWidth="1"/>
    <col min="5384" max="5384" width="18.6640625" style="423" bestFit="1" customWidth="1"/>
    <col min="5385" max="5385" width="17.6640625" style="423" bestFit="1" customWidth="1"/>
    <col min="5386" max="5386" width="17.33203125" style="423" customWidth="1"/>
    <col min="5387" max="5387" width="17.33203125" style="423" bestFit="1" customWidth="1"/>
    <col min="5388" max="5388" width="18.6640625" style="423" bestFit="1" customWidth="1"/>
    <col min="5389" max="5389" width="19.109375" style="423" bestFit="1" customWidth="1"/>
    <col min="5390" max="5390" width="19.5546875" style="423" bestFit="1" customWidth="1"/>
    <col min="5391" max="5630" width="8.88671875" style="423"/>
    <col min="5631" max="5634" width="2.6640625" style="423" customWidth="1"/>
    <col min="5635" max="5635" width="49.33203125" style="423" customWidth="1"/>
    <col min="5636" max="5636" width="10.44140625" style="423" customWidth="1"/>
    <col min="5637" max="5637" width="18.88671875" style="423" customWidth="1"/>
    <col min="5638" max="5638" width="18.6640625" style="423" bestFit="1" customWidth="1"/>
    <col min="5639" max="5639" width="17.6640625" style="423" bestFit="1" customWidth="1"/>
    <col min="5640" max="5640" width="18.6640625" style="423" bestFit="1" customWidth="1"/>
    <col min="5641" max="5641" width="17.6640625" style="423" bestFit="1" customWidth="1"/>
    <col min="5642" max="5642" width="17.33203125" style="423" customWidth="1"/>
    <col min="5643" max="5643" width="17.33203125" style="423" bestFit="1" customWidth="1"/>
    <col min="5644" max="5644" width="18.6640625" style="423" bestFit="1" customWidth="1"/>
    <col min="5645" max="5645" width="19.109375" style="423" bestFit="1" customWidth="1"/>
    <col min="5646" max="5646" width="19.5546875" style="423" bestFit="1" customWidth="1"/>
    <col min="5647" max="5886" width="8.88671875" style="423"/>
    <col min="5887" max="5890" width="2.6640625" style="423" customWidth="1"/>
    <col min="5891" max="5891" width="49.33203125" style="423" customWidth="1"/>
    <col min="5892" max="5892" width="10.44140625" style="423" customWidth="1"/>
    <col min="5893" max="5893" width="18.88671875" style="423" customWidth="1"/>
    <col min="5894" max="5894" width="18.6640625" style="423" bestFit="1" customWidth="1"/>
    <col min="5895" max="5895" width="17.6640625" style="423" bestFit="1" customWidth="1"/>
    <col min="5896" max="5896" width="18.6640625" style="423" bestFit="1" customWidth="1"/>
    <col min="5897" max="5897" width="17.6640625" style="423" bestFit="1" customWidth="1"/>
    <col min="5898" max="5898" width="17.33203125" style="423" customWidth="1"/>
    <col min="5899" max="5899" width="17.33203125" style="423" bestFit="1" customWidth="1"/>
    <col min="5900" max="5900" width="18.6640625" style="423" bestFit="1" customWidth="1"/>
    <col min="5901" max="5901" width="19.109375" style="423" bestFit="1" customWidth="1"/>
    <col min="5902" max="5902" width="19.5546875" style="423" bestFit="1" customWidth="1"/>
    <col min="5903" max="6142" width="8.88671875" style="423"/>
    <col min="6143" max="6146" width="2.6640625" style="423" customWidth="1"/>
    <col min="6147" max="6147" width="49.33203125" style="423" customWidth="1"/>
    <col min="6148" max="6148" width="10.44140625" style="423" customWidth="1"/>
    <col min="6149" max="6149" width="18.88671875" style="423" customWidth="1"/>
    <col min="6150" max="6150" width="18.6640625" style="423" bestFit="1" customWidth="1"/>
    <col min="6151" max="6151" width="17.6640625" style="423" bestFit="1" customWidth="1"/>
    <col min="6152" max="6152" width="18.6640625" style="423" bestFit="1" customWidth="1"/>
    <col min="6153" max="6153" width="17.6640625" style="423" bestFit="1" customWidth="1"/>
    <col min="6154" max="6154" width="17.33203125" style="423" customWidth="1"/>
    <col min="6155" max="6155" width="17.33203125" style="423" bestFit="1" customWidth="1"/>
    <col min="6156" max="6156" width="18.6640625" style="423" bestFit="1" customWidth="1"/>
    <col min="6157" max="6157" width="19.109375" style="423" bestFit="1" customWidth="1"/>
    <col min="6158" max="6158" width="19.5546875" style="423" bestFit="1" customWidth="1"/>
    <col min="6159" max="6398" width="8.88671875" style="423"/>
    <col min="6399" max="6402" width="2.6640625" style="423" customWidth="1"/>
    <col min="6403" max="6403" width="49.33203125" style="423" customWidth="1"/>
    <col min="6404" max="6404" width="10.44140625" style="423" customWidth="1"/>
    <col min="6405" max="6405" width="18.88671875" style="423" customWidth="1"/>
    <col min="6406" max="6406" width="18.6640625" style="423" bestFit="1" customWidth="1"/>
    <col min="6407" max="6407" width="17.6640625" style="423" bestFit="1" customWidth="1"/>
    <col min="6408" max="6408" width="18.6640625" style="423" bestFit="1" customWidth="1"/>
    <col min="6409" max="6409" width="17.6640625" style="423" bestFit="1" customWidth="1"/>
    <col min="6410" max="6410" width="17.33203125" style="423" customWidth="1"/>
    <col min="6411" max="6411" width="17.33203125" style="423" bestFit="1" customWidth="1"/>
    <col min="6412" max="6412" width="18.6640625" style="423" bestFit="1" customWidth="1"/>
    <col min="6413" max="6413" width="19.109375" style="423" bestFit="1" customWidth="1"/>
    <col min="6414" max="6414" width="19.5546875" style="423" bestFit="1" customWidth="1"/>
    <col min="6415" max="6654" width="8.88671875" style="423"/>
    <col min="6655" max="6658" width="2.6640625" style="423" customWidth="1"/>
    <col min="6659" max="6659" width="49.33203125" style="423" customWidth="1"/>
    <col min="6660" max="6660" width="10.44140625" style="423" customWidth="1"/>
    <col min="6661" max="6661" width="18.88671875" style="423" customWidth="1"/>
    <col min="6662" max="6662" width="18.6640625" style="423" bestFit="1" customWidth="1"/>
    <col min="6663" max="6663" width="17.6640625" style="423" bestFit="1" customWidth="1"/>
    <col min="6664" max="6664" width="18.6640625" style="423" bestFit="1" customWidth="1"/>
    <col min="6665" max="6665" width="17.6640625" style="423" bestFit="1" customWidth="1"/>
    <col min="6666" max="6666" width="17.33203125" style="423" customWidth="1"/>
    <col min="6667" max="6667" width="17.33203125" style="423" bestFit="1" customWidth="1"/>
    <col min="6668" max="6668" width="18.6640625" style="423" bestFit="1" customWidth="1"/>
    <col min="6669" max="6669" width="19.109375" style="423" bestFit="1" customWidth="1"/>
    <col min="6670" max="6670" width="19.5546875" style="423" bestFit="1" customWidth="1"/>
    <col min="6671" max="6910" width="8.88671875" style="423"/>
    <col min="6911" max="6914" width="2.6640625" style="423" customWidth="1"/>
    <col min="6915" max="6915" width="49.33203125" style="423" customWidth="1"/>
    <col min="6916" max="6916" width="10.44140625" style="423" customWidth="1"/>
    <col min="6917" max="6917" width="18.88671875" style="423" customWidth="1"/>
    <col min="6918" max="6918" width="18.6640625" style="423" bestFit="1" customWidth="1"/>
    <col min="6919" max="6919" width="17.6640625" style="423" bestFit="1" customWidth="1"/>
    <col min="6920" max="6920" width="18.6640625" style="423" bestFit="1" customWidth="1"/>
    <col min="6921" max="6921" width="17.6640625" style="423" bestFit="1" customWidth="1"/>
    <col min="6922" max="6922" width="17.33203125" style="423" customWidth="1"/>
    <col min="6923" max="6923" width="17.33203125" style="423" bestFit="1" customWidth="1"/>
    <col min="6924" max="6924" width="18.6640625" style="423" bestFit="1" customWidth="1"/>
    <col min="6925" max="6925" width="19.109375" style="423" bestFit="1" customWidth="1"/>
    <col min="6926" max="6926" width="19.5546875" style="423" bestFit="1" customWidth="1"/>
    <col min="6927" max="7166" width="8.88671875" style="423"/>
    <col min="7167" max="7170" width="2.6640625" style="423" customWidth="1"/>
    <col min="7171" max="7171" width="49.33203125" style="423" customWidth="1"/>
    <col min="7172" max="7172" width="10.44140625" style="423" customWidth="1"/>
    <col min="7173" max="7173" width="18.88671875" style="423" customWidth="1"/>
    <col min="7174" max="7174" width="18.6640625" style="423" bestFit="1" customWidth="1"/>
    <col min="7175" max="7175" width="17.6640625" style="423" bestFit="1" customWidth="1"/>
    <col min="7176" max="7176" width="18.6640625" style="423" bestFit="1" customWidth="1"/>
    <col min="7177" max="7177" width="17.6640625" style="423" bestFit="1" customWidth="1"/>
    <col min="7178" max="7178" width="17.33203125" style="423" customWidth="1"/>
    <col min="7179" max="7179" width="17.33203125" style="423" bestFit="1" customWidth="1"/>
    <col min="7180" max="7180" width="18.6640625" style="423" bestFit="1" customWidth="1"/>
    <col min="7181" max="7181" width="19.109375" style="423" bestFit="1" customWidth="1"/>
    <col min="7182" max="7182" width="19.5546875" style="423" bestFit="1" customWidth="1"/>
    <col min="7183" max="7422" width="8.88671875" style="423"/>
    <col min="7423" max="7426" width="2.6640625" style="423" customWidth="1"/>
    <col min="7427" max="7427" width="49.33203125" style="423" customWidth="1"/>
    <col min="7428" max="7428" width="10.44140625" style="423" customWidth="1"/>
    <col min="7429" max="7429" width="18.88671875" style="423" customWidth="1"/>
    <col min="7430" max="7430" width="18.6640625" style="423" bestFit="1" customWidth="1"/>
    <col min="7431" max="7431" width="17.6640625" style="423" bestFit="1" customWidth="1"/>
    <col min="7432" max="7432" width="18.6640625" style="423" bestFit="1" customWidth="1"/>
    <col min="7433" max="7433" width="17.6640625" style="423" bestFit="1" customWidth="1"/>
    <col min="7434" max="7434" width="17.33203125" style="423" customWidth="1"/>
    <col min="7435" max="7435" width="17.33203125" style="423" bestFit="1" customWidth="1"/>
    <col min="7436" max="7436" width="18.6640625" style="423" bestFit="1" customWidth="1"/>
    <col min="7437" max="7437" width="19.109375" style="423" bestFit="1" customWidth="1"/>
    <col min="7438" max="7438" width="19.5546875" style="423" bestFit="1" customWidth="1"/>
    <col min="7439" max="7678" width="8.88671875" style="423"/>
    <col min="7679" max="7682" width="2.6640625" style="423" customWidth="1"/>
    <col min="7683" max="7683" width="49.33203125" style="423" customWidth="1"/>
    <col min="7684" max="7684" width="10.44140625" style="423" customWidth="1"/>
    <col min="7685" max="7685" width="18.88671875" style="423" customWidth="1"/>
    <col min="7686" max="7686" width="18.6640625" style="423" bestFit="1" customWidth="1"/>
    <col min="7687" max="7687" width="17.6640625" style="423" bestFit="1" customWidth="1"/>
    <col min="7688" max="7688" width="18.6640625" style="423" bestFit="1" customWidth="1"/>
    <col min="7689" max="7689" width="17.6640625" style="423" bestFit="1" customWidth="1"/>
    <col min="7690" max="7690" width="17.33203125" style="423" customWidth="1"/>
    <col min="7691" max="7691" width="17.33203125" style="423" bestFit="1" customWidth="1"/>
    <col min="7692" max="7692" width="18.6640625" style="423" bestFit="1" customWidth="1"/>
    <col min="7693" max="7693" width="19.109375" style="423" bestFit="1" customWidth="1"/>
    <col min="7694" max="7694" width="19.5546875" style="423" bestFit="1" customWidth="1"/>
    <col min="7695" max="7934" width="8.88671875" style="423"/>
    <col min="7935" max="7938" width="2.6640625" style="423" customWidth="1"/>
    <col min="7939" max="7939" width="49.33203125" style="423" customWidth="1"/>
    <col min="7940" max="7940" width="10.44140625" style="423" customWidth="1"/>
    <col min="7941" max="7941" width="18.88671875" style="423" customWidth="1"/>
    <col min="7942" max="7942" width="18.6640625" style="423" bestFit="1" customWidth="1"/>
    <col min="7943" max="7943" width="17.6640625" style="423" bestFit="1" customWidth="1"/>
    <col min="7944" max="7944" width="18.6640625" style="423" bestFit="1" customWidth="1"/>
    <col min="7945" max="7945" width="17.6640625" style="423" bestFit="1" customWidth="1"/>
    <col min="7946" max="7946" width="17.33203125" style="423" customWidth="1"/>
    <col min="7947" max="7947" width="17.33203125" style="423" bestFit="1" customWidth="1"/>
    <col min="7948" max="7948" width="18.6640625" style="423" bestFit="1" customWidth="1"/>
    <col min="7949" max="7949" width="19.109375" style="423" bestFit="1" customWidth="1"/>
    <col min="7950" max="7950" width="19.5546875" style="423" bestFit="1" customWidth="1"/>
    <col min="7951" max="8190" width="8.88671875" style="423"/>
    <col min="8191" max="8194" width="2.6640625" style="423" customWidth="1"/>
    <col min="8195" max="8195" width="49.33203125" style="423" customWidth="1"/>
    <col min="8196" max="8196" width="10.44140625" style="423" customWidth="1"/>
    <col min="8197" max="8197" width="18.88671875" style="423" customWidth="1"/>
    <col min="8198" max="8198" width="18.6640625" style="423" bestFit="1" customWidth="1"/>
    <col min="8199" max="8199" width="17.6640625" style="423" bestFit="1" customWidth="1"/>
    <col min="8200" max="8200" width="18.6640625" style="423" bestFit="1" customWidth="1"/>
    <col min="8201" max="8201" width="17.6640625" style="423" bestFit="1" customWidth="1"/>
    <col min="8202" max="8202" width="17.33203125" style="423" customWidth="1"/>
    <col min="8203" max="8203" width="17.33203125" style="423" bestFit="1" customWidth="1"/>
    <col min="8204" max="8204" width="18.6640625" style="423" bestFit="1" customWidth="1"/>
    <col min="8205" max="8205" width="19.109375" style="423" bestFit="1" customWidth="1"/>
    <col min="8206" max="8206" width="19.5546875" style="423" bestFit="1" customWidth="1"/>
    <col min="8207" max="8446" width="8.88671875" style="423"/>
    <col min="8447" max="8450" width="2.6640625" style="423" customWidth="1"/>
    <col min="8451" max="8451" width="49.33203125" style="423" customWidth="1"/>
    <col min="8452" max="8452" width="10.44140625" style="423" customWidth="1"/>
    <col min="8453" max="8453" width="18.88671875" style="423" customWidth="1"/>
    <col min="8454" max="8454" width="18.6640625" style="423" bestFit="1" customWidth="1"/>
    <col min="8455" max="8455" width="17.6640625" style="423" bestFit="1" customWidth="1"/>
    <col min="8456" max="8456" width="18.6640625" style="423" bestFit="1" customWidth="1"/>
    <col min="8457" max="8457" width="17.6640625" style="423" bestFit="1" customWidth="1"/>
    <col min="8458" max="8458" width="17.33203125" style="423" customWidth="1"/>
    <col min="8459" max="8459" width="17.33203125" style="423" bestFit="1" customWidth="1"/>
    <col min="8460" max="8460" width="18.6640625" style="423" bestFit="1" customWidth="1"/>
    <col min="8461" max="8461" width="19.109375" style="423" bestFit="1" customWidth="1"/>
    <col min="8462" max="8462" width="19.5546875" style="423" bestFit="1" customWidth="1"/>
    <col min="8463" max="8702" width="8.88671875" style="423"/>
    <col min="8703" max="8706" width="2.6640625" style="423" customWidth="1"/>
    <col min="8707" max="8707" width="49.33203125" style="423" customWidth="1"/>
    <col min="8708" max="8708" width="10.44140625" style="423" customWidth="1"/>
    <col min="8709" max="8709" width="18.88671875" style="423" customWidth="1"/>
    <col min="8710" max="8710" width="18.6640625" style="423" bestFit="1" customWidth="1"/>
    <col min="8711" max="8711" width="17.6640625" style="423" bestFit="1" customWidth="1"/>
    <col min="8712" max="8712" width="18.6640625" style="423" bestFit="1" customWidth="1"/>
    <col min="8713" max="8713" width="17.6640625" style="423" bestFit="1" customWidth="1"/>
    <col min="8714" max="8714" width="17.33203125" style="423" customWidth="1"/>
    <col min="8715" max="8715" width="17.33203125" style="423" bestFit="1" customWidth="1"/>
    <col min="8716" max="8716" width="18.6640625" style="423" bestFit="1" customWidth="1"/>
    <col min="8717" max="8717" width="19.109375" style="423" bestFit="1" customWidth="1"/>
    <col min="8718" max="8718" width="19.5546875" style="423" bestFit="1" customWidth="1"/>
    <col min="8719" max="8958" width="8.88671875" style="423"/>
    <col min="8959" max="8962" width="2.6640625" style="423" customWidth="1"/>
    <col min="8963" max="8963" width="49.33203125" style="423" customWidth="1"/>
    <col min="8964" max="8964" width="10.44140625" style="423" customWidth="1"/>
    <col min="8965" max="8965" width="18.88671875" style="423" customWidth="1"/>
    <col min="8966" max="8966" width="18.6640625" style="423" bestFit="1" customWidth="1"/>
    <col min="8967" max="8967" width="17.6640625" style="423" bestFit="1" customWidth="1"/>
    <col min="8968" max="8968" width="18.6640625" style="423" bestFit="1" customWidth="1"/>
    <col min="8969" max="8969" width="17.6640625" style="423" bestFit="1" customWidth="1"/>
    <col min="8970" max="8970" width="17.33203125" style="423" customWidth="1"/>
    <col min="8971" max="8971" width="17.33203125" style="423" bestFit="1" customWidth="1"/>
    <col min="8972" max="8972" width="18.6640625" style="423" bestFit="1" customWidth="1"/>
    <col min="8973" max="8973" width="19.109375" style="423" bestFit="1" customWidth="1"/>
    <col min="8974" max="8974" width="19.5546875" style="423" bestFit="1" customWidth="1"/>
    <col min="8975" max="9214" width="8.88671875" style="423"/>
    <col min="9215" max="9218" width="2.6640625" style="423" customWidth="1"/>
    <col min="9219" max="9219" width="49.33203125" style="423" customWidth="1"/>
    <col min="9220" max="9220" width="10.44140625" style="423" customWidth="1"/>
    <col min="9221" max="9221" width="18.88671875" style="423" customWidth="1"/>
    <col min="9222" max="9222" width="18.6640625" style="423" bestFit="1" customWidth="1"/>
    <col min="9223" max="9223" width="17.6640625" style="423" bestFit="1" customWidth="1"/>
    <col min="9224" max="9224" width="18.6640625" style="423" bestFit="1" customWidth="1"/>
    <col min="9225" max="9225" width="17.6640625" style="423" bestFit="1" customWidth="1"/>
    <col min="9226" max="9226" width="17.33203125" style="423" customWidth="1"/>
    <col min="9227" max="9227" width="17.33203125" style="423" bestFit="1" customWidth="1"/>
    <col min="9228" max="9228" width="18.6640625" style="423" bestFit="1" customWidth="1"/>
    <col min="9229" max="9229" width="19.109375" style="423" bestFit="1" customWidth="1"/>
    <col min="9230" max="9230" width="19.5546875" style="423" bestFit="1" customWidth="1"/>
    <col min="9231" max="9470" width="8.88671875" style="423"/>
    <col min="9471" max="9474" width="2.6640625" style="423" customWidth="1"/>
    <col min="9475" max="9475" width="49.33203125" style="423" customWidth="1"/>
    <col min="9476" max="9476" width="10.44140625" style="423" customWidth="1"/>
    <col min="9477" max="9477" width="18.88671875" style="423" customWidth="1"/>
    <col min="9478" max="9478" width="18.6640625" style="423" bestFit="1" customWidth="1"/>
    <col min="9479" max="9479" width="17.6640625" style="423" bestFit="1" customWidth="1"/>
    <col min="9480" max="9480" width="18.6640625" style="423" bestFit="1" customWidth="1"/>
    <col min="9481" max="9481" width="17.6640625" style="423" bestFit="1" customWidth="1"/>
    <col min="9482" max="9482" width="17.33203125" style="423" customWidth="1"/>
    <col min="9483" max="9483" width="17.33203125" style="423" bestFit="1" customWidth="1"/>
    <col min="9484" max="9484" width="18.6640625" style="423" bestFit="1" customWidth="1"/>
    <col min="9485" max="9485" width="19.109375" style="423" bestFit="1" customWidth="1"/>
    <col min="9486" max="9486" width="19.5546875" style="423" bestFit="1" customWidth="1"/>
    <col min="9487" max="9726" width="8.88671875" style="423"/>
    <col min="9727" max="9730" width="2.6640625" style="423" customWidth="1"/>
    <col min="9731" max="9731" width="49.33203125" style="423" customWidth="1"/>
    <col min="9732" max="9732" width="10.44140625" style="423" customWidth="1"/>
    <col min="9733" max="9733" width="18.88671875" style="423" customWidth="1"/>
    <col min="9734" max="9734" width="18.6640625" style="423" bestFit="1" customWidth="1"/>
    <col min="9735" max="9735" width="17.6640625" style="423" bestFit="1" customWidth="1"/>
    <col min="9736" max="9736" width="18.6640625" style="423" bestFit="1" customWidth="1"/>
    <col min="9737" max="9737" width="17.6640625" style="423" bestFit="1" customWidth="1"/>
    <col min="9738" max="9738" width="17.33203125" style="423" customWidth="1"/>
    <col min="9739" max="9739" width="17.33203125" style="423" bestFit="1" customWidth="1"/>
    <col min="9740" max="9740" width="18.6640625" style="423" bestFit="1" customWidth="1"/>
    <col min="9741" max="9741" width="19.109375" style="423" bestFit="1" customWidth="1"/>
    <col min="9742" max="9742" width="19.5546875" style="423" bestFit="1" customWidth="1"/>
    <col min="9743" max="9982" width="8.88671875" style="423"/>
    <col min="9983" max="9986" width="2.6640625" style="423" customWidth="1"/>
    <col min="9987" max="9987" width="49.33203125" style="423" customWidth="1"/>
    <col min="9988" max="9988" width="10.44140625" style="423" customWidth="1"/>
    <col min="9989" max="9989" width="18.88671875" style="423" customWidth="1"/>
    <col min="9990" max="9990" width="18.6640625" style="423" bestFit="1" customWidth="1"/>
    <col min="9991" max="9991" width="17.6640625" style="423" bestFit="1" customWidth="1"/>
    <col min="9992" max="9992" width="18.6640625" style="423" bestFit="1" customWidth="1"/>
    <col min="9993" max="9993" width="17.6640625" style="423" bestFit="1" customWidth="1"/>
    <col min="9994" max="9994" width="17.33203125" style="423" customWidth="1"/>
    <col min="9995" max="9995" width="17.33203125" style="423" bestFit="1" customWidth="1"/>
    <col min="9996" max="9996" width="18.6640625" style="423" bestFit="1" customWidth="1"/>
    <col min="9997" max="9997" width="19.109375" style="423" bestFit="1" customWidth="1"/>
    <col min="9998" max="9998" width="19.5546875" style="423" bestFit="1" customWidth="1"/>
    <col min="9999" max="10238" width="8.88671875" style="423"/>
    <col min="10239" max="10242" width="2.6640625" style="423" customWidth="1"/>
    <col min="10243" max="10243" width="49.33203125" style="423" customWidth="1"/>
    <col min="10244" max="10244" width="10.44140625" style="423" customWidth="1"/>
    <col min="10245" max="10245" width="18.88671875" style="423" customWidth="1"/>
    <col min="10246" max="10246" width="18.6640625" style="423" bestFit="1" customWidth="1"/>
    <col min="10247" max="10247" width="17.6640625" style="423" bestFit="1" customWidth="1"/>
    <col min="10248" max="10248" width="18.6640625" style="423" bestFit="1" customWidth="1"/>
    <col min="10249" max="10249" width="17.6640625" style="423" bestFit="1" customWidth="1"/>
    <col min="10250" max="10250" width="17.33203125" style="423" customWidth="1"/>
    <col min="10251" max="10251" width="17.33203125" style="423" bestFit="1" customWidth="1"/>
    <col min="10252" max="10252" width="18.6640625" style="423" bestFit="1" customWidth="1"/>
    <col min="10253" max="10253" width="19.109375" style="423" bestFit="1" customWidth="1"/>
    <col min="10254" max="10254" width="19.5546875" style="423" bestFit="1" customWidth="1"/>
    <col min="10255" max="10494" width="8.88671875" style="423"/>
    <col min="10495" max="10498" width="2.6640625" style="423" customWidth="1"/>
    <col min="10499" max="10499" width="49.33203125" style="423" customWidth="1"/>
    <col min="10500" max="10500" width="10.44140625" style="423" customWidth="1"/>
    <col min="10501" max="10501" width="18.88671875" style="423" customWidth="1"/>
    <col min="10502" max="10502" width="18.6640625" style="423" bestFit="1" customWidth="1"/>
    <col min="10503" max="10503" width="17.6640625" style="423" bestFit="1" customWidth="1"/>
    <col min="10504" max="10504" width="18.6640625" style="423" bestFit="1" customWidth="1"/>
    <col min="10505" max="10505" width="17.6640625" style="423" bestFit="1" customWidth="1"/>
    <col min="10506" max="10506" width="17.33203125" style="423" customWidth="1"/>
    <col min="10507" max="10507" width="17.33203125" style="423" bestFit="1" customWidth="1"/>
    <col min="10508" max="10508" width="18.6640625" style="423" bestFit="1" customWidth="1"/>
    <col min="10509" max="10509" width="19.109375" style="423" bestFit="1" customWidth="1"/>
    <col min="10510" max="10510" width="19.5546875" style="423" bestFit="1" customWidth="1"/>
    <col min="10511" max="10750" width="8.88671875" style="423"/>
    <col min="10751" max="10754" width="2.6640625" style="423" customWidth="1"/>
    <col min="10755" max="10755" width="49.33203125" style="423" customWidth="1"/>
    <col min="10756" max="10756" width="10.44140625" style="423" customWidth="1"/>
    <col min="10757" max="10757" width="18.88671875" style="423" customWidth="1"/>
    <col min="10758" max="10758" width="18.6640625" style="423" bestFit="1" customWidth="1"/>
    <col min="10759" max="10759" width="17.6640625" style="423" bestFit="1" customWidth="1"/>
    <col min="10760" max="10760" width="18.6640625" style="423" bestFit="1" customWidth="1"/>
    <col min="10761" max="10761" width="17.6640625" style="423" bestFit="1" customWidth="1"/>
    <col min="10762" max="10762" width="17.33203125" style="423" customWidth="1"/>
    <col min="10763" max="10763" width="17.33203125" style="423" bestFit="1" customWidth="1"/>
    <col min="10764" max="10764" width="18.6640625" style="423" bestFit="1" customWidth="1"/>
    <col min="10765" max="10765" width="19.109375" style="423" bestFit="1" customWidth="1"/>
    <col min="10766" max="10766" width="19.5546875" style="423" bestFit="1" customWidth="1"/>
    <col min="10767" max="11006" width="8.88671875" style="423"/>
    <col min="11007" max="11010" width="2.6640625" style="423" customWidth="1"/>
    <col min="11011" max="11011" width="49.33203125" style="423" customWidth="1"/>
    <col min="11012" max="11012" width="10.44140625" style="423" customWidth="1"/>
    <col min="11013" max="11013" width="18.88671875" style="423" customWidth="1"/>
    <col min="11014" max="11014" width="18.6640625" style="423" bestFit="1" customWidth="1"/>
    <col min="11015" max="11015" width="17.6640625" style="423" bestFit="1" customWidth="1"/>
    <col min="11016" max="11016" width="18.6640625" style="423" bestFit="1" customWidth="1"/>
    <col min="11017" max="11017" width="17.6640625" style="423" bestFit="1" customWidth="1"/>
    <col min="11018" max="11018" width="17.33203125" style="423" customWidth="1"/>
    <col min="11019" max="11019" width="17.33203125" style="423" bestFit="1" customWidth="1"/>
    <col min="11020" max="11020" width="18.6640625" style="423" bestFit="1" customWidth="1"/>
    <col min="11021" max="11021" width="19.109375" style="423" bestFit="1" customWidth="1"/>
    <col min="11022" max="11022" width="19.5546875" style="423" bestFit="1" customWidth="1"/>
    <col min="11023" max="11262" width="8.88671875" style="423"/>
    <col min="11263" max="11266" width="2.6640625" style="423" customWidth="1"/>
    <col min="11267" max="11267" width="49.33203125" style="423" customWidth="1"/>
    <col min="11268" max="11268" width="10.44140625" style="423" customWidth="1"/>
    <col min="11269" max="11269" width="18.88671875" style="423" customWidth="1"/>
    <col min="11270" max="11270" width="18.6640625" style="423" bestFit="1" customWidth="1"/>
    <col min="11271" max="11271" width="17.6640625" style="423" bestFit="1" customWidth="1"/>
    <col min="11272" max="11272" width="18.6640625" style="423" bestFit="1" customWidth="1"/>
    <col min="11273" max="11273" width="17.6640625" style="423" bestFit="1" customWidth="1"/>
    <col min="11274" max="11274" width="17.33203125" style="423" customWidth="1"/>
    <col min="11275" max="11275" width="17.33203125" style="423" bestFit="1" customWidth="1"/>
    <col min="11276" max="11276" width="18.6640625" style="423" bestFit="1" customWidth="1"/>
    <col min="11277" max="11277" width="19.109375" style="423" bestFit="1" customWidth="1"/>
    <col min="11278" max="11278" width="19.5546875" style="423" bestFit="1" customWidth="1"/>
    <col min="11279" max="11518" width="8.88671875" style="423"/>
    <col min="11519" max="11522" width="2.6640625" style="423" customWidth="1"/>
    <col min="11523" max="11523" width="49.33203125" style="423" customWidth="1"/>
    <col min="11524" max="11524" width="10.44140625" style="423" customWidth="1"/>
    <col min="11525" max="11525" width="18.88671875" style="423" customWidth="1"/>
    <col min="11526" max="11526" width="18.6640625" style="423" bestFit="1" customWidth="1"/>
    <col min="11527" max="11527" width="17.6640625" style="423" bestFit="1" customWidth="1"/>
    <col min="11528" max="11528" width="18.6640625" style="423" bestFit="1" customWidth="1"/>
    <col min="11529" max="11529" width="17.6640625" style="423" bestFit="1" customWidth="1"/>
    <col min="11530" max="11530" width="17.33203125" style="423" customWidth="1"/>
    <col min="11531" max="11531" width="17.33203125" style="423" bestFit="1" customWidth="1"/>
    <col min="11532" max="11532" width="18.6640625" style="423" bestFit="1" customWidth="1"/>
    <col min="11533" max="11533" width="19.109375" style="423" bestFit="1" customWidth="1"/>
    <col min="11534" max="11534" width="19.5546875" style="423" bestFit="1" customWidth="1"/>
    <col min="11535" max="11774" width="8.88671875" style="423"/>
    <col min="11775" max="11778" width="2.6640625" style="423" customWidth="1"/>
    <col min="11779" max="11779" width="49.33203125" style="423" customWidth="1"/>
    <col min="11780" max="11780" width="10.44140625" style="423" customWidth="1"/>
    <col min="11781" max="11781" width="18.88671875" style="423" customWidth="1"/>
    <col min="11782" max="11782" width="18.6640625" style="423" bestFit="1" customWidth="1"/>
    <col min="11783" max="11783" width="17.6640625" style="423" bestFit="1" customWidth="1"/>
    <col min="11784" max="11784" width="18.6640625" style="423" bestFit="1" customWidth="1"/>
    <col min="11785" max="11785" width="17.6640625" style="423" bestFit="1" customWidth="1"/>
    <col min="11786" max="11786" width="17.33203125" style="423" customWidth="1"/>
    <col min="11787" max="11787" width="17.33203125" style="423" bestFit="1" customWidth="1"/>
    <col min="11788" max="11788" width="18.6640625" style="423" bestFit="1" customWidth="1"/>
    <col min="11789" max="11789" width="19.109375" style="423" bestFit="1" customWidth="1"/>
    <col min="11790" max="11790" width="19.5546875" style="423" bestFit="1" customWidth="1"/>
    <col min="11791" max="12030" width="8.88671875" style="423"/>
    <col min="12031" max="12034" width="2.6640625" style="423" customWidth="1"/>
    <col min="12035" max="12035" width="49.33203125" style="423" customWidth="1"/>
    <col min="12036" max="12036" width="10.44140625" style="423" customWidth="1"/>
    <col min="12037" max="12037" width="18.88671875" style="423" customWidth="1"/>
    <col min="12038" max="12038" width="18.6640625" style="423" bestFit="1" customWidth="1"/>
    <col min="12039" max="12039" width="17.6640625" style="423" bestFit="1" customWidth="1"/>
    <col min="12040" max="12040" width="18.6640625" style="423" bestFit="1" customWidth="1"/>
    <col min="12041" max="12041" width="17.6640625" style="423" bestFit="1" customWidth="1"/>
    <col min="12042" max="12042" width="17.33203125" style="423" customWidth="1"/>
    <col min="12043" max="12043" width="17.33203125" style="423" bestFit="1" customWidth="1"/>
    <col min="12044" max="12044" width="18.6640625" style="423" bestFit="1" customWidth="1"/>
    <col min="12045" max="12045" width="19.109375" style="423" bestFit="1" customWidth="1"/>
    <col min="12046" max="12046" width="19.5546875" style="423" bestFit="1" customWidth="1"/>
    <col min="12047" max="12286" width="8.88671875" style="423"/>
    <col min="12287" max="12290" width="2.6640625" style="423" customWidth="1"/>
    <col min="12291" max="12291" width="49.33203125" style="423" customWidth="1"/>
    <col min="12292" max="12292" width="10.44140625" style="423" customWidth="1"/>
    <col min="12293" max="12293" width="18.88671875" style="423" customWidth="1"/>
    <col min="12294" max="12294" width="18.6640625" style="423" bestFit="1" customWidth="1"/>
    <col min="12295" max="12295" width="17.6640625" style="423" bestFit="1" customWidth="1"/>
    <col min="12296" max="12296" width="18.6640625" style="423" bestFit="1" customWidth="1"/>
    <col min="12297" max="12297" width="17.6640625" style="423" bestFit="1" customWidth="1"/>
    <col min="12298" max="12298" width="17.33203125" style="423" customWidth="1"/>
    <col min="12299" max="12299" width="17.33203125" style="423" bestFit="1" customWidth="1"/>
    <col min="12300" max="12300" width="18.6640625" style="423" bestFit="1" customWidth="1"/>
    <col min="12301" max="12301" width="19.109375" style="423" bestFit="1" customWidth="1"/>
    <col min="12302" max="12302" width="19.5546875" style="423" bestFit="1" customWidth="1"/>
    <col min="12303" max="12542" width="8.88671875" style="423"/>
    <col min="12543" max="12546" width="2.6640625" style="423" customWidth="1"/>
    <col min="12547" max="12547" width="49.33203125" style="423" customWidth="1"/>
    <col min="12548" max="12548" width="10.44140625" style="423" customWidth="1"/>
    <col min="12549" max="12549" width="18.88671875" style="423" customWidth="1"/>
    <col min="12550" max="12550" width="18.6640625" style="423" bestFit="1" customWidth="1"/>
    <col min="12551" max="12551" width="17.6640625" style="423" bestFit="1" customWidth="1"/>
    <col min="12552" max="12552" width="18.6640625" style="423" bestFit="1" customWidth="1"/>
    <col min="12553" max="12553" width="17.6640625" style="423" bestFit="1" customWidth="1"/>
    <col min="12554" max="12554" width="17.33203125" style="423" customWidth="1"/>
    <col min="12555" max="12555" width="17.33203125" style="423" bestFit="1" customWidth="1"/>
    <col min="12556" max="12556" width="18.6640625" style="423" bestFit="1" customWidth="1"/>
    <col min="12557" max="12557" width="19.109375" style="423" bestFit="1" customWidth="1"/>
    <col min="12558" max="12558" width="19.5546875" style="423" bestFit="1" customWidth="1"/>
    <col min="12559" max="12798" width="8.88671875" style="423"/>
    <col min="12799" max="12802" width="2.6640625" style="423" customWidth="1"/>
    <col min="12803" max="12803" width="49.33203125" style="423" customWidth="1"/>
    <col min="12804" max="12804" width="10.44140625" style="423" customWidth="1"/>
    <col min="12805" max="12805" width="18.88671875" style="423" customWidth="1"/>
    <col min="12806" max="12806" width="18.6640625" style="423" bestFit="1" customWidth="1"/>
    <col min="12807" max="12807" width="17.6640625" style="423" bestFit="1" customWidth="1"/>
    <col min="12808" max="12808" width="18.6640625" style="423" bestFit="1" customWidth="1"/>
    <col min="12809" max="12809" width="17.6640625" style="423" bestFit="1" customWidth="1"/>
    <col min="12810" max="12810" width="17.33203125" style="423" customWidth="1"/>
    <col min="12811" max="12811" width="17.33203125" style="423" bestFit="1" customWidth="1"/>
    <col min="12812" max="12812" width="18.6640625" style="423" bestFit="1" customWidth="1"/>
    <col min="12813" max="12813" width="19.109375" style="423" bestFit="1" customWidth="1"/>
    <col min="12814" max="12814" width="19.5546875" style="423" bestFit="1" customWidth="1"/>
    <col min="12815" max="13054" width="8.88671875" style="423"/>
    <col min="13055" max="13058" width="2.6640625" style="423" customWidth="1"/>
    <col min="13059" max="13059" width="49.33203125" style="423" customWidth="1"/>
    <col min="13060" max="13060" width="10.44140625" style="423" customWidth="1"/>
    <col min="13061" max="13061" width="18.88671875" style="423" customWidth="1"/>
    <col min="13062" max="13062" width="18.6640625" style="423" bestFit="1" customWidth="1"/>
    <col min="13063" max="13063" width="17.6640625" style="423" bestFit="1" customWidth="1"/>
    <col min="13064" max="13064" width="18.6640625" style="423" bestFit="1" customWidth="1"/>
    <col min="13065" max="13065" width="17.6640625" style="423" bestFit="1" customWidth="1"/>
    <col min="13066" max="13066" width="17.33203125" style="423" customWidth="1"/>
    <col min="13067" max="13067" width="17.33203125" style="423" bestFit="1" customWidth="1"/>
    <col min="13068" max="13068" width="18.6640625" style="423" bestFit="1" customWidth="1"/>
    <col min="13069" max="13069" width="19.109375" style="423" bestFit="1" customWidth="1"/>
    <col min="13070" max="13070" width="19.5546875" style="423" bestFit="1" customWidth="1"/>
    <col min="13071" max="13310" width="8.88671875" style="423"/>
    <col min="13311" max="13314" width="2.6640625" style="423" customWidth="1"/>
    <col min="13315" max="13315" width="49.33203125" style="423" customWidth="1"/>
    <col min="13316" max="13316" width="10.44140625" style="423" customWidth="1"/>
    <col min="13317" max="13317" width="18.88671875" style="423" customWidth="1"/>
    <col min="13318" max="13318" width="18.6640625" style="423" bestFit="1" customWidth="1"/>
    <col min="13319" max="13319" width="17.6640625" style="423" bestFit="1" customWidth="1"/>
    <col min="13320" max="13320" width="18.6640625" style="423" bestFit="1" customWidth="1"/>
    <col min="13321" max="13321" width="17.6640625" style="423" bestFit="1" customWidth="1"/>
    <col min="13322" max="13322" width="17.33203125" style="423" customWidth="1"/>
    <col min="13323" max="13323" width="17.33203125" style="423" bestFit="1" customWidth="1"/>
    <col min="13324" max="13324" width="18.6640625" style="423" bestFit="1" customWidth="1"/>
    <col min="13325" max="13325" width="19.109375" style="423" bestFit="1" customWidth="1"/>
    <col min="13326" max="13326" width="19.5546875" style="423" bestFit="1" customWidth="1"/>
    <col min="13327" max="13566" width="8.88671875" style="423"/>
    <col min="13567" max="13570" width="2.6640625" style="423" customWidth="1"/>
    <col min="13571" max="13571" width="49.33203125" style="423" customWidth="1"/>
    <col min="13572" max="13572" width="10.44140625" style="423" customWidth="1"/>
    <col min="13573" max="13573" width="18.88671875" style="423" customWidth="1"/>
    <col min="13574" max="13574" width="18.6640625" style="423" bestFit="1" customWidth="1"/>
    <col min="13575" max="13575" width="17.6640625" style="423" bestFit="1" customWidth="1"/>
    <col min="13576" max="13576" width="18.6640625" style="423" bestFit="1" customWidth="1"/>
    <col min="13577" max="13577" width="17.6640625" style="423" bestFit="1" customWidth="1"/>
    <col min="13578" max="13578" width="17.33203125" style="423" customWidth="1"/>
    <col min="13579" max="13579" width="17.33203125" style="423" bestFit="1" customWidth="1"/>
    <col min="13580" max="13580" width="18.6640625" style="423" bestFit="1" customWidth="1"/>
    <col min="13581" max="13581" width="19.109375" style="423" bestFit="1" customWidth="1"/>
    <col min="13582" max="13582" width="19.5546875" style="423" bestFit="1" customWidth="1"/>
    <col min="13583" max="13822" width="8.88671875" style="423"/>
    <col min="13823" max="13826" width="2.6640625" style="423" customWidth="1"/>
    <col min="13827" max="13827" width="49.33203125" style="423" customWidth="1"/>
    <col min="13828" max="13828" width="10.44140625" style="423" customWidth="1"/>
    <col min="13829" max="13829" width="18.88671875" style="423" customWidth="1"/>
    <col min="13830" max="13830" width="18.6640625" style="423" bestFit="1" customWidth="1"/>
    <col min="13831" max="13831" width="17.6640625" style="423" bestFit="1" customWidth="1"/>
    <col min="13832" max="13832" width="18.6640625" style="423" bestFit="1" customWidth="1"/>
    <col min="13833" max="13833" width="17.6640625" style="423" bestFit="1" customWidth="1"/>
    <col min="13834" max="13834" width="17.33203125" style="423" customWidth="1"/>
    <col min="13835" max="13835" width="17.33203125" style="423" bestFit="1" customWidth="1"/>
    <col min="13836" max="13836" width="18.6640625" style="423" bestFit="1" customWidth="1"/>
    <col min="13837" max="13837" width="19.109375" style="423" bestFit="1" customWidth="1"/>
    <col min="13838" max="13838" width="19.5546875" style="423" bestFit="1" customWidth="1"/>
    <col min="13839" max="14078" width="8.88671875" style="423"/>
    <col min="14079" max="14082" width="2.6640625" style="423" customWidth="1"/>
    <col min="14083" max="14083" width="49.33203125" style="423" customWidth="1"/>
    <col min="14084" max="14084" width="10.44140625" style="423" customWidth="1"/>
    <col min="14085" max="14085" width="18.88671875" style="423" customWidth="1"/>
    <col min="14086" max="14086" width="18.6640625" style="423" bestFit="1" customWidth="1"/>
    <col min="14087" max="14087" width="17.6640625" style="423" bestFit="1" customWidth="1"/>
    <col min="14088" max="14088" width="18.6640625" style="423" bestFit="1" customWidth="1"/>
    <col min="14089" max="14089" width="17.6640625" style="423" bestFit="1" customWidth="1"/>
    <col min="14090" max="14090" width="17.33203125" style="423" customWidth="1"/>
    <col min="14091" max="14091" width="17.33203125" style="423" bestFit="1" customWidth="1"/>
    <col min="14092" max="14092" width="18.6640625" style="423" bestFit="1" customWidth="1"/>
    <col min="14093" max="14093" width="19.109375" style="423" bestFit="1" customWidth="1"/>
    <col min="14094" max="14094" width="19.5546875" style="423" bestFit="1" customWidth="1"/>
    <col min="14095" max="14334" width="8.88671875" style="423"/>
    <col min="14335" max="14338" width="2.6640625" style="423" customWidth="1"/>
    <col min="14339" max="14339" width="49.33203125" style="423" customWidth="1"/>
    <col min="14340" max="14340" width="10.44140625" style="423" customWidth="1"/>
    <col min="14341" max="14341" width="18.88671875" style="423" customWidth="1"/>
    <col min="14342" max="14342" width="18.6640625" style="423" bestFit="1" customWidth="1"/>
    <col min="14343" max="14343" width="17.6640625" style="423" bestFit="1" customWidth="1"/>
    <col min="14344" max="14344" width="18.6640625" style="423" bestFit="1" customWidth="1"/>
    <col min="14345" max="14345" width="17.6640625" style="423" bestFit="1" customWidth="1"/>
    <col min="14346" max="14346" width="17.33203125" style="423" customWidth="1"/>
    <col min="14347" max="14347" width="17.33203125" style="423" bestFit="1" customWidth="1"/>
    <col min="14348" max="14348" width="18.6640625" style="423" bestFit="1" customWidth="1"/>
    <col min="14349" max="14349" width="19.109375" style="423" bestFit="1" customWidth="1"/>
    <col min="14350" max="14350" width="19.5546875" style="423" bestFit="1" customWidth="1"/>
    <col min="14351" max="14590" width="8.88671875" style="423"/>
    <col min="14591" max="14594" width="2.6640625" style="423" customWidth="1"/>
    <col min="14595" max="14595" width="49.33203125" style="423" customWidth="1"/>
    <col min="14596" max="14596" width="10.44140625" style="423" customWidth="1"/>
    <col min="14597" max="14597" width="18.88671875" style="423" customWidth="1"/>
    <col min="14598" max="14598" width="18.6640625" style="423" bestFit="1" customWidth="1"/>
    <col min="14599" max="14599" width="17.6640625" style="423" bestFit="1" customWidth="1"/>
    <col min="14600" max="14600" width="18.6640625" style="423" bestFit="1" customWidth="1"/>
    <col min="14601" max="14601" width="17.6640625" style="423" bestFit="1" customWidth="1"/>
    <col min="14602" max="14602" width="17.33203125" style="423" customWidth="1"/>
    <col min="14603" max="14603" width="17.33203125" style="423" bestFit="1" customWidth="1"/>
    <col min="14604" max="14604" width="18.6640625" style="423" bestFit="1" customWidth="1"/>
    <col min="14605" max="14605" width="19.109375" style="423" bestFit="1" customWidth="1"/>
    <col min="14606" max="14606" width="19.5546875" style="423" bestFit="1" customWidth="1"/>
    <col min="14607" max="14846" width="8.88671875" style="423"/>
    <col min="14847" max="14850" width="2.6640625" style="423" customWidth="1"/>
    <col min="14851" max="14851" width="49.33203125" style="423" customWidth="1"/>
    <col min="14852" max="14852" width="10.44140625" style="423" customWidth="1"/>
    <col min="14853" max="14853" width="18.88671875" style="423" customWidth="1"/>
    <col min="14854" max="14854" width="18.6640625" style="423" bestFit="1" customWidth="1"/>
    <col min="14855" max="14855" width="17.6640625" style="423" bestFit="1" customWidth="1"/>
    <col min="14856" max="14856" width="18.6640625" style="423" bestFit="1" customWidth="1"/>
    <col min="14857" max="14857" width="17.6640625" style="423" bestFit="1" customWidth="1"/>
    <col min="14858" max="14858" width="17.33203125" style="423" customWidth="1"/>
    <col min="14859" max="14859" width="17.33203125" style="423" bestFit="1" customWidth="1"/>
    <col min="14860" max="14860" width="18.6640625" style="423" bestFit="1" customWidth="1"/>
    <col min="14861" max="14861" width="19.109375" style="423" bestFit="1" customWidth="1"/>
    <col min="14862" max="14862" width="19.5546875" style="423" bestFit="1" customWidth="1"/>
    <col min="14863" max="15102" width="8.88671875" style="423"/>
    <col min="15103" max="15106" width="2.6640625" style="423" customWidth="1"/>
    <col min="15107" max="15107" width="49.33203125" style="423" customWidth="1"/>
    <col min="15108" max="15108" width="10.44140625" style="423" customWidth="1"/>
    <col min="15109" max="15109" width="18.88671875" style="423" customWidth="1"/>
    <col min="15110" max="15110" width="18.6640625" style="423" bestFit="1" customWidth="1"/>
    <col min="15111" max="15111" width="17.6640625" style="423" bestFit="1" customWidth="1"/>
    <col min="15112" max="15112" width="18.6640625" style="423" bestFit="1" customWidth="1"/>
    <col min="15113" max="15113" width="17.6640625" style="423" bestFit="1" customWidth="1"/>
    <col min="15114" max="15114" width="17.33203125" style="423" customWidth="1"/>
    <col min="15115" max="15115" width="17.33203125" style="423" bestFit="1" customWidth="1"/>
    <col min="15116" max="15116" width="18.6640625" style="423" bestFit="1" customWidth="1"/>
    <col min="15117" max="15117" width="19.109375" style="423" bestFit="1" customWidth="1"/>
    <col min="15118" max="15118" width="19.5546875" style="423" bestFit="1" customWidth="1"/>
    <col min="15119" max="15358" width="8.88671875" style="423"/>
    <col min="15359" max="15362" width="2.6640625" style="423" customWidth="1"/>
    <col min="15363" max="15363" width="49.33203125" style="423" customWidth="1"/>
    <col min="15364" max="15364" width="10.44140625" style="423" customWidth="1"/>
    <col min="15365" max="15365" width="18.88671875" style="423" customWidth="1"/>
    <col min="15366" max="15366" width="18.6640625" style="423" bestFit="1" customWidth="1"/>
    <col min="15367" max="15367" width="17.6640625" style="423" bestFit="1" customWidth="1"/>
    <col min="15368" max="15368" width="18.6640625" style="423" bestFit="1" customWidth="1"/>
    <col min="15369" max="15369" width="17.6640625" style="423" bestFit="1" customWidth="1"/>
    <col min="15370" max="15370" width="17.33203125" style="423" customWidth="1"/>
    <col min="15371" max="15371" width="17.33203125" style="423" bestFit="1" customWidth="1"/>
    <col min="15372" max="15372" width="18.6640625" style="423" bestFit="1" customWidth="1"/>
    <col min="15373" max="15373" width="19.109375" style="423" bestFit="1" customWidth="1"/>
    <col min="15374" max="15374" width="19.5546875" style="423" bestFit="1" customWidth="1"/>
    <col min="15375" max="15614" width="8.88671875" style="423"/>
    <col min="15615" max="15618" width="2.6640625" style="423" customWidth="1"/>
    <col min="15619" max="15619" width="49.33203125" style="423" customWidth="1"/>
    <col min="15620" max="15620" width="10.44140625" style="423" customWidth="1"/>
    <col min="15621" max="15621" width="18.88671875" style="423" customWidth="1"/>
    <col min="15622" max="15622" width="18.6640625" style="423" bestFit="1" customWidth="1"/>
    <col min="15623" max="15623" width="17.6640625" style="423" bestFit="1" customWidth="1"/>
    <col min="15624" max="15624" width="18.6640625" style="423" bestFit="1" customWidth="1"/>
    <col min="15625" max="15625" width="17.6640625" style="423" bestFit="1" customWidth="1"/>
    <col min="15626" max="15626" width="17.33203125" style="423" customWidth="1"/>
    <col min="15627" max="15627" width="17.33203125" style="423" bestFit="1" customWidth="1"/>
    <col min="15628" max="15628" width="18.6640625" style="423" bestFit="1" customWidth="1"/>
    <col min="15629" max="15629" width="19.109375" style="423" bestFit="1" customWidth="1"/>
    <col min="15630" max="15630" width="19.5546875" style="423" bestFit="1" customWidth="1"/>
    <col min="15631" max="15870" width="8.88671875" style="423"/>
    <col min="15871" max="15874" width="2.6640625" style="423" customWidth="1"/>
    <col min="15875" max="15875" width="49.33203125" style="423" customWidth="1"/>
    <col min="15876" max="15876" width="10.44140625" style="423" customWidth="1"/>
    <col min="15877" max="15877" width="18.88671875" style="423" customWidth="1"/>
    <col min="15878" max="15878" width="18.6640625" style="423" bestFit="1" customWidth="1"/>
    <col min="15879" max="15879" width="17.6640625" style="423" bestFit="1" customWidth="1"/>
    <col min="15880" max="15880" width="18.6640625" style="423" bestFit="1" customWidth="1"/>
    <col min="15881" max="15881" width="17.6640625" style="423" bestFit="1" customWidth="1"/>
    <col min="15882" max="15882" width="17.33203125" style="423" customWidth="1"/>
    <col min="15883" max="15883" width="17.33203125" style="423" bestFit="1" customWidth="1"/>
    <col min="15884" max="15884" width="18.6640625" style="423" bestFit="1" customWidth="1"/>
    <col min="15885" max="15885" width="19.109375" style="423" bestFit="1" customWidth="1"/>
    <col min="15886" max="15886" width="19.5546875" style="423" bestFit="1" customWidth="1"/>
    <col min="15887" max="16126" width="8.88671875" style="423"/>
    <col min="16127" max="16130" width="2.6640625" style="423" customWidth="1"/>
    <col min="16131" max="16131" width="49.33203125" style="423" customWidth="1"/>
    <col min="16132" max="16132" width="10.44140625" style="423" customWidth="1"/>
    <col min="16133" max="16133" width="18.88671875" style="423" customWidth="1"/>
    <col min="16134" max="16134" width="18.6640625" style="423" bestFit="1" customWidth="1"/>
    <col min="16135" max="16135" width="17.6640625" style="423" bestFit="1" customWidth="1"/>
    <col min="16136" max="16136" width="18.6640625" style="423" bestFit="1" customWidth="1"/>
    <col min="16137" max="16137" width="17.6640625" style="423" bestFit="1" customWidth="1"/>
    <col min="16138" max="16138" width="17.33203125" style="423" customWidth="1"/>
    <col min="16139" max="16139" width="17.33203125" style="423" bestFit="1" customWidth="1"/>
    <col min="16140" max="16140" width="18.6640625" style="423" bestFit="1" customWidth="1"/>
    <col min="16141" max="16141" width="19.109375" style="423" bestFit="1" customWidth="1"/>
    <col min="16142" max="16142" width="19.5546875" style="423" bestFit="1" customWidth="1"/>
    <col min="16143" max="16384" width="8.88671875" style="423"/>
  </cols>
  <sheetData>
    <row r="1" spans="1:14" ht="17.399999999999999" x14ac:dyDescent="0.3">
      <c r="A1" s="751" t="s">
        <v>2467</v>
      </c>
      <c r="B1" s="751"/>
      <c r="C1" s="751"/>
      <c r="D1" s="751"/>
      <c r="E1" s="751"/>
      <c r="F1" s="751"/>
      <c r="G1" s="751"/>
      <c r="H1" s="751"/>
      <c r="I1" s="751"/>
      <c r="J1" s="751"/>
      <c r="K1" s="751"/>
      <c r="L1" s="751"/>
      <c r="M1" s="751"/>
      <c r="N1" s="751"/>
    </row>
    <row r="2" spans="1:14" ht="17.399999999999999" x14ac:dyDescent="0.3">
      <c r="A2" s="751" t="s">
        <v>2371</v>
      </c>
      <c r="B2" s="751"/>
      <c r="C2" s="751"/>
      <c r="D2" s="751"/>
      <c r="E2" s="751"/>
      <c r="F2" s="751"/>
      <c r="G2" s="751"/>
      <c r="H2" s="751"/>
      <c r="I2" s="751"/>
      <c r="J2" s="751"/>
      <c r="K2" s="751"/>
      <c r="L2" s="751"/>
      <c r="M2" s="751"/>
      <c r="N2" s="751"/>
    </row>
    <row r="3" spans="1:14" ht="17.399999999999999" x14ac:dyDescent="0.3">
      <c r="A3" s="751" t="s">
        <v>2468</v>
      </c>
      <c r="B3" s="751"/>
      <c r="C3" s="751"/>
      <c r="D3" s="751"/>
      <c r="E3" s="751"/>
      <c r="F3" s="751"/>
      <c r="G3" s="751"/>
      <c r="H3" s="751"/>
      <c r="I3" s="751"/>
      <c r="J3" s="751"/>
      <c r="K3" s="751"/>
      <c r="L3" s="751"/>
      <c r="M3" s="751"/>
      <c r="N3" s="751"/>
    </row>
    <row r="4" spans="1:14" ht="18" x14ac:dyDescent="0.3">
      <c r="A4" s="747" t="s">
        <v>2406</v>
      </c>
      <c r="B4" s="747"/>
      <c r="C4" s="747"/>
      <c r="D4" s="747"/>
      <c r="E4" s="747"/>
      <c r="F4" s="747"/>
      <c r="G4" s="747"/>
      <c r="H4" s="747"/>
      <c r="I4" s="747"/>
      <c r="J4" s="747"/>
      <c r="K4" s="747"/>
      <c r="L4" s="747"/>
      <c r="M4" s="747"/>
      <c r="N4" s="747"/>
    </row>
    <row r="5" spans="1:14" ht="18.600000000000001" thickBot="1" x14ac:dyDescent="0.35">
      <c r="A5" s="748" t="s">
        <v>2374</v>
      </c>
      <c r="B5" s="748"/>
      <c r="C5" s="748"/>
      <c r="D5" s="748"/>
      <c r="E5" s="748"/>
      <c r="F5" s="748"/>
      <c r="G5" s="748"/>
      <c r="H5" s="748"/>
      <c r="I5" s="748"/>
      <c r="J5" s="748"/>
      <c r="K5" s="748"/>
      <c r="L5" s="748"/>
      <c r="M5" s="748"/>
      <c r="N5" s="748"/>
    </row>
    <row r="6" spans="1:14" x14ac:dyDescent="0.3">
      <c r="A6" s="752"/>
      <c r="B6" s="753"/>
      <c r="C6" s="753"/>
      <c r="D6" s="753"/>
      <c r="E6" s="754"/>
      <c r="F6" s="761" t="s">
        <v>2469</v>
      </c>
      <c r="G6" s="762"/>
      <c r="H6" s="762"/>
      <c r="I6" s="763"/>
      <c r="J6" s="761" t="s">
        <v>2470</v>
      </c>
      <c r="K6" s="763"/>
      <c r="L6" s="777" t="s">
        <v>2471</v>
      </c>
      <c r="M6" s="778"/>
      <c r="N6" s="527" t="s">
        <v>2470</v>
      </c>
    </row>
    <row r="7" spans="1:14" x14ac:dyDescent="0.3">
      <c r="A7" s="755"/>
      <c r="B7" s="756"/>
      <c r="C7" s="756"/>
      <c r="D7" s="756"/>
      <c r="E7" s="757"/>
      <c r="F7" s="770" t="s">
        <v>2472</v>
      </c>
      <c r="G7" s="771"/>
      <c r="H7" s="771"/>
      <c r="I7" s="772"/>
      <c r="J7" s="766" t="s">
        <v>2473</v>
      </c>
      <c r="K7" s="767"/>
      <c r="L7" s="779"/>
      <c r="M7" s="780"/>
      <c r="N7" s="528" t="s">
        <v>2474</v>
      </c>
    </row>
    <row r="8" spans="1:14" ht="16.2" thickBot="1" x14ac:dyDescent="0.35">
      <c r="A8" s="758"/>
      <c r="B8" s="759"/>
      <c r="C8" s="759"/>
      <c r="D8" s="759"/>
      <c r="E8" s="760"/>
      <c r="F8" s="773" t="s">
        <v>2475</v>
      </c>
      <c r="G8" s="774"/>
      <c r="H8" s="775" t="s">
        <v>2476</v>
      </c>
      <c r="I8" s="776"/>
      <c r="J8" s="768" t="s">
        <v>2474</v>
      </c>
      <c r="K8" s="769"/>
      <c r="L8" s="781"/>
      <c r="M8" s="782"/>
      <c r="N8" s="529" t="s">
        <v>2477</v>
      </c>
    </row>
    <row r="9" spans="1:14" x14ac:dyDescent="0.3">
      <c r="A9" s="437" t="s">
        <v>904</v>
      </c>
      <c r="B9" s="472"/>
      <c r="E9" s="438"/>
      <c r="F9" s="429"/>
      <c r="G9" s="428"/>
      <c r="H9" s="428"/>
      <c r="I9" s="426"/>
      <c r="J9" s="428"/>
      <c r="K9" s="428"/>
      <c r="L9" s="426"/>
      <c r="M9" s="426"/>
      <c r="N9" s="471"/>
    </row>
    <row r="10" spans="1:14" x14ac:dyDescent="0.3">
      <c r="A10" s="437" t="s">
        <v>2478</v>
      </c>
      <c r="B10" s="472"/>
      <c r="E10" s="438"/>
      <c r="F10" s="429"/>
      <c r="G10" s="428"/>
      <c r="H10" s="428"/>
      <c r="I10" s="426"/>
      <c r="J10" s="428"/>
      <c r="K10" s="428"/>
      <c r="L10" s="426"/>
      <c r="M10" s="426"/>
      <c r="N10" s="471"/>
    </row>
    <row r="11" spans="1:14" x14ac:dyDescent="0.3">
      <c r="A11" s="422"/>
      <c r="B11" s="423" t="s">
        <v>2480</v>
      </c>
      <c r="E11" s="438"/>
      <c r="F11" s="429"/>
      <c r="G11" s="439"/>
      <c r="H11" s="428"/>
      <c r="I11" s="440"/>
      <c r="J11" s="428"/>
      <c r="K11" s="428"/>
      <c r="L11" s="426"/>
      <c r="M11" s="426"/>
      <c r="N11" s="471"/>
    </row>
    <row r="12" spans="1:14" x14ac:dyDescent="0.3">
      <c r="A12" s="422"/>
      <c r="B12" s="472"/>
      <c r="C12" s="423" t="s">
        <v>2481</v>
      </c>
      <c r="E12" s="438"/>
      <c r="F12" s="424">
        <v>58000000</v>
      </c>
      <c r="G12" s="426">
        <v>58000000</v>
      </c>
      <c r="H12" s="425">
        <v>58000000</v>
      </c>
      <c r="I12" s="425">
        <v>58000000</v>
      </c>
      <c r="J12" s="505">
        <f>+F12-H12</f>
        <v>0</v>
      </c>
      <c r="K12" s="428">
        <f>+G12-I12</f>
        <v>0</v>
      </c>
      <c r="L12" s="428">
        <v>65477842.450000003</v>
      </c>
      <c r="M12" s="431">
        <v>50790562.819999993</v>
      </c>
      <c r="N12" s="471">
        <f t="shared" ref="N12:N18" si="0">+H12-L12</f>
        <v>-7477842.450000003</v>
      </c>
    </row>
    <row r="13" spans="1:14" x14ac:dyDescent="0.3">
      <c r="A13" s="422"/>
      <c r="B13" s="472"/>
      <c r="C13" s="423" t="s">
        <v>2482</v>
      </c>
      <c r="E13" s="438"/>
      <c r="F13" s="424"/>
      <c r="G13" s="426"/>
      <c r="H13" s="426"/>
      <c r="I13" s="425"/>
      <c r="J13" s="505">
        <f t="shared" ref="J13:J14" si="1">+F13-H13</f>
        <v>0</v>
      </c>
      <c r="K13" s="428"/>
      <c r="L13" s="428"/>
      <c r="M13" s="431"/>
      <c r="N13" s="506">
        <f t="shared" si="0"/>
        <v>0</v>
      </c>
    </row>
    <row r="14" spans="1:14" x14ac:dyDescent="0.3">
      <c r="A14" s="422"/>
      <c r="B14" s="472"/>
      <c r="C14" s="423" t="s">
        <v>2483</v>
      </c>
      <c r="E14" s="438"/>
      <c r="F14" s="424"/>
      <c r="G14" s="426"/>
      <c r="H14" s="426"/>
      <c r="I14" s="425"/>
      <c r="J14" s="505">
        <f t="shared" si="1"/>
        <v>0</v>
      </c>
      <c r="K14" s="428"/>
      <c r="L14" s="428"/>
      <c r="M14" s="431">
        <v>4266923.0999999996</v>
      </c>
      <c r="N14" s="506">
        <f t="shared" si="0"/>
        <v>0</v>
      </c>
    </row>
    <row r="15" spans="1:14" x14ac:dyDescent="0.3">
      <c r="A15" s="422"/>
      <c r="B15" s="423" t="s">
        <v>2485</v>
      </c>
      <c r="E15" s="438"/>
      <c r="F15" s="424"/>
      <c r="G15" s="426"/>
      <c r="H15" s="426"/>
      <c r="I15" s="425"/>
      <c r="J15" s="428"/>
      <c r="K15" s="428"/>
      <c r="L15" s="426"/>
      <c r="M15" s="426"/>
      <c r="N15" s="471"/>
    </row>
    <row r="16" spans="1:14" x14ac:dyDescent="0.3">
      <c r="A16" s="422"/>
      <c r="C16" s="423" t="s">
        <v>2486</v>
      </c>
      <c r="E16" s="438"/>
      <c r="F16" s="424"/>
      <c r="G16" s="426"/>
      <c r="H16" s="426"/>
      <c r="I16" s="425"/>
      <c r="J16" s="505">
        <f>+F16-H16</f>
        <v>0</v>
      </c>
      <c r="K16" s="428"/>
      <c r="L16" s="426"/>
      <c r="M16" s="426"/>
      <c r="N16" s="506">
        <f t="shared" si="0"/>
        <v>0</v>
      </c>
    </row>
    <row r="17" spans="1:14" x14ac:dyDescent="0.3">
      <c r="A17" s="422"/>
      <c r="B17" s="472"/>
      <c r="C17" s="423" t="s">
        <v>2487</v>
      </c>
      <c r="E17" s="438"/>
      <c r="F17" s="424"/>
      <c r="G17" s="426"/>
      <c r="H17" s="426"/>
      <c r="I17" s="425"/>
      <c r="J17" s="505">
        <f>F17-H17</f>
        <v>0</v>
      </c>
      <c r="K17" s="428">
        <f>G17-I17</f>
        <v>0</v>
      </c>
      <c r="L17" s="426">
        <v>41162.51</v>
      </c>
      <c r="M17" s="426">
        <v>35280.660000000003</v>
      </c>
      <c r="N17" s="471">
        <f t="shared" si="0"/>
        <v>-41162.51</v>
      </c>
    </row>
    <row r="18" spans="1:14" x14ac:dyDescent="0.3">
      <c r="A18" s="422"/>
      <c r="B18" s="472"/>
      <c r="C18" s="423" t="s">
        <v>2488</v>
      </c>
      <c r="E18" s="438"/>
      <c r="F18" s="424">
        <v>40828817.030000001</v>
      </c>
      <c r="G18" s="427">
        <v>43064471.539999999</v>
      </c>
      <c r="H18" s="428">
        <v>50828816.490000002</v>
      </c>
      <c r="I18" s="426">
        <v>51064471.539999999</v>
      </c>
      <c r="J18" s="428">
        <f>F18-H18</f>
        <v>-9999999.4600000009</v>
      </c>
      <c r="K18" s="428">
        <f>G18-I18</f>
        <v>-8000000</v>
      </c>
      <c r="L18" s="428">
        <v>50828943.859999999</v>
      </c>
      <c r="M18" s="428">
        <v>38893559.350000001</v>
      </c>
      <c r="N18" s="471">
        <f t="shared" si="0"/>
        <v>-127.36999999731779</v>
      </c>
    </row>
    <row r="19" spans="1:14" x14ac:dyDescent="0.3">
      <c r="A19" s="437" t="s">
        <v>2507</v>
      </c>
      <c r="B19" s="472"/>
      <c r="C19" s="472"/>
      <c r="E19" s="438"/>
      <c r="F19" s="447">
        <f>SUM(F12:F18)</f>
        <v>98828817.030000001</v>
      </c>
      <c r="G19" s="449">
        <f>SUM(G12:G18)</f>
        <v>101064471.53999999</v>
      </c>
      <c r="H19" s="449">
        <f t="shared" ref="H19:N19" si="2">SUM(H12:H18)</f>
        <v>108828816.49000001</v>
      </c>
      <c r="I19" s="449">
        <f t="shared" si="2"/>
        <v>109064471.53999999</v>
      </c>
      <c r="J19" s="449">
        <f t="shared" si="2"/>
        <v>-9999999.4600000009</v>
      </c>
      <c r="K19" s="449">
        <f t="shared" si="2"/>
        <v>-8000000</v>
      </c>
      <c r="L19" s="449">
        <f t="shared" si="2"/>
        <v>116347948.81999999</v>
      </c>
      <c r="M19" s="449">
        <f t="shared" si="2"/>
        <v>93986325.929999992</v>
      </c>
      <c r="N19" s="465">
        <f t="shared" si="2"/>
        <v>-7519132.3300000001</v>
      </c>
    </row>
    <row r="20" spans="1:14" x14ac:dyDescent="0.3">
      <c r="A20" s="437" t="s">
        <v>2535</v>
      </c>
      <c r="B20" s="472"/>
      <c r="C20" s="472"/>
      <c r="E20" s="438"/>
      <c r="F20" s="424"/>
      <c r="G20" s="427"/>
      <c r="H20" s="428"/>
      <c r="I20" s="426"/>
      <c r="J20" s="428"/>
      <c r="K20" s="428"/>
      <c r="L20" s="426"/>
      <c r="M20" s="426"/>
      <c r="N20" s="471"/>
    </row>
    <row r="21" spans="1:14" x14ac:dyDescent="0.3">
      <c r="A21" s="437" t="s">
        <v>2509</v>
      </c>
      <c r="B21" s="472"/>
      <c r="C21" s="472"/>
      <c r="E21" s="438"/>
      <c r="F21" s="424"/>
      <c r="G21" s="427"/>
      <c r="H21" s="428"/>
      <c r="I21" s="426"/>
      <c r="J21" s="428"/>
      <c r="K21" s="428"/>
      <c r="L21" s="426"/>
      <c r="M21" s="426"/>
      <c r="N21" s="471"/>
    </row>
    <row r="22" spans="1:14" x14ac:dyDescent="0.3">
      <c r="A22" s="437"/>
      <c r="B22" s="472" t="s">
        <v>2514</v>
      </c>
      <c r="C22" s="472"/>
      <c r="E22" s="438"/>
      <c r="F22" s="424"/>
      <c r="G22" s="427"/>
      <c r="H22" s="426"/>
      <c r="I22" s="426"/>
      <c r="J22" s="426"/>
      <c r="K22" s="426"/>
      <c r="L22" s="425"/>
      <c r="M22" s="426"/>
      <c r="N22" s="471"/>
    </row>
    <row r="23" spans="1:14" x14ac:dyDescent="0.3">
      <c r="A23" s="437"/>
      <c r="C23" s="423" t="s">
        <v>2511</v>
      </c>
      <c r="E23" s="438"/>
      <c r="F23" s="424">
        <v>11460000</v>
      </c>
      <c r="G23" s="425">
        <v>11460000</v>
      </c>
      <c r="H23" s="425">
        <v>12150000</v>
      </c>
      <c r="I23" s="426">
        <v>15468653.460000001</v>
      </c>
      <c r="J23" s="426">
        <f t="shared" ref="J23:K25" si="3">F23-H23</f>
        <v>-690000</v>
      </c>
      <c r="K23" s="426">
        <f t="shared" si="3"/>
        <v>-4008653.4600000009</v>
      </c>
      <c r="L23" s="425">
        <v>11563059.760000002</v>
      </c>
      <c r="M23" s="426">
        <v>15411440.18</v>
      </c>
      <c r="N23" s="471">
        <f>H23-L23</f>
        <v>586940.23999999836</v>
      </c>
    </row>
    <row r="24" spans="1:14" x14ac:dyDescent="0.3">
      <c r="A24" s="437"/>
      <c r="C24" s="423" t="s">
        <v>2512</v>
      </c>
      <c r="E24" s="438"/>
      <c r="F24" s="424">
        <v>4910000</v>
      </c>
      <c r="G24" s="425">
        <v>13490000</v>
      </c>
      <c r="H24" s="425">
        <v>10385763.539999999</v>
      </c>
      <c r="I24" s="426">
        <v>11035838.970000001</v>
      </c>
      <c r="J24" s="426">
        <f t="shared" si="3"/>
        <v>-5475763.5399999991</v>
      </c>
      <c r="K24" s="426">
        <f t="shared" si="3"/>
        <v>2454161.0299999993</v>
      </c>
      <c r="L24" s="425">
        <v>6996422.8000000007</v>
      </c>
      <c r="M24" s="426">
        <v>4578103.2</v>
      </c>
      <c r="N24" s="471">
        <f>H24-L24</f>
        <v>3389340.7399999984</v>
      </c>
    </row>
    <row r="25" spans="1:14" x14ac:dyDescent="0.3">
      <c r="A25" s="437"/>
      <c r="C25" s="423" t="s">
        <v>2513</v>
      </c>
      <c r="E25" s="438"/>
      <c r="F25" s="424">
        <v>41100000</v>
      </c>
      <c r="G25" s="446">
        <v>26800000</v>
      </c>
      <c r="H25" s="425">
        <v>50251720.890000001</v>
      </c>
      <c r="I25" s="428">
        <v>46486000</v>
      </c>
      <c r="J25" s="426">
        <f t="shared" si="3"/>
        <v>-9151720.8900000006</v>
      </c>
      <c r="K25" s="426">
        <f t="shared" si="3"/>
        <v>-19686000</v>
      </c>
      <c r="L25" s="425">
        <v>24348632.730000004</v>
      </c>
      <c r="M25" s="426">
        <v>16827122.640000001</v>
      </c>
      <c r="N25" s="471">
        <f>H25-L25</f>
        <v>25903088.159999996</v>
      </c>
    </row>
    <row r="26" spans="1:14" x14ac:dyDescent="0.3">
      <c r="A26" s="437"/>
      <c r="C26" s="472" t="s">
        <v>2536</v>
      </c>
      <c r="E26" s="438"/>
      <c r="F26" s="447">
        <f t="shared" ref="F26:N26" si="4">SUM(F23:F25)</f>
        <v>57470000</v>
      </c>
      <c r="G26" s="450">
        <f t="shared" si="4"/>
        <v>51750000</v>
      </c>
      <c r="H26" s="451">
        <f t="shared" si="4"/>
        <v>72787484.430000007</v>
      </c>
      <c r="I26" s="449">
        <f t="shared" si="4"/>
        <v>72990492.430000007</v>
      </c>
      <c r="J26" s="449">
        <f t="shared" si="4"/>
        <v>-15317484.43</v>
      </c>
      <c r="K26" s="449">
        <f t="shared" si="4"/>
        <v>-21240492.43</v>
      </c>
      <c r="L26" s="450">
        <f t="shared" si="4"/>
        <v>42908115.290000007</v>
      </c>
      <c r="M26" s="451">
        <f t="shared" si="4"/>
        <v>36816666.019999996</v>
      </c>
      <c r="N26" s="465">
        <f t="shared" si="4"/>
        <v>29879369.139999993</v>
      </c>
    </row>
    <row r="27" spans="1:14" x14ac:dyDescent="0.3">
      <c r="A27" s="437" t="s">
        <v>2537</v>
      </c>
      <c r="B27" s="472"/>
      <c r="C27" s="472"/>
      <c r="E27" s="438"/>
      <c r="F27" s="424"/>
      <c r="G27" s="427"/>
      <c r="H27" s="428"/>
      <c r="I27" s="426"/>
      <c r="J27" s="426"/>
      <c r="K27" s="426"/>
      <c r="L27" s="425"/>
      <c r="M27" s="426"/>
      <c r="N27" s="471"/>
    </row>
    <row r="28" spans="1:14" x14ac:dyDescent="0.3">
      <c r="A28" s="437"/>
      <c r="B28" s="472" t="s">
        <v>2514</v>
      </c>
      <c r="C28" s="472"/>
      <c r="E28" s="438"/>
      <c r="F28" s="424"/>
      <c r="G28" s="427"/>
      <c r="H28" s="428"/>
      <c r="I28" s="426"/>
      <c r="J28" s="426"/>
      <c r="K28" s="426"/>
      <c r="L28" s="425"/>
      <c r="M28" s="426"/>
      <c r="N28" s="471"/>
    </row>
    <row r="29" spans="1:14" x14ac:dyDescent="0.3">
      <c r="A29" s="437"/>
      <c r="B29" s="472"/>
      <c r="C29" s="423" t="s">
        <v>2513</v>
      </c>
      <c r="E29" s="438"/>
      <c r="F29" s="429">
        <v>40828817.030000001</v>
      </c>
      <c r="G29" s="428">
        <v>43064471.539999999</v>
      </c>
      <c r="H29" s="428">
        <v>36013053.490000002</v>
      </c>
      <c r="I29" s="426">
        <v>36073979.109999999</v>
      </c>
      <c r="J29" s="428">
        <f>F29-H29</f>
        <v>4815763.5399999991</v>
      </c>
      <c r="K29" s="428">
        <f>G29-I29</f>
        <v>6990492.4299999997</v>
      </c>
      <c r="L29" s="426">
        <v>30822174.300000001</v>
      </c>
      <c r="M29" s="426"/>
      <c r="N29" s="471">
        <f>H29-L29</f>
        <v>5190879.1900000013</v>
      </c>
    </row>
    <row r="30" spans="1:14" x14ac:dyDescent="0.3">
      <c r="A30" s="437"/>
      <c r="B30" s="472"/>
      <c r="C30" s="472" t="s">
        <v>2531</v>
      </c>
      <c r="E30" s="438"/>
      <c r="F30" s="459">
        <f t="shared" ref="F30:L30" si="5">SUM(F29)</f>
        <v>40828817.030000001</v>
      </c>
      <c r="G30" s="451">
        <f t="shared" si="5"/>
        <v>43064471.539999999</v>
      </c>
      <c r="H30" s="451">
        <f t="shared" si="5"/>
        <v>36013053.490000002</v>
      </c>
      <c r="I30" s="449">
        <f t="shared" si="5"/>
        <v>36073979.109999999</v>
      </c>
      <c r="J30" s="451">
        <f t="shared" si="5"/>
        <v>4815763.5399999991</v>
      </c>
      <c r="K30" s="451">
        <f t="shared" si="5"/>
        <v>6990492.4299999997</v>
      </c>
      <c r="L30" s="451">
        <f t="shared" si="5"/>
        <v>30822174.300000001</v>
      </c>
      <c r="M30" s="449">
        <f>SUM(M29)</f>
        <v>0</v>
      </c>
      <c r="N30" s="465">
        <f>SUM(N29)</f>
        <v>5190879.1900000013</v>
      </c>
    </row>
    <row r="31" spans="1:14" ht="16.2" thickBot="1" x14ac:dyDescent="0.35">
      <c r="A31" s="437" t="s">
        <v>2532</v>
      </c>
      <c r="B31" s="472"/>
      <c r="C31" s="472"/>
      <c r="E31" s="438"/>
      <c r="F31" s="462">
        <f>F26+F30</f>
        <v>98298817.030000001</v>
      </c>
      <c r="G31" s="463">
        <f>G26+G30</f>
        <v>94814471.539999992</v>
      </c>
      <c r="H31" s="463">
        <f>H26+H30</f>
        <v>108800537.92000002</v>
      </c>
      <c r="I31" s="464">
        <f t="shared" ref="I31:N31" si="6">I26+I30</f>
        <v>109064471.54000001</v>
      </c>
      <c r="J31" s="463">
        <f t="shared" si="6"/>
        <v>-10501720.890000001</v>
      </c>
      <c r="K31" s="463">
        <f t="shared" si="6"/>
        <v>-14250000</v>
      </c>
      <c r="L31" s="464">
        <f>L26+L30</f>
        <v>73730289.590000004</v>
      </c>
      <c r="M31" s="464">
        <f t="shared" si="6"/>
        <v>36816666.019999996</v>
      </c>
      <c r="N31" s="473">
        <f t="shared" si="6"/>
        <v>35070248.329999998</v>
      </c>
    </row>
    <row r="32" spans="1:14" ht="16.2" thickBot="1" x14ac:dyDescent="0.35">
      <c r="A32" s="466" t="s">
        <v>2533</v>
      </c>
      <c r="B32" s="467"/>
      <c r="C32" s="467"/>
      <c r="D32" s="467"/>
      <c r="E32" s="474"/>
      <c r="F32" s="475">
        <f>F19-F31</f>
        <v>530000</v>
      </c>
      <c r="G32" s="476"/>
      <c r="H32" s="475">
        <f>H19-H31</f>
        <v>28278.569999992847</v>
      </c>
      <c r="I32" s="476"/>
      <c r="J32" s="475">
        <f>J19-J31</f>
        <v>501721.4299999997</v>
      </c>
      <c r="K32" s="476"/>
      <c r="L32" s="475">
        <f>L19-L31</f>
        <v>42617659.229999989</v>
      </c>
      <c r="M32" s="476"/>
      <c r="N32" s="530">
        <f>N19-N31</f>
        <v>-42589380.659999996</v>
      </c>
    </row>
    <row r="33" spans="6:14" x14ac:dyDescent="0.3">
      <c r="F33" s="460"/>
      <c r="H33" s="460"/>
      <c r="J33" s="460"/>
      <c r="L33" s="460"/>
      <c r="N33" s="460"/>
    </row>
    <row r="34" spans="6:14" x14ac:dyDescent="0.3">
      <c r="F34" s="461"/>
      <c r="G34" s="461"/>
      <c r="H34" s="461"/>
      <c r="I34" s="461"/>
      <c r="J34" s="461"/>
      <c r="K34" s="461"/>
      <c r="L34" s="461"/>
      <c r="M34" s="461"/>
      <c r="N34" s="461"/>
    </row>
    <row r="39" spans="6:14" x14ac:dyDescent="0.3">
      <c r="F39" s="461"/>
      <c r="G39" s="461"/>
      <c r="H39" s="461"/>
      <c r="I39" s="461"/>
      <c r="J39" s="461"/>
      <c r="K39" s="461"/>
      <c r="L39" s="461"/>
      <c r="M39" s="461"/>
      <c r="N39" s="461"/>
    </row>
  </sheetData>
  <sheetProtection algorithmName="SHA-512" hashValue="lG9S8eqfnN/vbq0m6uyVDQR6fbJj2I/eF9XG21U/Vt1mDse4UYOdrewYv8HSmnm/rh2Sq2yddgc3RN6h3jpmGg==" saltValue="syYBs3Gc7ubnJ5tRkG5weg==" spinCount="100000" sheet="1" objects="1" scenarios="1" selectLockedCells="1" selectUnlockedCells="1"/>
  <mergeCells count="14">
    <mergeCell ref="A6:E8"/>
    <mergeCell ref="F6:I6"/>
    <mergeCell ref="J6:K6"/>
    <mergeCell ref="A1:N1"/>
    <mergeCell ref="A2:N2"/>
    <mergeCell ref="A3:N3"/>
    <mergeCell ref="A4:N4"/>
    <mergeCell ref="A5:N5"/>
    <mergeCell ref="L6:M8"/>
    <mergeCell ref="F7:I7"/>
    <mergeCell ref="J7:K7"/>
    <mergeCell ref="F8:G8"/>
    <mergeCell ref="H8:I8"/>
    <mergeCell ref="J8:K8"/>
  </mergeCells>
  <printOptions horizontalCentered="1"/>
  <pageMargins left="1.4960629921259843" right="0.98425196850393704" top="0.98425196850393704" bottom="0.98425196850393704" header="0.51181102362204722" footer="0.51181102362204722"/>
  <pageSetup scale="58" fitToHeight="0" orientation="portrait" r:id="rId1"/>
  <headerFooter>
    <oddHeader>&amp;R&amp;"Times New Roman,Regular"Annex B.5
AAR Page 10</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57"/>
  <sheetViews>
    <sheetView zoomScaleNormal="100" workbookViewId="0">
      <selection sqref="A1:E1"/>
    </sheetView>
  </sheetViews>
  <sheetFormatPr defaultRowHeight="14.4" x14ac:dyDescent="0.3"/>
  <cols>
    <col min="1" max="1" width="38.109375" customWidth="1"/>
    <col min="2" max="2" width="21.33203125" customWidth="1"/>
    <col min="3" max="3" width="3.6640625" customWidth="1"/>
    <col min="4" max="4" width="21.33203125" customWidth="1"/>
    <col min="5" max="5" width="0.88671875" customWidth="1"/>
    <col min="6" max="6" width="15.33203125" hidden="1" customWidth="1"/>
    <col min="7" max="7" width="16.88671875" hidden="1" customWidth="1"/>
    <col min="8" max="9" width="16.88671875" style="308" bestFit="1" customWidth="1"/>
    <col min="10" max="10" width="16.88671875" bestFit="1" customWidth="1"/>
  </cols>
  <sheetData>
    <row r="1" spans="1:9" ht="17.399999999999999" x14ac:dyDescent="0.3">
      <c r="A1" s="750" t="s">
        <v>0</v>
      </c>
      <c r="B1" s="750"/>
      <c r="C1" s="750"/>
      <c r="D1" s="750"/>
      <c r="E1" s="750"/>
      <c r="I1"/>
    </row>
    <row r="2" spans="1:9" ht="17.399999999999999" x14ac:dyDescent="0.3">
      <c r="A2" s="751" t="s">
        <v>2371</v>
      </c>
      <c r="B2" s="751"/>
      <c r="C2" s="751"/>
      <c r="D2" s="751"/>
      <c r="E2" s="751"/>
      <c r="I2"/>
    </row>
    <row r="3" spans="1:9" ht="17.399999999999999" x14ac:dyDescent="0.3">
      <c r="A3" s="751" t="s">
        <v>2372</v>
      </c>
      <c r="B3" s="751"/>
      <c r="C3" s="751"/>
      <c r="D3" s="751"/>
      <c r="E3" s="751"/>
      <c r="I3"/>
    </row>
    <row r="4" spans="1:9" ht="17.399999999999999" x14ac:dyDescent="0.3">
      <c r="A4" s="751" t="s">
        <v>906</v>
      </c>
      <c r="B4" s="751"/>
      <c r="C4" s="751"/>
      <c r="D4" s="751"/>
      <c r="E4" s="751"/>
      <c r="I4"/>
    </row>
    <row r="5" spans="1:9" ht="18" x14ac:dyDescent="0.3">
      <c r="A5" s="747" t="s">
        <v>5</v>
      </c>
      <c r="B5" s="747"/>
      <c r="C5" s="747"/>
      <c r="D5" s="747"/>
      <c r="E5" s="747"/>
      <c r="I5"/>
    </row>
    <row r="6" spans="1:9" ht="18" x14ac:dyDescent="0.3">
      <c r="A6" s="747" t="s">
        <v>2373</v>
      </c>
      <c r="B6" s="747"/>
      <c r="C6" s="747"/>
      <c r="D6" s="747"/>
      <c r="E6" s="747"/>
      <c r="I6"/>
    </row>
    <row r="7" spans="1:9" ht="18" x14ac:dyDescent="0.3">
      <c r="A7" s="748" t="s">
        <v>2374</v>
      </c>
      <c r="B7" s="748"/>
      <c r="C7" s="748"/>
      <c r="D7" s="748"/>
      <c r="E7" s="748"/>
      <c r="I7"/>
    </row>
    <row r="9" spans="1:9" ht="15.6" x14ac:dyDescent="0.3">
      <c r="A9" s="73"/>
      <c r="B9" s="309">
        <v>2022</v>
      </c>
      <c r="C9" s="310"/>
      <c r="D9" s="309">
        <v>2021</v>
      </c>
      <c r="E9" s="310"/>
      <c r="I9"/>
    </row>
    <row r="10" spans="1:9" ht="15.6" x14ac:dyDescent="0.3">
      <c r="A10" s="311" t="s">
        <v>2375</v>
      </c>
      <c r="B10" s="73"/>
      <c r="C10" s="73"/>
      <c r="D10" s="73"/>
      <c r="E10" s="73"/>
      <c r="I10"/>
    </row>
    <row r="11" spans="1:9" ht="16.2" x14ac:dyDescent="0.3">
      <c r="A11" s="312" t="s">
        <v>2376</v>
      </c>
      <c r="B11" s="73"/>
      <c r="C11" s="73"/>
      <c r="D11" s="73"/>
      <c r="E11" s="73"/>
      <c r="I11"/>
    </row>
    <row r="12" spans="1:9" ht="15.6" x14ac:dyDescent="0.3">
      <c r="A12" s="73" t="s">
        <v>2377</v>
      </c>
      <c r="B12" s="314">
        <v>297672222.92000002</v>
      </c>
      <c r="C12" s="315"/>
      <c r="D12" s="314">
        <v>495363755.80000013</v>
      </c>
      <c r="E12" s="315"/>
      <c r="F12" s="316" t="e">
        <f>B12-#REF!</f>
        <v>#REF!</v>
      </c>
      <c r="G12" s="316" t="e">
        <f>D12-#REF!</f>
        <v>#REF!</v>
      </c>
      <c r="H12" s="317"/>
      <c r="I12"/>
    </row>
    <row r="13" spans="1:9" ht="15.6" x14ac:dyDescent="0.3">
      <c r="A13" s="73" t="s">
        <v>2378</v>
      </c>
      <c r="B13" s="314">
        <v>6221426.2000000002</v>
      </c>
      <c r="C13" s="315"/>
      <c r="D13" s="314">
        <v>121426.2</v>
      </c>
      <c r="E13" s="315"/>
      <c r="F13" s="316" t="e">
        <f>B13-#REF!</f>
        <v>#REF!</v>
      </c>
      <c r="G13" s="316" t="e">
        <f>D13-#REF!</f>
        <v>#REF!</v>
      </c>
      <c r="I13"/>
    </row>
    <row r="14" spans="1:9" ht="15.6" x14ac:dyDescent="0.3">
      <c r="A14" s="73" t="s">
        <v>2379</v>
      </c>
      <c r="B14" s="314">
        <v>14823602.23</v>
      </c>
      <c r="C14" s="315"/>
      <c r="D14" s="314">
        <v>39475276.499999985</v>
      </c>
      <c r="E14" s="315"/>
      <c r="F14" s="316" t="e">
        <f>B14-#REF!</f>
        <v>#REF!</v>
      </c>
      <c r="G14" s="316" t="e">
        <f>D14-#REF!</f>
        <v>#REF!</v>
      </c>
      <c r="I14"/>
    </row>
    <row r="15" spans="1:9" ht="15.6" x14ac:dyDescent="0.3">
      <c r="A15" s="73" t="s">
        <v>2380</v>
      </c>
      <c r="B15" s="314">
        <v>6473449.04</v>
      </c>
      <c r="C15" s="315"/>
      <c r="D15" s="314">
        <v>3540839.07</v>
      </c>
      <c r="E15" s="315"/>
      <c r="F15" s="316" t="e">
        <f>B15-#REF!</f>
        <v>#REF!</v>
      </c>
      <c r="G15" s="316" t="e">
        <f>D15-#REF!</f>
        <v>#REF!</v>
      </c>
      <c r="I15"/>
    </row>
    <row r="16" spans="1:9" ht="15.6" x14ac:dyDescent="0.3">
      <c r="A16" s="318" t="s">
        <v>2381</v>
      </c>
      <c r="B16" s="319">
        <v>27388945.969999999</v>
      </c>
      <c r="C16" s="315"/>
      <c r="D16" s="319">
        <v>5544738.830000001</v>
      </c>
      <c r="E16" s="315"/>
      <c r="F16" s="316" t="e">
        <f>B16-#REF!</f>
        <v>#REF!</v>
      </c>
      <c r="G16" s="316" t="e">
        <f>D16-#REF!</f>
        <v>#REF!</v>
      </c>
      <c r="I16"/>
    </row>
    <row r="17" spans="1:10" ht="15.6" x14ac:dyDescent="0.3">
      <c r="A17" s="311" t="s">
        <v>2382</v>
      </c>
      <c r="B17" s="320">
        <f>SUM(B12:B16)</f>
        <v>352579646.36000001</v>
      </c>
      <c r="C17" s="321"/>
      <c r="D17" s="320">
        <f>SUM(D12:D16)</f>
        <v>544046036.40000021</v>
      </c>
      <c r="E17" s="321"/>
      <c r="F17" s="316" t="e">
        <f>B17-#REF!</f>
        <v>#REF!</v>
      </c>
      <c r="G17" s="322" t="e">
        <f>D17-#REF!</f>
        <v>#REF!</v>
      </c>
      <c r="H17" s="323"/>
      <c r="I17" s="324"/>
      <c r="J17" s="323"/>
    </row>
    <row r="18" spans="1:10" ht="15.6" x14ac:dyDescent="0.3">
      <c r="A18" s="73"/>
      <c r="B18" s="314"/>
      <c r="C18" s="315"/>
      <c r="D18" s="314"/>
      <c r="E18" s="315"/>
      <c r="G18" s="322"/>
      <c r="H18" s="323"/>
      <c r="I18" s="324"/>
      <c r="J18" s="324"/>
    </row>
    <row r="19" spans="1:10" ht="16.2" x14ac:dyDescent="0.3">
      <c r="A19" s="312" t="s">
        <v>2383</v>
      </c>
      <c r="B19" s="314"/>
      <c r="C19" s="315"/>
      <c r="D19" s="314"/>
      <c r="E19" s="315"/>
      <c r="H19" s="324"/>
      <c r="I19" s="324"/>
      <c r="J19" s="324"/>
    </row>
    <row r="20" spans="1:10" ht="15.6" x14ac:dyDescent="0.3">
      <c r="A20" s="73" t="s">
        <v>2384</v>
      </c>
      <c r="B20" s="314">
        <v>387002021.92000002</v>
      </c>
      <c r="C20" s="315"/>
      <c r="D20" s="314">
        <v>157410758.06999996</v>
      </c>
      <c r="E20" s="315"/>
      <c r="F20" s="316" t="e">
        <f>B20-#REF!</f>
        <v>#REF!</v>
      </c>
      <c r="G20" s="325" t="e">
        <f>D20-#REF!</f>
        <v>#REF!</v>
      </c>
      <c r="H20" s="326"/>
      <c r="I20" s="324"/>
      <c r="J20" s="326"/>
    </row>
    <row r="21" spans="1:10" ht="15.6" x14ac:dyDescent="0.3">
      <c r="A21" s="73" t="s">
        <v>2385</v>
      </c>
      <c r="B21" s="403">
        <v>0</v>
      </c>
      <c r="C21" s="404"/>
      <c r="D21" s="403">
        <v>0</v>
      </c>
      <c r="E21" s="315"/>
      <c r="F21" s="316" t="e">
        <f>B21-#REF!</f>
        <v>#REF!</v>
      </c>
      <c r="G21" s="325" t="e">
        <f>D21-#REF!</f>
        <v>#REF!</v>
      </c>
      <c r="H21" s="327"/>
      <c r="I21" s="324"/>
      <c r="J21" s="327"/>
    </row>
    <row r="22" spans="1:10" ht="15.6" x14ac:dyDescent="0.3">
      <c r="A22" s="73" t="s">
        <v>2386</v>
      </c>
      <c r="B22" s="403">
        <v>0</v>
      </c>
      <c r="C22" s="404"/>
      <c r="D22" s="403">
        <v>0</v>
      </c>
      <c r="E22" s="329"/>
      <c r="F22" s="316" t="e">
        <f>B22-#REF!</f>
        <v>#REF!</v>
      </c>
      <c r="G22" s="330" t="e">
        <f>D22-#REF!</f>
        <v>#REF!</v>
      </c>
      <c r="H22" s="331"/>
      <c r="I22" s="324"/>
      <c r="J22" s="331"/>
    </row>
    <row r="23" spans="1:10" ht="15.6" x14ac:dyDescent="0.3">
      <c r="A23" s="311" t="s">
        <v>2387</v>
      </c>
      <c r="B23" s="320">
        <f>SUM(B20:B22)</f>
        <v>387002021.92000002</v>
      </c>
      <c r="C23" s="321"/>
      <c r="D23" s="320">
        <f>SUM(D20:D22)</f>
        <v>157410758.06999996</v>
      </c>
      <c r="E23" s="321"/>
      <c r="F23" s="316" t="e">
        <f>B23-#REF!</f>
        <v>#REF!</v>
      </c>
      <c r="G23" s="332" t="e">
        <f>D23-#REF!</f>
        <v>#REF!</v>
      </c>
      <c r="H23" s="333"/>
      <c r="I23" s="324"/>
      <c r="J23" s="323"/>
    </row>
    <row r="24" spans="1:10" ht="16.2" thickBot="1" x14ac:dyDescent="0.35">
      <c r="A24" s="311" t="s">
        <v>2388</v>
      </c>
      <c r="B24" s="334">
        <f>B23+B17</f>
        <v>739581668.27999997</v>
      </c>
      <c r="C24" s="321"/>
      <c r="D24" s="334">
        <f>D23+D17</f>
        <v>701456794.47000015</v>
      </c>
      <c r="E24" s="321"/>
      <c r="F24" s="316" t="e">
        <f>B24-#REF!</f>
        <v>#REF!</v>
      </c>
      <c r="G24" s="325" t="e">
        <f>D24-#REF!</f>
        <v>#REF!</v>
      </c>
      <c r="H24" s="335"/>
      <c r="I24" s="336"/>
      <c r="J24" s="323"/>
    </row>
    <row r="25" spans="1:10" ht="16.2" thickTop="1" x14ac:dyDescent="0.3">
      <c r="A25" s="73"/>
      <c r="B25" s="314"/>
      <c r="C25" s="315"/>
      <c r="D25" s="314"/>
      <c r="E25" s="315"/>
      <c r="G25" s="337"/>
      <c r="H25" s="338"/>
      <c r="I25" s="327"/>
      <c r="J25" s="324"/>
    </row>
    <row r="26" spans="1:10" ht="15.6" x14ac:dyDescent="0.3">
      <c r="A26" s="339" t="s">
        <v>2389</v>
      </c>
      <c r="B26" s="314"/>
      <c r="C26" s="315"/>
      <c r="D26" s="314"/>
      <c r="E26" s="315"/>
      <c r="G26" s="330"/>
      <c r="H26" s="340"/>
      <c r="I26" s="341"/>
      <c r="J26" s="324"/>
    </row>
    <row r="27" spans="1:10" ht="16.2" x14ac:dyDescent="0.3">
      <c r="A27" s="312" t="s">
        <v>2390</v>
      </c>
      <c r="B27" s="314"/>
      <c r="C27" s="315"/>
      <c r="D27" s="314"/>
      <c r="E27" s="315"/>
      <c r="G27" s="316"/>
      <c r="H27" s="342"/>
      <c r="I27" s="324"/>
      <c r="J27" s="324"/>
    </row>
    <row r="28" spans="1:10" ht="15.6" x14ac:dyDescent="0.3">
      <c r="A28" s="73" t="s">
        <v>2391</v>
      </c>
      <c r="B28" s="381">
        <v>32703203.210000001</v>
      </c>
      <c r="C28" s="329"/>
      <c r="D28" s="381">
        <v>5857260.8099999987</v>
      </c>
      <c r="E28" s="315"/>
      <c r="F28" s="316" t="e">
        <f>B28-#REF!</f>
        <v>#REF!</v>
      </c>
      <c r="G28" s="316" t="e">
        <f>D28-#REF!</f>
        <v>#REF!</v>
      </c>
      <c r="H28" s="324"/>
      <c r="I28" s="324"/>
      <c r="J28" s="324"/>
    </row>
    <row r="29" spans="1:10" ht="15.6" x14ac:dyDescent="0.3">
      <c r="A29" s="73" t="s">
        <v>2392</v>
      </c>
      <c r="B29" s="314">
        <v>245274911.39999998</v>
      </c>
      <c r="C29" s="315"/>
      <c r="D29" s="314">
        <v>453725261.9799999</v>
      </c>
      <c r="E29" s="315"/>
      <c r="F29" s="316" t="e">
        <f>B29-#REF!</f>
        <v>#REF!</v>
      </c>
      <c r="G29" s="316" t="e">
        <f>D29-#REF!</f>
        <v>#REF!</v>
      </c>
      <c r="H29" s="324"/>
      <c r="I29" s="324"/>
      <c r="J29" s="393"/>
    </row>
    <row r="30" spans="1:10" ht="15.6" x14ac:dyDescent="0.3">
      <c r="A30" s="73" t="s">
        <v>2393</v>
      </c>
      <c r="B30" s="314">
        <v>20353280.060000002</v>
      </c>
      <c r="C30" s="315"/>
      <c r="D30" s="314">
        <v>25210388.039999992</v>
      </c>
      <c r="E30" s="315"/>
      <c r="F30" s="316" t="e">
        <f>B30-#REF!</f>
        <v>#REF!</v>
      </c>
      <c r="G30" s="316" t="e">
        <f>D30-#REF!</f>
        <v>#REF!</v>
      </c>
      <c r="H30" s="324"/>
      <c r="I30" s="324"/>
      <c r="J30" s="324"/>
    </row>
    <row r="31" spans="1:10" ht="15.6" x14ac:dyDescent="0.3">
      <c r="A31" s="73" t="s">
        <v>2394</v>
      </c>
      <c r="B31" s="314">
        <v>93322006.390000001</v>
      </c>
      <c r="C31" s="315"/>
      <c r="D31" s="314">
        <v>76504271.170000002</v>
      </c>
      <c r="E31" s="315"/>
      <c r="F31" s="316" t="e">
        <f>B31-#REF!</f>
        <v>#REF!</v>
      </c>
      <c r="G31" s="316" t="e">
        <f>D31-#REF!</f>
        <v>#REF!</v>
      </c>
      <c r="H31" s="324"/>
      <c r="I31" s="324"/>
      <c r="J31" s="324"/>
    </row>
    <row r="32" spans="1:10" ht="15.6" x14ac:dyDescent="0.3">
      <c r="A32" s="73" t="s">
        <v>2395</v>
      </c>
      <c r="B32" s="403">
        <v>0</v>
      </c>
      <c r="C32" s="404"/>
      <c r="D32" s="403">
        <v>0</v>
      </c>
      <c r="E32" s="315"/>
      <c r="F32" s="316" t="e">
        <f>B32-#REF!</f>
        <v>#REF!</v>
      </c>
      <c r="G32" s="316" t="e">
        <f>D32-#REF!</f>
        <v>#REF!</v>
      </c>
      <c r="H32" s="324"/>
      <c r="I32" s="324"/>
      <c r="J32" s="324"/>
    </row>
    <row r="33" spans="1:10" ht="15.6" x14ac:dyDescent="0.3">
      <c r="A33" s="318" t="s">
        <v>2396</v>
      </c>
      <c r="B33" s="314">
        <v>141986729.75</v>
      </c>
      <c r="C33" s="315"/>
      <c r="D33" s="403">
        <v>0</v>
      </c>
      <c r="E33" s="315"/>
      <c r="F33" s="316" t="e">
        <f>B33-#REF!</f>
        <v>#REF!</v>
      </c>
      <c r="G33" s="316" t="e">
        <f>D33-#REF!</f>
        <v>#REF!</v>
      </c>
      <c r="H33" s="324"/>
      <c r="I33" s="324"/>
      <c r="J33" s="324"/>
    </row>
    <row r="34" spans="1:10" ht="15.6" x14ac:dyDescent="0.3">
      <c r="A34" s="318" t="s">
        <v>2397</v>
      </c>
      <c r="B34" s="328">
        <v>2313265.0499999998</v>
      </c>
      <c r="C34" s="329"/>
      <c r="D34" s="319">
        <v>7815390.9199999943</v>
      </c>
      <c r="E34" s="315"/>
      <c r="F34" s="316" t="e">
        <f>B34-#REF!</f>
        <v>#REF!</v>
      </c>
      <c r="G34" s="316" t="e">
        <f>D34-#REF!</f>
        <v>#REF!</v>
      </c>
      <c r="H34" s="324"/>
      <c r="I34" s="324"/>
      <c r="J34" s="324"/>
    </row>
    <row r="35" spans="1:10" ht="15.6" x14ac:dyDescent="0.3">
      <c r="A35" s="311" t="s">
        <v>2398</v>
      </c>
      <c r="B35" s="401">
        <f>SUM(B28:B34)</f>
        <v>535953395.85999995</v>
      </c>
      <c r="C35" s="374"/>
      <c r="D35" s="320">
        <f>SUM(D28:D34)</f>
        <v>569112572.91999984</v>
      </c>
      <c r="E35" s="321"/>
      <c r="F35" s="316" t="e">
        <f>B35-#REF!</f>
        <v>#REF!</v>
      </c>
      <c r="G35" s="322"/>
      <c r="H35" s="323"/>
      <c r="I35" s="324"/>
      <c r="J35" s="323"/>
    </row>
    <row r="36" spans="1:10" ht="15.6" x14ac:dyDescent="0.3">
      <c r="A36" s="73"/>
      <c r="B36" s="381"/>
      <c r="C36" s="329"/>
      <c r="D36" s="314"/>
      <c r="E36" s="315"/>
      <c r="G36" s="322"/>
      <c r="H36" s="323"/>
      <c r="I36" s="324"/>
      <c r="J36" s="324"/>
    </row>
    <row r="37" spans="1:10" ht="16.2" x14ac:dyDescent="0.3">
      <c r="A37" s="312" t="s">
        <v>2399</v>
      </c>
      <c r="B37" s="381"/>
      <c r="C37" s="329"/>
      <c r="D37" s="314"/>
      <c r="E37" s="315"/>
      <c r="H37" s="324"/>
      <c r="I37" s="324"/>
      <c r="J37" s="324"/>
    </row>
    <row r="38" spans="1:10" ht="15.6" x14ac:dyDescent="0.3">
      <c r="A38" s="73" t="s">
        <v>2391</v>
      </c>
      <c r="B38" s="403">
        <v>0</v>
      </c>
      <c r="C38" s="404"/>
      <c r="D38" s="403">
        <v>0</v>
      </c>
      <c r="E38" s="315"/>
      <c r="F38" s="316" t="e">
        <f>B38-#REF!</f>
        <v>#REF!</v>
      </c>
      <c r="G38" s="316" t="e">
        <f>D38-#REF!</f>
        <v>#REF!</v>
      </c>
      <c r="H38" s="324"/>
      <c r="I38" s="342"/>
      <c r="J38" s="324"/>
    </row>
    <row r="39" spans="1:10" ht="15.6" x14ac:dyDescent="0.3">
      <c r="A39" s="318" t="s">
        <v>2396</v>
      </c>
      <c r="B39" s="403">
        <v>0</v>
      </c>
      <c r="C39" s="404"/>
      <c r="D39" s="403">
        <v>0</v>
      </c>
      <c r="E39" s="315"/>
      <c r="F39" s="316" t="e">
        <f>B39-#REF!</f>
        <v>#REF!</v>
      </c>
      <c r="G39" s="316" t="e">
        <f>D39-#REF!</f>
        <v>#REF!</v>
      </c>
      <c r="H39" s="324"/>
      <c r="I39" s="324"/>
      <c r="J39" s="324"/>
    </row>
    <row r="40" spans="1:10" ht="15.6" x14ac:dyDescent="0.3">
      <c r="A40" s="311" t="s">
        <v>2400</v>
      </c>
      <c r="B40" s="512">
        <f>SUM(B38:B39)</f>
        <v>0</v>
      </c>
      <c r="C40" s="321"/>
      <c r="D40" s="512">
        <f>SUM(D38:D39)</f>
        <v>0</v>
      </c>
      <c r="E40" s="321"/>
      <c r="F40" s="316" t="e">
        <f>B40-#REF!</f>
        <v>#REF!</v>
      </c>
      <c r="G40" s="322" t="e">
        <f>D40-#REF!</f>
        <v>#REF!</v>
      </c>
      <c r="H40" s="323"/>
      <c r="I40" s="342"/>
      <c r="J40" s="324"/>
    </row>
    <row r="41" spans="1:10" ht="15.6" x14ac:dyDescent="0.3">
      <c r="A41" s="311" t="s">
        <v>2401</v>
      </c>
      <c r="B41" s="343">
        <f>B35+B40</f>
        <v>535953395.85999995</v>
      </c>
      <c r="C41" s="321"/>
      <c r="D41" s="343">
        <f>D35+D40</f>
        <v>569112572.91999984</v>
      </c>
      <c r="E41" s="321"/>
      <c r="F41" s="316" t="e">
        <f>B41-#REF!</f>
        <v>#REF!</v>
      </c>
      <c r="G41" s="322" t="e">
        <f>D41-#REF!</f>
        <v>#REF!</v>
      </c>
      <c r="H41" s="323"/>
      <c r="I41" s="323"/>
      <c r="J41" s="323"/>
    </row>
    <row r="42" spans="1:10" ht="15.6" x14ac:dyDescent="0.3">
      <c r="A42" s="311"/>
      <c r="B42" s="344"/>
      <c r="C42" s="345"/>
      <c r="D42" s="344"/>
      <c r="E42" s="345"/>
      <c r="G42" s="322"/>
      <c r="H42" s="324"/>
      <c r="I42" s="324"/>
      <c r="J42" s="324"/>
    </row>
    <row r="43" spans="1:10" ht="15.6" x14ac:dyDescent="0.3">
      <c r="A43" s="311" t="s">
        <v>2402</v>
      </c>
      <c r="B43" s="344"/>
      <c r="C43" s="345"/>
      <c r="D43" s="344"/>
      <c r="E43" s="345"/>
      <c r="G43" s="322"/>
      <c r="H43" s="323"/>
      <c r="J43" s="324"/>
    </row>
    <row r="44" spans="1:10" ht="15.6" x14ac:dyDescent="0.3">
      <c r="A44" s="73" t="s">
        <v>2403</v>
      </c>
      <c r="B44" s="343">
        <f>[3]SCNAE!D18</f>
        <v>203628272.41999999</v>
      </c>
      <c r="C44" s="321"/>
      <c r="D44" s="343">
        <v>132344221.54999998</v>
      </c>
      <c r="E44" s="321"/>
      <c r="F44" s="316" t="e">
        <f>B44-#REF!</f>
        <v>#REF!</v>
      </c>
      <c r="G44" s="322" t="e">
        <f>D44-#REF!</f>
        <v>#REF!</v>
      </c>
      <c r="H44" s="323"/>
      <c r="I44" s="323"/>
      <c r="J44" s="324"/>
    </row>
    <row r="45" spans="1:10" ht="15.75" customHeight="1" thickBot="1" x14ac:dyDescent="0.35">
      <c r="A45" s="339" t="s">
        <v>2404</v>
      </c>
      <c r="B45" s="346">
        <f>B44+B41</f>
        <v>739581668.27999997</v>
      </c>
      <c r="C45" s="321"/>
      <c r="D45" s="346">
        <f>D44+D41</f>
        <v>701456794.46999979</v>
      </c>
      <c r="E45" s="321"/>
      <c r="F45" s="316" t="e">
        <f>B45-#REF!</f>
        <v>#REF!</v>
      </c>
      <c r="G45" s="322" t="e">
        <f>D45-#REF!</f>
        <v>#REF!</v>
      </c>
      <c r="H45" s="323"/>
      <c r="I45" s="323"/>
      <c r="J45" s="323"/>
    </row>
    <row r="46" spans="1:10" ht="16.2" thickTop="1" x14ac:dyDescent="0.3">
      <c r="A46" s="347"/>
      <c r="B46" s="347"/>
      <c r="C46" s="347"/>
      <c r="D46" s="347"/>
      <c r="E46" s="347"/>
      <c r="H46" s="324"/>
      <c r="I46" s="324"/>
      <c r="J46" s="324"/>
    </row>
    <row r="47" spans="1:10" ht="15.6" x14ac:dyDescent="0.3">
      <c r="A47" s="749"/>
      <c r="B47" s="749"/>
      <c r="C47" s="749"/>
      <c r="D47" s="749"/>
      <c r="E47" s="749"/>
      <c r="H47" s="324"/>
      <c r="I47" s="324"/>
      <c r="J47" s="324"/>
    </row>
    <row r="48" spans="1:10" x14ac:dyDescent="0.3">
      <c r="H48" s="324"/>
      <c r="I48" s="324"/>
      <c r="J48" s="324"/>
    </row>
    <row r="49" spans="2:10" x14ac:dyDescent="0.3">
      <c r="B49" s="402">
        <f>B24-B45</f>
        <v>0</v>
      </c>
      <c r="C49" s="402"/>
      <c r="D49" s="392"/>
      <c r="E49" s="348"/>
      <c r="F49" s="348"/>
      <c r="G49" s="348"/>
      <c r="H49" s="324"/>
      <c r="I49" s="324"/>
      <c r="J49" s="324"/>
    </row>
    <row r="50" spans="2:10" x14ac:dyDescent="0.3">
      <c r="B50" s="322"/>
      <c r="C50" s="322"/>
      <c r="D50" s="322"/>
      <c r="E50" s="322"/>
      <c r="H50" s="324"/>
      <c r="I50" s="324"/>
      <c r="J50" s="324"/>
    </row>
    <row r="51" spans="2:10" x14ac:dyDescent="0.3">
      <c r="B51" s="322"/>
      <c r="C51" s="322"/>
      <c r="D51" s="322"/>
      <c r="E51" s="322"/>
      <c r="H51" s="324"/>
      <c r="I51" s="324"/>
      <c r="J51" s="324"/>
    </row>
    <row r="52" spans="2:10" x14ac:dyDescent="0.3">
      <c r="B52" s="322"/>
      <c r="C52" s="322"/>
      <c r="D52" s="322"/>
      <c r="E52" s="322"/>
      <c r="H52" s="324"/>
      <c r="I52" s="324"/>
      <c r="J52" s="324"/>
    </row>
    <row r="53" spans="2:10" x14ac:dyDescent="0.3">
      <c r="B53" s="322"/>
      <c r="C53" s="322"/>
      <c r="D53" s="322"/>
      <c r="E53" s="322"/>
      <c r="H53" s="324"/>
      <c r="I53" s="324"/>
      <c r="J53" s="324"/>
    </row>
    <row r="54" spans="2:10" x14ac:dyDescent="0.3">
      <c r="B54" s="322"/>
      <c r="C54" s="322"/>
      <c r="D54" s="322"/>
      <c r="E54" s="322"/>
    </row>
    <row r="55" spans="2:10" x14ac:dyDescent="0.3">
      <c r="B55" s="322"/>
      <c r="C55" s="322"/>
      <c r="D55" s="322"/>
      <c r="E55" s="322"/>
    </row>
    <row r="56" spans="2:10" x14ac:dyDescent="0.3">
      <c r="B56" s="322"/>
      <c r="C56" s="322"/>
      <c r="D56" s="322"/>
      <c r="E56" s="322"/>
    </row>
    <row r="57" spans="2:10" x14ac:dyDescent="0.3">
      <c r="B57" s="322"/>
      <c r="C57" s="322"/>
      <c r="D57" s="322"/>
      <c r="E57" s="322"/>
    </row>
  </sheetData>
  <sheetProtection algorithmName="SHA-512" hashValue="N1OEDRM1JG7Vv6HuB5FEPOu70us15ins8icVETeci8cZcRaMxyBqoQMw+Z1PJMlXgJ7vz6B4JynXh5430wwF2w==" saltValue="w7C5Nn3Aa7MeHzSi9V7lLw==" spinCount="100000" sheet="1" objects="1" scenarios="1" selectLockedCells="1" selectUnlockedCells="1"/>
  <mergeCells count="8">
    <mergeCell ref="A7:E7"/>
    <mergeCell ref="A47:E47"/>
    <mergeCell ref="A1:E1"/>
    <mergeCell ref="A2:E2"/>
    <mergeCell ref="A3:E3"/>
    <mergeCell ref="A4:E4"/>
    <mergeCell ref="A5:E5"/>
    <mergeCell ref="A6:E6"/>
  </mergeCells>
  <printOptions horizontalCentered="1"/>
  <pageMargins left="1.4960629921259843" right="0.98425196850393704" top="0.98425196850393704" bottom="0.98425196850393704" header="0.51181102362204722" footer="0.51181102362204722"/>
  <pageSetup scale="87" orientation="portrait" r:id="rId1"/>
  <headerFooter>
    <oddHeader>&amp;R&amp;"Times New Roman,Regular"Annex C.1
AAR Page 6</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0"/>
  <sheetViews>
    <sheetView zoomScaleNormal="100" workbookViewId="0">
      <selection sqref="A1:D1"/>
    </sheetView>
  </sheetViews>
  <sheetFormatPr defaultRowHeight="14.4" x14ac:dyDescent="0.3"/>
  <cols>
    <col min="1" max="1" width="45" customWidth="1"/>
    <col min="2" max="2" width="18.109375" style="370" customWidth="1"/>
    <col min="3" max="3" width="3.6640625" style="516" customWidth="1"/>
    <col min="4" max="4" width="18.109375" style="370" customWidth="1"/>
    <col min="5" max="5" width="14.33203125" hidden="1" customWidth="1"/>
    <col min="6" max="6" width="16.88671875" hidden="1" customWidth="1"/>
    <col min="7" max="7" width="19.109375" hidden="1" customWidth="1"/>
    <col min="8" max="8" width="17" bestFit="1" customWidth="1"/>
    <col min="9" max="9" width="16.88671875" bestFit="1" customWidth="1"/>
    <col min="10" max="10" width="16.33203125" bestFit="1" customWidth="1"/>
  </cols>
  <sheetData>
    <row r="1" spans="1:10" ht="17.399999999999999" x14ac:dyDescent="0.3">
      <c r="A1" s="750" t="s">
        <v>0</v>
      </c>
      <c r="B1" s="750"/>
      <c r="C1" s="750"/>
      <c r="D1" s="750"/>
    </row>
    <row r="2" spans="1:10" ht="17.399999999999999" x14ac:dyDescent="0.3">
      <c r="A2" s="751" t="s">
        <v>2371</v>
      </c>
      <c r="B2" s="751"/>
      <c r="C2" s="751"/>
      <c r="D2" s="751"/>
    </row>
    <row r="3" spans="1:10" ht="17.399999999999999" x14ac:dyDescent="0.3">
      <c r="A3" s="751" t="s">
        <v>2405</v>
      </c>
      <c r="B3" s="751"/>
      <c r="C3" s="751"/>
      <c r="D3" s="751"/>
    </row>
    <row r="4" spans="1:10" ht="17.399999999999999" x14ac:dyDescent="0.3">
      <c r="A4" s="751" t="s">
        <v>906</v>
      </c>
      <c r="B4" s="751"/>
      <c r="C4" s="751"/>
      <c r="D4" s="751"/>
    </row>
    <row r="5" spans="1:10" ht="18" x14ac:dyDescent="0.3">
      <c r="A5" s="747" t="s">
        <v>2406</v>
      </c>
      <c r="B5" s="747"/>
      <c r="C5" s="747"/>
      <c r="D5" s="747"/>
    </row>
    <row r="6" spans="1:10" ht="18" x14ac:dyDescent="0.3">
      <c r="A6" s="747" t="s">
        <v>2373</v>
      </c>
      <c r="B6" s="747"/>
      <c r="C6" s="747"/>
      <c r="D6" s="747"/>
    </row>
    <row r="7" spans="1:10" ht="18" x14ac:dyDescent="0.3">
      <c r="A7" s="748" t="s">
        <v>2374</v>
      </c>
      <c r="B7" s="748"/>
      <c r="C7" s="748"/>
      <c r="D7" s="748"/>
    </row>
    <row r="9" spans="1:10" ht="15.6" x14ac:dyDescent="0.3">
      <c r="A9" s="73"/>
      <c r="B9" s="309">
        <v>2022</v>
      </c>
      <c r="C9" s="339"/>
      <c r="D9" s="309">
        <v>2021</v>
      </c>
    </row>
    <row r="10" spans="1:10" ht="15.6" x14ac:dyDescent="0.3">
      <c r="A10" s="311" t="s">
        <v>2407</v>
      </c>
      <c r="B10" s="314"/>
      <c r="C10" s="517"/>
      <c r="D10" s="314"/>
    </row>
    <row r="11" spans="1:10" ht="15.6" x14ac:dyDescent="0.3">
      <c r="A11" s="73" t="s">
        <v>2408</v>
      </c>
      <c r="B11" s="403">
        <v>0</v>
      </c>
      <c r="C11" s="518"/>
      <c r="D11" s="403">
        <v>0</v>
      </c>
      <c r="E11" s="316" t="e">
        <f>B11-#REF!</f>
        <v>#REF!</v>
      </c>
      <c r="G11" s="316" t="e">
        <f>D11-#REF!</f>
        <v>#REF!</v>
      </c>
    </row>
    <row r="12" spans="1:10" ht="15.6" x14ac:dyDescent="0.3">
      <c r="A12" s="76" t="s">
        <v>2409</v>
      </c>
      <c r="B12" s="403">
        <v>0</v>
      </c>
      <c r="C12" s="518"/>
      <c r="D12" s="403">
        <v>0</v>
      </c>
      <c r="E12" s="316" t="e">
        <f>B12-#REF!</f>
        <v>#REF!</v>
      </c>
      <c r="G12" s="316" t="e">
        <f>D12-#REF!</f>
        <v>#REF!</v>
      </c>
    </row>
    <row r="13" spans="1:10" ht="15.6" x14ac:dyDescent="0.3">
      <c r="A13" s="318" t="s">
        <v>2410</v>
      </c>
      <c r="B13" s="403">
        <v>0</v>
      </c>
      <c r="C13" s="518"/>
      <c r="D13" s="403">
        <v>0</v>
      </c>
      <c r="E13" s="316" t="e">
        <f>B13-#REF!</f>
        <v>#REF!</v>
      </c>
      <c r="G13" s="349" t="e">
        <f>D13-#REF!</f>
        <v>#REF!</v>
      </c>
      <c r="I13" s="395"/>
    </row>
    <row r="14" spans="1:10" ht="15.6" x14ac:dyDescent="0.3">
      <c r="A14" s="73" t="s">
        <v>2411</v>
      </c>
      <c r="B14" s="403">
        <v>0</v>
      </c>
      <c r="C14" s="518"/>
      <c r="D14" s="403">
        <v>0</v>
      </c>
      <c r="E14" s="316" t="e">
        <f>B14-#REF!</f>
        <v>#REF!</v>
      </c>
      <c r="G14" s="316" t="e">
        <f>D14-#REF!</f>
        <v>#REF!</v>
      </c>
      <c r="H14" s="351"/>
      <c r="I14" s="394"/>
    </row>
    <row r="15" spans="1:10" ht="15.6" x14ac:dyDescent="0.3">
      <c r="A15" s="73" t="s">
        <v>2412</v>
      </c>
      <c r="B15" s="405">
        <v>72237233.709999993</v>
      </c>
      <c r="C15" s="514"/>
      <c r="D15" s="403">
        <v>0</v>
      </c>
      <c r="E15" s="316" t="e">
        <f>B15-#REF!</f>
        <v>#REF!</v>
      </c>
      <c r="F15" s="322"/>
      <c r="G15" s="352" t="e">
        <f>D15-#REF!</f>
        <v>#REF!</v>
      </c>
      <c r="H15" s="353"/>
      <c r="I15" s="354"/>
    </row>
    <row r="16" spans="1:10" ht="15.6" x14ac:dyDescent="0.3">
      <c r="A16" s="311" t="s">
        <v>2413</v>
      </c>
      <c r="B16" s="406">
        <f>SUM(B11:B15)</f>
        <v>72237233.709999993</v>
      </c>
      <c r="C16" s="519"/>
      <c r="D16" s="513">
        <f>SUM(D11:D15)</f>
        <v>0</v>
      </c>
      <c r="F16" s="322"/>
      <c r="G16" s="356"/>
      <c r="H16" s="353"/>
      <c r="I16" s="354"/>
      <c r="J16" s="354"/>
    </row>
    <row r="17" spans="1:10" ht="15.6" x14ac:dyDescent="0.3">
      <c r="A17" s="311"/>
      <c r="B17" s="403"/>
      <c r="C17" s="518"/>
      <c r="D17" s="381"/>
      <c r="G17" s="357"/>
      <c r="H17" s="358"/>
      <c r="I17" s="316"/>
      <c r="J17" s="316"/>
    </row>
    <row r="18" spans="1:10" ht="15.6" x14ac:dyDescent="0.3">
      <c r="A18" s="311" t="s">
        <v>2414</v>
      </c>
      <c r="B18" s="403"/>
      <c r="C18" s="518"/>
      <c r="D18" s="381"/>
      <c r="G18" s="359"/>
      <c r="H18" s="353"/>
      <c r="I18" s="354"/>
    </row>
    <row r="19" spans="1:10" ht="15.6" x14ac:dyDescent="0.3">
      <c r="A19" s="73" t="s">
        <v>2415</v>
      </c>
      <c r="B19" s="403">
        <v>3677125</v>
      </c>
      <c r="C19" s="518"/>
      <c r="D19" s="381">
        <v>1608162.52</v>
      </c>
      <c r="E19" s="316" t="e">
        <f>B19-#REF!</f>
        <v>#REF!</v>
      </c>
      <c r="G19" s="360" t="e">
        <f>D19-#REF!</f>
        <v>#REF!</v>
      </c>
      <c r="H19" s="353"/>
      <c r="I19" s="396"/>
    </row>
    <row r="20" spans="1:10" ht="15.6" x14ac:dyDescent="0.3">
      <c r="A20" s="361" t="s">
        <v>2416</v>
      </c>
      <c r="B20" s="403">
        <v>5228166.59</v>
      </c>
      <c r="C20" s="518"/>
      <c r="D20" s="381">
        <v>29290335.199999999</v>
      </c>
      <c r="E20" s="316" t="e">
        <f>B20-#REF!</f>
        <v>#REF!</v>
      </c>
      <c r="G20" s="362" t="e">
        <f>D20-#REF!</f>
        <v>#REF!</v>
      </c>
      <c r="H20" s="354"/>
      <c r="I20" s="354"/>
    </row>
    <row r="21" spans="1:10" ht="15.6" x14ac:dyDescent="0.3">
      <c r="A21" s="73" t="s">
        <v>2417</v>
      </c>
      <c r="B21" s="403">
        <v>4775869.9899999993</v>
      </c>
      <c r="C21" s="518"/>
      <c r="D21" s="381">
        <v>7283936.9000000004</v>
      </c>
      <c r="E21" s="316" t="e">
        <f>B21-#REF!</f>
        <v>#REF!</v>
      </c>
      <c r="G21" s="352" t="e">
        <f>D21-#REF!</f>
        <v>#REF!</v>
      </c>
      <c r="H21" s="351"/>
      <c r="I21" s="363"/>
    </row>
    <row r="22" spans="1:10" ht="15.6" x14ac:dyDescent="0.3">
      <c r="A22" s="73" t="s">
        <v>2418</v>
      </c>
      <c r="B22" s="403">
        <v>0</v>
      </c>
      <c r="C22" s="518"/>
      <c r="D22" s="328"/>
      <c r="E22" s="316" t="e">
        <f>B22-#REF!</f>
        <v>#REF!</v>
      </c>
      <c r="G22" s="357" t="e">
        <f>D22-#REF!</f>
        <v>#REF!</v>
      </c>
      <c r="H22" s="365"/>
    </row>
    <row r="23" spans="1:10" ht="15.6" x14ac:dyDescent="0.3">
      <c r="A23" s="311" t="s">
        <v>2419</v>
      </c>
      <c r="B23" s="406">
        <f>SUM(B19:B22)</f>
        <v>13681161.579999998</v>
      </c>
      <c r="C23" s="519"/>
      <c r="D23" s="401">
        <f>SUM(D19:D22)</f>
        <v>38182434.619999997</v>
      </c>
      <c r="E23" s="316" t="e">
        <f>B23-#REF!</f>
        <v>#REF!</v>
      </c>
      <c r="F23" s="322"/>
      <c r="G23" s="357" t="e">
        <f>D23-#REF!</f>
        <v>#REF!</v>
      </c>
      <c r="H23" s="365"/>
    </row>
    <row r="24" spans="1:10" ht="15.6" x14ac:dyDescent="0.3">
      <c r="A24" s="73"/>
      <c r="B24" s="403"/>
      <c r="C24" s="518"/>
      <c r="D24" s="381"/>
      <c r="G24" s="322"/>
      <c r="H24" s="322"/>
    </row>
    <row r="25" spans="1:10" ht="15.6" x14ac:dyDescent="0.3">
      <c r="A25" s="339" t="s">
        <v>2420</v>
      </c>
      <c r="B25" s="407">
        <f>B16-B23</f>
        <v>58556072.129999995</v>
      </c>
      <c r="C25" s="519"/>
      <c r="D25" s="408">
        <f>D16-D23</f>
        <v>-38182434.619999997</v>
      </c>
      <c r="E25" s="316" t="e">
        <f>B25-#REF!</f>
        <v>#REF!</v>
      </c>
      <c r="F25" s="322"/>
      <c r="G25" s="316" t="e">
        <f>D25-#REF!</f>
        <v>#REF!</v>
      </c>
    </row>
    <row r="26" spans="1:10" ht="15.6" x14ac:dyDescent="0.3">
      <c r="A26" s="73" t="s">
        <v>2421</v>
      </c>
      <c r="B26" s="403"/>
      <c r="C26" s="518"/>
      <c r="D26" s="381"/>
    </row>
    <row r="27" spans="1:10" ht="15.6" x14ac:dyDescent="0.3">
      <c r="A27" s="361" t="s">
        <v>2422</v>
      </c>
      <c r="B27" s="403">
        <v>0</v>
      </c>
      <c r="C27" s="518"/>
      <c r="D27" s="411">
        <v>135219213</v>
      </c>
      <c r="E27" s="412" t="e">
        <f>B27-#REF!</f>
        <v>#REF!</v>
      </c>
      <c r="F27" s="413"/>
      <c r="G27" s="412" t="e">
        <f>D27-#REF!</f>
        <v>#REF!</v>
      </c>
      <c r="H27" s="413"/>
    </row>
    <row r="28" spans="1:10" ht="15.6" x14ac:dyDescent="0.3">
      <c r="A28" s="73" t="s">
        <v>2423</v>
      </c>
      <c r="B28" s="403">
        <v>0</v>
      </c>
      <c r="C28" s="515"/>
      <c r="D28" s="403">
        <v>0</v>
      </c>
      <c r="E28" s="316" t="e">
        <f>B28-#REF!</f>
        <v>#REF!</v>
      </c>
      <c r="G28" s="315" t="e">
        <f>D28+#REF!</f>
        <v>#REF!</v>
      </c>
      <c r="H28" s="315"/>
      <c r="I28" s="395"/>
    </row>
    <row r="29" spans="1:10" ht="15.6" x14ac:dyDescent="0.3">
      <c r="A29" s="73" t="s">
        <v>2424</v>
      </c>
      <c r="B29" s="383">
        <v>10620.6</v>
      </c>
      <c r="C29" s="518"/>
      <c r="D29" s="328">
        <v>5326.23</v>
      </c>
      <c r="E29" s="316" t="e">
        <f>B29-#REF!</f>
        <v>#REF!</v>
      </c>
      <c r="G29" s="315" t="e">
        <f>D29-#REF!</f>
        <v>#REF!</v>
      </c>
      <c r="H29" s="315"/>
    </row>
    <row r="30" spans="1:10" ht="16.2" thickBot="1" x14ac:dyDescent="0.35">
      <c r="A30" s="311" t="s">
        <v>2425</v>
      </c>
      <c r="B30" s="366">
        <f>SUM(B25:B29)</f>
        <v>58566692.729999997</v>
      </c>
      <c r="C30" s="520"/>
      <c r="D30" s="367">
        <f>SUM(D25:D29)</f>
        <v>97042104.609999999</v>
      </c>
      <c r="E30" s="316" t="e">
        <f>B30-#REF!</f>
        <v>#REF!</v>
      </c>
      <c r="F30" s="322"/>
      <c r="G30" s="322" t="e">
        <f>D30-#REF!</f>
        <v>#REF!</v>
      </c>
      <c r="H30" s="322"/>
    </row>
    <row r="31" spans="1:10" ht="16.2" thickTop="1" x14ac:dyDescent="0.3">
      <c r="A31" s="347"/>
      <c r="B31" s="368"/>
      <c r="C31" s="521"/>
      <c r="D31" s="368"/>
      <c r="F31" s="322"/>
      <c r="G31" s="322"/>
      <c r="H31" s="322"/>
    </row>
    <row r="32" spans="1:10" ht="15.6" x14ac:dyDescent="0.3">
      <c r="A32" s="749"/>
      <c r="B32" s="749"/>
      <c r="C32" s="749"/>
      <c r="D32" s="749"/>
      <c r="G32" s="369"/>
    </row>
    <row r="35" spans="2:8" x14ac:dyDescent="0.3">
      <c r="B35" s="371"/>
      <c r="C35" s="522"/>
      <c r="D35" s="372"/>
      <c r="E35" s="348"/>
      <c r="F35" s="348"/>
      <c r="G35" s="348"/>
      <c r="H35" s="348"/>
    </row>
    <row r="36" spans="2:8" x14ac:dyDescent="0.3">
      <c r="B36" s="371"/>
      <c r="C36" s="522"/>
      <c r="D36" s="372"/>
      <c r="E36" s="348"/>
      <c r="F36" s="348"/>
      <c r="G36" s="348"/>
      <c r="H36" s="348"/>
    </row>
    <row r="37" spans="2:8" x14ac:dyDescent="0.3">
      <c r="B37" s="371"/>
      <c r="C37" s="522"/>
      <c r="D37" s="372"/>
      <c r="E37" s="348"/>
      <c r="F37" s="348"/>
      <c r="G37" s="348"/>
      <c r="H37" s="348"/>
    </row>
    <row r="38" spans="2:8" x14ac:dyDescent="0.3">
      <c r="B38" s="371"/>
      <c r="C38" s="522"/>
      <c r="D38" s="372"/>
      <c r="E38" s="348"/>
      <c r="F38" s="348"/>
      <c r="G38" s="348"/>
      <c r="H38" s="348"/>
    </row>
    <row r="39" spans="2:8" x14ac:dyDescent="0.3">
      <c r="B39" s="372"/>
      <c r="C39" s="523"/>
      <c r="D39" s="372"/>
      <c r="E39" s="348"/>
      <c r="F39" s="348"/>
      <c r="G39" s="348"/>
      <c r="H39" s="348"/>
    </row>
    <row r="40" spans="2:8" x14ac:dyDescent="0.3">
      <c r="B40" s="372"/>
      <c r="C40" s="523"/>
      <c r="D40" s="372"/>
      <c r="E40" s="348"/>
      <c r="F40" s="348"/>
      <c r="G40" s="348"/>
      <c r="H40" s="348"/>
    </row>
  </sheetData>
  <sheetProtection algorithmName="SHA-512" hashValue="k9jeXI3UeEQ0a4fGozidKriaUV+btHN/dzomKQhrgDfHjhKUAAQ2uyMBSDvEdzBhQg9AbNTI7LvoIPW967dHFw==" saltValue="HYQfamMgBYbNrsnewyVu0A==" spinCount="100000" sheet="1" objects="1" scenarios="1" selectLockedCells="1" selectUnlockedCells="1"/>
  <mergeCells count="8">
    <mergeCell ref="A7:D7"/>
    <mergeCell ref="A32:D32"/>
    <mergeCell ref="A1:D1"/>
    <mergeCell ref="A2:D2"/>
    <mergeCell ref="A3:D3"/>
    <mergeCell ref="A4:D4"/>
    <mergeCell ref="A5:D5"/>
    <mergeCell ref="A6:D6"/>
  </mergeCells>
  <printOptions horizontalCentered="1"/>
  <pageMargins left="1.4960629921259843" right="0.98425196850393704" top="0.98425196850393704" bottom="0.98425196850393704" header="0.51181102362204722" footer="0.51181102362204722"/>
  <pageSetup scale="90" orientation="portrait" r:id="rId1"/>
  <headerFooter>
    <oddHeader>&amp;R&amp;"Times New Roman,Regular"Annex C.2
AAR Page 7</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28"/>
  <sheetViews>
    <sheetView zoomScaleNormal="100" workbookViewId="0">
      <selection sqref="A1:D1"/>
    </sheetView>
  </sheetViews>
  <sheetFormatPr defaultRowHeight="14.4" x14ac:dyDescent="0.3"/>
  <cols>
    <col min="1" max="1" width="42.5546875" customWidth="1"/>
    <col min="2" max="2" width="17.5546875" style="370" customWidth="1"/>
    <col min="3" max="3" width="3.6640625" style="354" customWidth="1"/>
    <col min="4" max="4" width="17.5546875" style="370" customWidth="1"/>
    <col min="5" max="5" width="15.33203125" bestFit="1" customWidth="1"/>
    <col min="6" max="7" width="16.88671875" hidden="1" customWidth="1"/>
  </cols>
  <sheetData>
    <row r="1" spans="1:7" ht="17.399999999999999" x14ac:dyDescent="0.3">
      <c r="A1" s="750" t="s">
        <v>0</v>
      </c>
      <c r="B1" s="750"/>
      <c r="C1" s="750"/>
      <c r="D1" s="750"/>
    </row>
    <row r="2" spans="1:7" ht="17.399999999999999" x14ac:dyDescent="0.3">
      <c r="A2" s="751" t="s">
        <v>2371</v>
      </c>
      <c r="B2" s="751"/>
      <c r="C2" s="751"/>
      <c r="D2" s="751"/>
    </row>
    <row r="3" spans="1:7" ht="17.399999999999999" x14ac:dyDescent="0.3">
      <c r="A3" s="751" t="s">
        <v>2426</v>
      </c>
      <c r="B3" s="751"/>
      <c r="C3" s="751"/>
      <c r="D3" s="751"/>
    </row>
    <row r="4" spans="1:7" ht="17.399999999999999" x14ac:dyDescent="0.3">
      <c r="A4" s="751" t="s">
        <v>906</v>
      </c>
      <c r="B4" s="751"/>
      <c r="C4" s="751"/>
      <c r="D4" s="751"/>
    </row>
    <row r="5" spans="1:7" ht="18" x14ac:dyDescent="0.3">
      <c r="A5" s="747" t="s">
        <v>2406</v>
      </c>
      <c r="B5" s="747"/>
      <c r="C5" s="747"/>
      <c r="D5" s="747"/>
    </row>
    <row r="6" spans="1:7" ht="18" x14ac:dyDescent="0.3">
      <c r="A6" s="747" t="s">
        <v>2373</v>
      </c>
      <c r="B6" s="747"/>
      <c r="C6" s="747"/>
      <c r="D6" s="747"/>
    </row>
    <row r="7" spans="1:7" ht="18" x14ac:dyDescent="0.3">
      <c r="A7" s="748" t="s">
        <v>2374</v>
      </c>
      <c r="B7" s="748"/>
      <c r="C7" s="748"/>
      <c r="D7" s="748"/>
    </row>
    <row r="8" spans="1:7" x14ac:dyDescent="0.3">
      <c r="B8" s="354"/>
      <c r="D8" s="354"/>
    </row>
    <row r="9" spans="1:7" ht="15.6" x14ac:dyDescent="0.3">
      <c r="A9" s="310"/>
      <c r="B9" s="309">
        <v>2022</v>
      </c>
      <c r="C9" s="310"/>
      <c r="D9" s="309">
        <v>2021</v>
      </c>
    </row>
    <row r="10" spans="1:7" ht="15.6" x14ac:dyDescent="0.3">
      <c r="A10" s="339" t="s">
        <v>2427</v>
      </c>
      <c r="B10" s="314">
        <f>D18</f>
        <v>132344221.54999998</v>
      </c>
      <c r="C10" s="315"/>
      <c r="D10" s="314">
        <v>36708288.669999979</v>
      </c>
      <c r="F10" s="316" t="e">
        <f>B10-#REF!</f>
        <v>#REF!</v>
      </c>
      <c r="G10" s="316" t="e">
        <f>D10-#REF!</f>
        <v>#REF!</v>
      </c>
    </row>
    <row r="11" spans="1:7" ht="15.6" x14ac:dyDescent="0.3">
      <c r="A11" s="318" t="s">
        <v>2428</v>
      </c>
      <c r="B11" s="314"/>
      <c r="C11" s="315"/>
      <c r="D11" s="314"/>
    </row>
    <row r="12" spans="1:7" ht="15.6" x14ac:dyDescent="0.3">
      <c r="A12" s="318" t="s">
        <v>2429</v>
      </c>
      <c r="B12" s="403">
        <v>0</v>
      </c>
      <c r="C12" s="404"/>
      <c r="D12" s="403">
        <v>0</v>
      </c>
      <c r="G12" s="349" t="e">
        <f>D12-#REF!</f>
        <v>#REF!</v>
      </c>
    </row>
    <row r="13" spans="1:7" ht="15.6" x14ac:dyDescent="0.3">
      <c r="A13" s="318" t="s">
        <v>2430</v>
      </c>
      <c r="B13" s="319">
        <v>12717358.140000001</v>
      </c>
      <c r="C13" s="315"/>
      <c r="D13" s="319">
        <v>-1406171.73</v>
      </c>
      <c r="E13" s="316"/>
      <c r="F13" s="322" t="e">
        <f>B13-#REF!</f>
        <v>#REF!</v>
      </c>
      <c r="G13" s="322" t="e">
        <f>D13-#REF!</f>
        <v>#REF!</v>
      </c>
    </row>
    <row r="14" spans="1:7" ht="15.6" x14ac:dyDescent="0.3">
      <c r="A14" s="339" t="s">
        <v>2431</v>
      </c>
      <c r="B14" s="321">
        <f>SUM(B10:B13)</f>
        <v>145061579.69</v>
      </c>
      <c r="C14" s="321"/>
      <c r="D14" s="374">
        <f>D10+D12+D13</f>
        <v>35302116.939999983</v>
      </c>
      <c r="F14" s="322" t="e">
        <f>B14-#REF!</f>
        <v>#REF!</v>
      </c>
      <c r="G14" s="322" t="e">
        <f>D14-#REF!</f>
        <v>#REF!</v>
      </c>
    </row>
    <row r="15" spans="1:7" ht="31.2" x14ac:dyDescent="0.3">
      <c r="A15" s="61" t="s">
        <v>2432</v>
      </c>
      <c r="B15" s="61"/>
      <c r="C15" s="61"/>
      <c r="D15" s="27"/>
    </row>
    <row r="16" spans="1:7" ht="15.6" x14ac:dyDescent="0.3">
      <c r="A16" s="318" t="s">
        <v>2433</v>
      </c>
      <c r="B16" s="319">
        <f>[3]SFPER!D30</f>
        <v>58566692.729999997</v>
      </c>
      <c r="C16" s="315"/>
      <c r="D16" s="319">
        <f>[3]SFPER!E30</f>
        <v>97042104.609999999</v>
      </c>
      <c r="F16" s="316" t="e">
        <f>B16-#REF!</f>
        <v>#REF!</v>
      </c>
      <c r="G16" s="316" t="e">
        <f>D16-#REF!</f>
        <v>#REF!</v>
      </c>
    </row>
    <row r="17" spans="1:8" ht="15.6" x14ac:dyDescent="0.3">
      <c r="A17" s="375" t="s">
        <v>2434</v>
      </c>
      <c r="B17" s="376">
        <f>B16</f>
        <v>58566692.729999997</v>
      </c>
      <c r="C17" s="487"/>
      <c r="D17" s="376">
        <f>D16</f>
        <v>97042104.609999999</v>
      </c>
      <c r="F17" s="322"/>
      <c r="G17" s="322"/>
    </row>
    <row r="18" spans="1:8" ht="16.2" thickBot="1" x14ac:dyDescent="0.35">
      <c r="A18" s="339" t="s">
        <v>2435</v>
      </c>
      <c r="B18" s="334">
        <f>B14+B17</f>
        <v>203628272.41999999</v>
      </c>
      <c r="C18" s="321"/>
      <c r="D18" s="334">
        <f>D14+D16</f>
        <v>132344221.54999998</v>
      </c>
      <c r="E18" s="316"/>
      <c r="F18" s="322"/>
      <c r="G18" s="322"/>
    </row>
    <row r="19" spans="1:8" ht="16.2" thickTop="1" x14ac:dyDescent="0.3">
      <c r="A19" s="347"/>
      <c r="B19" s="418"/>
      <c r="C19" s="418"/>
      <c r="D19" s="418"/>
      <c r="F19" s="322"/>
      <c r="H19" s="322"/>
    </row>
    <row r="20" spans="1:8" ht="15.6" x14ac:dyDescent="0.3">
      <c r="A20" s="749"/>
      <c r="B20" s="749"/>
      <c r="C20" s="749"/>
      <c r="D20" s="749"/>
    </row>
    <row r="23" spans="1:8" hidden="1" x14ac:dyDescent="0.3"/>
    <row r="24" spans="1:8" hidden="1" x14ac:dyDescent="0.3"/>
    <row r="25" spans="1:8" hidden="1" x14ac:dyDescent="0.3"/>
    <row r="26" spans="1:8" hidden="1" x14ac:dyDescent="0.3"/>
    <row r="27" spans="1:8" x14ac:dyDescent="0.3">
      <c r="B27" s="372"/>
      <c r="C27" s="386"/>
      <c r="D27" s="372"/>
    </row>
    <row r="28" spans="1:8" x14ac:dyDescent="0.3">
      <c r="B28" s="372"/>
      <c r="C28" s="386"/>
      <c r="D28" s="372"/>
    </row>
  </sheetData>
  <sheetProtection algorithmName="SHA-512" hashValue="b7O2ybJ5xXd5aL2oTNKZSgXo/Hp8GSo8VT2bHgbgLxlzkyJMj906K1kTc3WC1N5QL4IU44YbYOFOCMbGDDd6cg==" saltValue="VIcsCYvroWPZbqxQzy+Jwg==" spinCount="100000" sheet="1" objects="1" scenarios="1" selectLockedCells="1" selectUnlockedCells="1"/>
  <mergeCells count="8">
    <mergeCell ref="A7:D7"/>
    <mergeCell ref="A20:D20"/>
    <mergeCell ref="A1:D1"/>
    <mergeCell ref="A2:D2"/>
    <mergeCell ref="A3:D3"/>
    <mergeCell ref="A4:D4"/>
    <mergeCell ref="A5:D5"/>
    <mergeCell ref="A6:D6"/>
  </mergeCells>
  <printOptions horizontalCentered="1"/>
  <pageMargins left="1.4960629921259843" right="0.98425196850393704" top="0.98425196850393704" bottom="0.98425196850393704" header="0.51181102362204722" footer="0.51181102362204722"/>
  <pageSetup scale="94" orientation="portrait" r:id="rId1"/>
  <headerFooter>
    <oddHeader>&amp;R&amp;"Times New Roman,Regular"Annex C.3
AAR Page 8</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60"/>
  <sheetViews>
    <sheetView zoomScaleNormal="100" workbookViewId="0">
      <selection sqref="A1:D1"/>
    </sheetView>
  </sheetViews>
  <sheetFormatPr defaultRowHeight="14.4" x14ac:dyDescent="0.3"/>
  <cols>
    <col min="1" max="1" width="46.33203125" customWidth="1"/>
    <col min="2" max="2" width="19.44140625" style="370" bestFit="1" customWidth="1"/>
    <col min="3" max="3" width="3.6640625" style="354" customWidth="1"/>
    <col min="4" max="4" width="18.6640625" style="370" customWidth="1"/>
    <col min="6" max="6" width="17.6640625" bestFit="1" customWidth="1"/>
    <col min="7" max="7" width="16.88671875" bestFit="1" customWidth="1"/>
  </cols>
  <sheetData>
    <row r="1" spans="1:4" ht="17.399999999999999" x14ac:dyDescent="0.3">
      <c r="A1" s="750" t="s">
        <v>0</v>
      </c>
      <c r="B1" s="750"/>
      <c r="C1" s="750"/>
      <c r="D1" s="750"/>
    </row>
    <row r="2" spans="1:4" ht="17.399999999999999" x14ac:dyDescent="0.3">
      <c r="A2" s="751" t="s">
        <v>2371</v>
      </c>
      <c r="B2" s="751"/>
      <c r="C2" s="751"/>
      <c r="D2" s="751"/>
    </row>
    <row r="3" spans="1:4" ht="17.399999999999999" x14ac:dyDescent="0.3">
      <c r="A3" s="751" t="s">
        <v>2436</v>
      </c>
      <c r="B3" s="751"/>
      <c r="C3" s="751"/>
      <c r="D3" s="751"/>
    </row>
    <row r="4" spans="1:4" ht="17.399999999999999" x14ac:dyDescent="0.3">
      <c r="A4" s="751" t="s">
        <v>906</v>
      </c>
      <c r="B4" s="751"/>
      <c r="C4" s="751"/>
      <c r="D4" s="751"/>
    </row>
    <row r="5" spans="1:4" ht="18" x14ac:dyDescent="0.3">
      <c r="A5" s="747" t="s">
        <v>2406</v>
      </c>
      <c r="B5" s="747"/>
      <c r="C5" s="747"/>
      <c r="D5" s="747"/>
    </row>
    <row r="6" spans="1:4" ht="18" x14ac:dyDescent="0.3">
      <c r="A6" s="747" t="s">
        <v>2373</v>
      </c>
      <c r="B6" s="747"/>
      <c r="C6" s="747"/>
      <c r="D6" s="747"/>
    </row>
    <row r="7" spans="1:4" ht="18" x14ac:dyDescent="0.3">
      <c r="A7" s="748" t="s">
        <v>2374</v>
      </c>
      <c r="B7" s="748"/>
      <c r="C7" s="748"/>
      <c r="D7" s="748"/>
    </row>
    <row r="9" spans="1:4" ht="15.6" x14ac:dyDescent="0.3">
      <c r="A9" s="73"/>
      <c r="B9" s="309">
        <v>2022</v>
      </c>
      <c r="C9" s="310"/>
      <c r="D9" s="309">
        <v>2021</v>
      </c>
    </row>
    <row r="10" spans="1:4" ht="15.6" x14ac:dyDescent="0.3">
      <c r="A10" s="311" t="s">
        <v>2437</v>
      </c>
      <c r="B10" s="73"/>
      <c r="C10" s="73"/>
      <c r="D10" s="73"/>
    </row>
    <row r="11" spans="1:4" ht="16.2" x14ac:dyDescent="0.3">
      <c r="A11" s="377" t="s">
        <v>2438</v>
      </c>
      <c r="B11" s="378"/>
      <c r="C11" s="379"/>
      <c r="D11" s="378"/>
    </row>
    <row r="12" spans="1:4" ht="15.6" x14ac:dyDescent="0.3">
      <c r="A12" s="318" t="s">
        <v>2439</v>
      </c>
      <c r="B12" s="390">
        <v>0</v>
      </c>
      <c r="C12" s="315"/>
      <c r="D12" s="390">
        <v>0</v>
      </c>
    </row>
    <row r="13" spans="1:4" ht="15.6" x14ac:dyDescent="0.3">
      <c r="A13" s="318" t="s">
        <v>2440</v>
      </c>
      <c r="B13" s="390">
        <v>0</v>
      </c>
      <c r="C13" s="315"/>
      <c r="D13" s="390">
        <v>0</v>
      </c>
    </row>
    <row r="14" spans="1:4" ht="15.6" x14ac:dyDescent="0.3">
      <c r="A14" s="318" t="s">
        <v>2441</v>
      </c>
      <c r="B14" s="390">
        <v>112974.85</v>
      </c>
      <c r="C14" s="315"/>
      <c r="D14" s="390">
        <v>0</v>
      </c>
    </row>
    <row r="15" spans="1:4" ht="15.6" x14ac:dyDescent="0.3">
      <c r="A15" s="318" t="s">
        <v>2442</v>
      </c>
      <c r="B15" s="390">
        <v>0</v>
      </c>
      <c r="C15" s="315"/>
      <c r="D15" s="390">
        <v>0</v>
      </c>
    </row>
    <row r="16" spans="1:4" ht="15.6" x14ac:dyDescent="0.3">
      <c r="A16" s="318" t="s">
        <v>2443</v>
      </c>
      <c r="B16" s="400">
        <v>48753576.82</v>
      </c>
      <c r="C16" s="315"/>
      <c r="D16" s="315">
        <v>489134065.36000001</v>
      </c>
    </row>
    <row r="17" spans="1:7" ht="15.6" x14ac:dyDescent="0.3">
      <c r="A17" s="339" t="s">
        <v>2444</v>
      </c>
      <c r="B17" s="417">
        <f>+SUM(B12:B16)</f>
        <v>48866551.670000002</v>
      </c>
      <c r="C17" s="321"/>
      <c r="D17" s="320">
        <f>+SUM(D12:D16)</f>
        <v>489134065.36000001</v>
      </c>
      <c r="F17" s="322"/>
      <c r="G17" s="322"/>
    </row>
    <row r="18" spans="1:7" ht="16.2" x14ac:dyDescent="0.3">
      <c r="A18" s="377" t="s">
        <v>2445</v>
      </c>
      <c r="B18" s="390"/>
      <c r="C18" s="315"/>
      <c r="D18" s="314"/>
      <c r="F18" s="322"/>
      <c r="G18" s="322"/>
    </row>
    <row r="19" spans="1:7" ht="15.6" x14ac:dyDescent="0.3">
      <c r="A19" s="76" t="s">
        <v>2446</v>
      </c>
      <c r="B19" s="391">
        <v>2127731.02</v>
      </c>
      <c r="C19" s="315"/>
      <c r="D19" s="314">
        <v>4480229.0600000005</v>
      </c>
    </row>
    <row r="20" spans="1:7" ht="15.6" x14ac:dyDescent="0.3">
      <c r="A20" s="76" t="s">
        <v>2447</v>
      </c>
      <c r="B20" s="390">
        <v>20240.62</v>
      </c>
      <c r="C20" s="315"/>
      <c r="D20" s="314">
        <v>13281610.059999999</v>
      </c>
    </row>
    <row r="21" spans="1:7" ht="15.6" x14ac:dyDescent="0.3">
      <c r="A21" s="76" t="s">
        <v>2448</v>
      </c>
      <c r="B21" s="390">
        <v>6114840.25</v>
      </c>
      <c r="C21" s="315"/>
      <c r="D21" s="390">
        <v>0</v>
      </c>
    </row>
    <row r="22" spans="1:7" ht="15.6" x14ac:dyDescent="0.3">
      <c r="A22" s="318" t="s">
        <v>2449</v>
      </c>
      <c r="B22" s="390">
        <v>0</v>
      </c>
      <c r="C22" s="315"/>
      <c r="D22" s="390">
        <v>0</v>
      </c>
    </row>
    <row r="23" spans="1:7" ht="15.6" x14ac:dyDescent="0.3">
      <c r="A23" s="318" t="s">
        <v>2450</v>
      </c>
      <c r="B23" s="415">
        <v>115444904.65000001</v>
      </c>
      <c r="C23" s="315"/>
      <c r="D23" s="319">
        <v>40900978.030000001</v>
      </c>
    </row>
    <row r="24" spans="1:7" ht="15.6" x14ac:dyDescent="0.3">
      <c r="A24" s="339" t="s">
        <v>2451</v>
      </c>
      <c r="B24" s="397">
        <f>+SUM(B19:B23)</f>
        <v>123707716.54000001</v>
      </c>
      <c r="C24" s="321"/>
      <c r="D24" s="380">
        <f>+SUM(D19:D23)</f>
        <v>58662817.149999999</v>
      </c>
      <c r="F24" s="322"/>
      <c r="G24" s="322"/>
    </row>
    <row r="25" spans="1:7" ht="15.6" x14ac:dyDescent="0.3">
      <c r="A25" s="339" t="s">
        <v>2452</v>
      </c>
      <c r="B25" s="417">
        <f>B17-B24</f>
        <v>-74841164.870000005</v>
      </c>
      <c r="C25" s="321"/>
      <c r="D25" s="320">
        <f>D17-D24</f>
        <v>430471248.21000004</v>
      </c>
      <c r="F25" s="322"/>
      <c r="G25" s="322"/>
    </row>
    <row r="26" spans="1:7" ht="15.6" x14ac:dyDescent="0.3">
      <c r="A26" s="339"/>
      <c r="B26" s="398"/>
      <c r="C26" s="321"/>
      <c r="D26" s="321"/>
      <c r="F26" s="322"/>
      <c r="G26" s="322"/>
    </row>
    <row r="27" spans="1:7" ht="15.6" x14ac:dyDescent="0.3">
      <c r="A27" s="382" t="s">
        <v>2453</v>
      </c>
      <c r="B27" s="390"/>
      <c r="C27" s="315"/>
      <c r="D27" s="314"/>
      <c r="F27" s="322"/>
      <c r="G27" s="322"/>
    </row>
    <row r="28" spans="1:7" ht="16.2" x14ac:dyDescent="0.3">
      <c r="A28" s="377" t="s">
        <v>2454</v>
      </c>
      <c r="B28" s="390"/>
      <c r="C28" s="315"/>
      <c r="D28" s="314"/>
    </row>
    <row r="29" spans="1:7" ht="15.6" x14ac:dyDescent="0.3">
      <c r="A29" s="318" t="s">
        <v>2455</v>
      </c>
      <c r="B29" s="390">
        <v>0</v>
      </c>
      <c r="C29" s="315"/>
      <c r="D29" s="390">
        <v>0</v>
      </c>
    </row>
    <row r="30" spans="1:7" ht="15.6" x14ac:dyDescent="0.3">
      <c r="A30" s="339" t="s">
        <v>2456</v>
      </c>
      <c r="B30" s="417">
        <f>+B29</f>
        <v>0</v>
      </c>
      <c r="C30" s="321"/>
      <c r="D30" s="355">
        <f>+D29</f>
        <v>0</v>
      </c>
    </row>
    <row r="31" spans="1:7" ht="16.2" x14ac:dyDescent="0.3">
      <c r="A31" s="377" t="s">
        <v>2445</v>
      </c>
      <c r="B31" s="390"/>
      <c r="C31" s="315"/>
      <c r="D31" s="314"/>
    </row>
    <row r="32" spans="1:7" ht="15.6" x14ac:dyDescent="0.3">
      <c r="A32" s="318" t="s">
        <v>2538</v>
      </c>
      <c r="B32" s="414">
        <v>122850368.01000001</v>
      </c>
      <c r="C32" s="315"/>
      <c r="D32" s="319">
        <v>98023105.909999996</v>
      </c>
    </row>
    <row r="33" spans="1:8" ht="15.6" x14ac:dyDescent="0.3">
      <c r="A33" s="339" t="s">
        <v>2451</v>
      </c>
      <c r="B33" s="416">
        <f>+B32</f>
        <v>122850368.01000001</v>
      </c>
      <c r="C33" s="321"/>
      <c r="D33" s="502">
        <f>+D32</f>
        <v>98023105.909999996</v>
      </c>
    </row>
    <row r="34" spans="1:8" ht="15.6" x14ac:dyDescent="0.3">
      <c r="A34" s="339" t="s">
        <v>2458</v>
      </c>
      <c r="B34" s="488">
        <f>+B30-B33</f>
        <v>-122850368.01000001</v>
      </c>
      <c r="C34" s="398"/>
      <c r="D34" s="488">
        <f>+D30-D33</f>
        <v>-98023105.909999996</v>
      </c>
    </row>
    <row r="35" spans="1:8" ht="15.6" x14ac:dyDescent="0.3">
      <c r="A35" s="339"/>
      <c r="B35" s="399"/>
      <c r="C35" s="398"/>
      <c r="D35" s="399"/>
    </row>
    <row r="36" spans="1:8" ht="15.6" x14ac:dyDescent="0.3">
      <c r="A36" s="382" t="s">
        <v>2459</v>
      </c>
      <c r="B36" s="390"/>
      <c r="C36" s="400"/>
      <c r="D36" s="390"/>
    </row>
    <row r="37" spans="1:8" ht="16.2" x14ac:dyDescent="0.3">
      <c r="A37" s="377" t="s">
        <v>2438</v>
      </c>
      <c r="B37" s="390"/>
      <c r="C37" s="315"/>
      <c r="D37" s="314"/>
    </row>
    <row r="38" spans="1:8" ht="15.6" x14ac:dyDescent="0.3">
      <c r="A38" s="318" t="s">
        <v>2539</v>
      </c>
      <c r="B38" s="390">
        <v>0</v>
      </c>
      <c r="C38" s="315"/>
      <c r="D38" s="390">
        <v>0</v>
      </c>
    </row>
    <row r="39" spans="1:8" ht="15.6" x14ac:dyDescent="0.3">
      <c r="A39" s="339" t="s">
        <v>2444</v>
      </c>
      <c r="B39" s="417">
        <f>+B38</f>
        <v>0</v>
      </c>
      <c r="C39" s="315"/>
      <c r="D39" s="355">
        <f>+D38</f>
        <v>0</v>
      </c>
    </row>
    <row r="40" spans="1:8" ht="16.2" x14ac:dyDescent="0.3">
      <c r="A40" s="377" t="s">
        <v>2445</v>
      </c>
      <c r="B40" s="390"/>
      <c r="C40" s="315"/>
      <c r="D40" s="314"/>
    </row>
    <row r="41" spans="1:8" ht="15.6" x14ac:dyDescent="0.3">
      <c r="A41" s="318" t="s">
        <v>2540</v>
      </c>
      <c r="B41" s="390">
        <v>0</v>
      </c>
      <c r="C41" s="315"/>
      <c r="D41" s="390">
        <v>0</v>
      </c>
    </row>
    <row r="42" spans="1:8" ht="15.6" x14ac:dyDescent="0.3">
      <c r="A42" s="339" t="s">
        <v>2451</v>
      </c>
      <c r="B42" s="417">
        <f>+B41</f>
        <v>0</v>
      </c>
      <c r="C42" s="315"/>
      <c r="D42" s="355">
        <f>+D41</f>
        <v>0</v>
      </c>
    </row>
    <row r="43" spans="1:8" ht="15.6" x14ac:dyDescent="0.3">
      <c r="A43" s="339" t="s">
        <v>2459</v>
      </c>
      <c r="B43" s="355">
        <f>B39-B42</f>
        <v>0</v>
      </c>
      <c r="C43" s="321"/>
      <c r="D43" s="355">
        <f>D39-D42</f>
        <v>0</v>
      </c>
    </row>
    <row r="44" spans="1:8" ht="15.6" x14ac:dyDescent="0.3">
      <c r="A44" s="339"/>
      <c r="B44" s="490"/>
      <c r="C44" s="321"/>
      <c r="D44" s="490"/>
    </row>
    <row r="45" spans="1:8" ht="15.75" customHeight="1" x14ac:dyDescent="0.3">
      <c r="A45" s="311" t="s">
        <v>2462</v>
      </c>
      <c r="B45" s="384"/>
      <c r="C45" s="385"/>
      <c r="D45" s="385"/>
    </row>
    <row r="46" spans="1:8" ht="15.6" x14ac:dyDescent="0.3">
      <c r="A46" s="311" t="s">
        <v>2463</v>
      </c>
      <c r="B46" s="491">
        <f>B25+B34+B43</f>
        <v>-197691532.88</v>
      </c>
      <c r="C46" s="384"/>
      <c r="D46" s="384">
        <f>D25+D34+D43</f>
        <v>332448142.30000007</v>
      </c>
    </row>
    <row r="47" spans="1:8" ht="15.6" x14ac:dyDescent="0.3">
      <c r="A47" s="339" t="s">
        <v>2464</v>
      </c>
      <c r="B47" s="350">
        <f>D48</f>
        <v>495363755.80000007</v>
      </c>
      <c r="C47" s="350"/>
      <c r="D47" s="350">
        <v>162915613.5</v>
      </c>
    </row>
    <row r="48" spans="1:8" ht="16.2" thickBot="1" x14ac:dyDescent="0.35">
      <c r="A48" s="339" t="s">
        <v>2465</v>
      </c>
      <c r="B48" s="524">
        <f>SUM(B46:B47)</f>
        <v>297672222.92000008</v>
      </c>
      <c r="C48" s="321"/>
      <c r="D48" s="524">
        <f>SUM(D46:D47)</f>
        <v>495363755.80000007</v>
      </c>
      <c r="F48" s="316"/>
      <c r="G48" s="419"/>
      <c r="H48" t="s">
        <v>2466</v>
      </c>
    </row>
    <row r="49" spans="1:8" ht="15.6" x14ac:dyDescent="0.3">
      <c r="A49" s="347"/>
    </row>
    <row r="50" spans="1:8" ht="15.6" x14ac:dyDescent="0.3">
      <c r="A50" s="749"/>
      <c r="B50" s="749"/>
      <c r="C50" s="749"/>
      <c r="D50" s="749"/>
      <c r="F50" s="322"/>
      <c r="H50" s="322"/>
    </row>
    <row r="51" spans="1:8" x14ac:dyDescent="0.3">
      <c r="B51" s="372"/>
      <c r="C51" s="386"/>
      <c r="D51" s="372"/>
    </row>
    <row r="52" spans="1:8" ht="15.6" x14ac:dyDescent="0.3">
      <c r="B52" s="387"/>
      <c r="C52" s="388"/>
      <c r="D52" s="387"/>
    </row>
    <row r="53" spans="1:8" x14ac:dyDescent="0.3">
      <c r="B53" s="372"/>
      <c r="C53" s="386"/>
      <c r="D53" s="372"/>
    </row>
    <row r="54" spans="1:8" x14ac:dyDescent="0.3">
      <c r="B54" s="370">
        <f>B48-[3]SFPO!D12</f>
        <v>0</v>
      </c>
      <c r="D54" s="370">
        <f>D48-[3]SFPO!E12</f>
        <v>0</v>
      </c>
    </row>
    <row r="56" spans="1:8" x14ac:dyDescent="0.3">
      <c r="B56" s="389"/>
      <c r="C56" s="363"/>
      <c r="D56" s="389"/>
    </row>
    <row r="57" spans="1:8" x14ac:dyDescent="0.3">
      <c r="B57" s="389"/>
      <c r="C57" s="363"/>
      <c r="D57" s="389"/>
    </row>
    <row r="60" spans="1:8" x14ac:dyDescent="0.3">
      <c r="B60" s="389"/>
      <c r="C60" s="363"/>
      <c r="D60" s="389"/>
    </row>
  </sheetData>
  <sheetProtection algorithmName="SHA-512" hashValue="NdlYl+eNA4AxCtIYwuYKRfNlyp19W5wx7OuOmIn2Jck6d0mwCuN8Tv0mJ8VzbMSgrLEyfCNPcZ/qlT2CNwVv/w==" saltValue="Ye1YpzB8OG8SBlMScqqOGw==" spinCount="100000" sheet="1" objects="1" scenarios="1" selectLockedCells="1" selectUnlockedCells="1"/>
  <mergeCells count="8">
    <mergeCell ref="A7:D7"/>
    <mergeCell ref="A50:D50"/>
    <mergeCell ref="A1:D1"/>
    <mergeCell ref="A2:D2"/>
    <mergeCell ref="A3:D3"/>
    <mergeCell ref="A4:D4"/>
    <mergeCell ref="A5:D5"/>
    <mergeCell ref="A6:D6"/>
  </mergeCells>
  <printOptions horizontalCentered="1"/>
  <pageMargins left="1.4960629921259843" right="0.98425196850393704" top="0.98425196850393704" bottom="0.98425196850393704" header="0.51181102362204722" footer="0.51181102362204722"/>
  <pageSetup scale="82" orientation="portrait" r:id="rId1"/>
  <headerFooter>
    <oddHeader>&amp;R&amp;"Times New Roman,Regular"Annex C.4
AAR Page 9</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30"/>
  <sheetViews>
    <sheetView zoomScaleNormal="100" zoomScaleSheetLayoutView="90" zoomScalePageLayoutView="90" workbookViewId="0"/>
  </sheetViews>
  <sheetFormatPr defaultColWidth="9.109375" defaultRowHeight="15.6" x14ac:dyDescent="0.3"/>
  <cols>
    <col min="1" max="1" width="44.109375" style="9" customWidth="1"/>
    <col min="2" max="2" width="33.5546875" style="9" customWidth="1"/>
    <col min="3" max="3" width="17.88671875" style="11" customWidth="1"/>
    <col min="4" max="16384" width="9.109375" style="11"/>
  </cols>
  <sheetData>
    <row r="1" spans="1:4" x14ac:dyDescent="0.3">
      <c r="A1" s="9" t="s">
        <v>729</v>
      </c>
      <c r="C1" s="10"/>
    </row>
    <row r="2" spans="1:4" x14ac:dyDescent="0.3">
      <c r="A2" s="12" t="s">
        <v>730</v>
      </c>
    </row>
    <row r="3" spans="1:4" x14ac:dyDescent="0.3">
      <c r="A3" s="11" t="s">
        <v>5</v>
      </c>
    </row>
    <row r="4" spans="1:4" x14ac:dyDescent="0.3">
      <c r="A4" s="11"/>
    </row>
    <row r="6" spans="1:4" s="15" customFormat="1" x14ac:dyDescent="0.3">
      <c r="A6" s="531" t="s">
        <v>731</v>
      </c>
      <c r="B6" s="531" t="s">
        <v>732</v>
      </c>
      <c r="C6" s="532" t="s">
        <v>733</v>
      </c>
    </row>
    <row r="7" spans="1:4" s="540" customFormat="1" x14ac:dyDescent="0.3">
      <c r="A7" s="783" t="s">
        <v>2369</v>
      </c>
      <c r="B7" s="783"/>
      <c r="C7" s="783"/>
    </row>
    <row r="8" spans="1:4" s="540" customFormat="1" x14ac:dyDescent="0.3">
      <c r="A8" s="13" t="s">
        <v>734</v>
      </c>
      <c r="B8" s="578" t="s">
        <v>735</v>
      </c>
      <c r="C8" s="652">
        <v>10</v>
      </c>
    </row>
    <row r="9" spans="1:4" s="540" customFormat="1" x14ac:dyDescent="0.3">
      <c r="A9" s="13" t="s">
        <v>736</v>
      </c>
      <c r="B9" s="578" t="s">
        <v>737</v>
      </c>
      <c r="C9" s="652">
        <v>269103.55000000005</v>
      </c>
    </row>
    <row r="10" spans="1:4" s="540" customFormat="1" x14ac:dyDescent="0.3">
      <c r="A10" s="13" t="s">
        <v>736</v>
      </c>
      <c r="B10" s="578" t="s">
        <v>738</v>
      </c>
      <c r="C10" s="652">
        <v>558205.51</v>
      </c>
    </row>
    <row r="11" spans="1:4" s="540" customFormat="1" x14ac:dyDescent="0.3">
      <c r="A11" s="13" t="s">
        <v>739</v>
      </c>
      <c r="B11" s="578" t="s">
        <v>740</v>
      </c>
      <c r="C11" s="652">
        <v>931.95</v>
      </c>
    </row>
    <row r="12" spans="1:4" s="540" customFormat="1" ht="46.8" x14ac:dyDescent="0.3">
      <c r="A12" s="13" t="s">
        <v>739</v>
      </c>
      <c r="B12" s="578" t="s">
        <v>741</v>
      </c>
      <c r="C12" s="652">
        <v>1579166.67</v>
      </c>
      <c r="D12" s="653"/>
    </row>
    <row r="13" spans="1:4" s="540" customFormat="1" ht="46.8" x14ac:dyDescent="0.3">
      <c r="A13" s="13" t="s">
        <v>739</v>
      </c>
      <c r="B13" s="578" t="s">
        <v>742</v>
      </c>
      <c r="C13" s="652">
        <v>1076004.68</v>
      </c>
      <c r="D13" s="653"/>
    </row>
    <row r="14" spans="1:4" s="655" customFormat="1" ht="16.2" x14ac:dyDescent="0.3">
      <c r="A14" s="784" t="s">
        <v>743</v>
      </c>
      <c r="B14" s="785"/>
      <c r="C14" s="654">
        <f>SUM(C8:C13)</f>
        <v>3483422.3599999994</v>
      </c>
    </row>
    <row r="15" spans="1:4" s="540" customFormat="1" x14ac:dyDescent="0.3">
      <c r="A15" s="783" t="s">
        <v>2369</v>
      </c>
      <c r="B15" s="783"/>
      <c r="C15" s="783"/>
    </row>
    <row r="16" spans="1:4" s="540" customFormat="1" ht="46.8" x14ac:dyDescent="0.3">
      <c r="A16" s="13" t="s">
        <v>744</v>
      </c>
      <c r="B16" s="581" t="s">
        <v>745</v>
      </c>
      <c r="C16" s="656">
        <v>7250</v>
      </c>
    </row>
    <row r="17" spans="1:3" s="540" customFormat="1" x14ac:dyDescent="0.3">
      <c r="A17" s="13" t="s">
        <v>746</v>
      </c>
      <c r="B17" s="581" t="s">
        <v>747</v>
      </c>
      <c r="C17" s="656">
        <v>130.5</v>
      </c>
    </row>
    <row r="18" spans="1:3" s="540" customFormat="1" ht="31.2" x14ac:dyDescent="0.3">
      <c r="A18" s="13" t="s">
        <v>748</v>
      </c>
      <c r="B18" s="581" t="s">
        <v>749</v>
      </c>
      <c r="C18" s="656">
        <v>1170</v>
      </c>
    </row>
    <row r="19" spans="1:3" s="540" customFormat="1" ht="31.2" x14ac:dyDescent="0.3">
      <c r="A19" s="13" t="s">
        <v>750</v>
      </c>
      <c r="B19" s="581" t="s">
        <v>751</v>
      </c>
      <c r="C19" s="656">
        <v>0.06</v>
      </c>
    </row>
    <row r="20" spans="1:3" s="540" customFormat="1" x14ac:dyDescent="0.3">
      <c r="A20" s="13" t="s">
        <v>750</v>
      </c>
      <c r="B20" s="581" t="s">
        <v>752</v>
      </c>
      <c r="C20" s="656">
        <v>119687.67</v>
      </c>
    </row>
    <row r="21" spans="1:3" s="540" customFormat="1" x14ac:dyDescent="0.3">
      <c r="A21" s="13" t="s">
        <v>753</v>
      </c>
      <c r="B21" s="581" t="s">
        <v>754</v>
      </c>
      <c r="C21" s="656">
        <v>4446.53</v>
      </c>
    </row>
    <row r="22" spans="1:3" s="540" customFormat="1" x14ac:dyDescent="0.3">
      <c r="A22" s="13" t="s">
        <v>753</v>
      </c>
      <c r="B22" s="581" t="s">
        <v>755</v>
      </c>
      <c r="C22" s="656">
        <v>4000</v>
      </c>
    </row>
    <row r="23" spans="1:3" s="540" customFormat="1" x14ac:dyDescent="0.3">
      <c r="A23" s="13" t="s">
        <v>753</v>
      </c>
      <c r="B23" s="581" t="s">
        <v>756</v>
      </c>
      <c r="C23" s="656">
        <v>1000</v>
      </c>
    </row>
    <row r="24" spans="1:3" s="540" customFormat="1" ht="31.2" x14ac:dyDescent="0.3">
      <c r="A24" s="13" t="s">
        <v>739</v>
      </c>
      <c r="B24" s="581" t="s">
        <v>757</v>
      </c>
      <c r="C24" s="656">
        <v>186.39</v>
      </c>
    </row>
    <row r="25" spans="1:3" s="540" customFormat="1" ht="31.2" x14ac:dyDescent="0.3">
      <c r="A25" s="13" t="s">
        <v>739</v>
      </c>
      <c r="B25" s="581" t="s">
        <v>758</v>
      </c>
      <c r="C25" s="656">
        <v>1113838.8899999999</v>
      </c>
    </row>
    <row r="26" spans="1:3" s="655" customFormat="1" ht="16.2" x14ac:dyDescent="0.3">
      <c r="A26" s="784" t="s">
        <v>743</v>
      </c>
      <c r="B26" s="785"/>
      <c r="C26" s="657">
        <f>SUM(C16:C25)</f>
        <v>1251710.04</v>
      </c>
    </row>
    <row r="27" spans="1:3" s="540" customFormat="1" x14ac:dyDescent="0.3">
      <c r="A27" s="786" t="s">
        <v>2370</v>
      </c>
      <c r="B27" s="787"/>
      <c r="C27" s="658">
        <f>C14+(C26)</f>
        <v>4735132.3999999994</v>
      </c>
    </row>
    <row r="30" spans="1:3" x14ac:dyDescent="0.3">
      <c r="C30" s="14"/>
    </row>
  </sheetData>
  <sheetProtection algorithmName="SHA-512" hashValue="bu/2ddqwRYOqYI7b2bbJ4bwmUIfEhSPA8Dq8r0boykHIMNg7xszjfcTP7BgENDNJBK3dIN/f/aem+EoULwqOQg==" saltValue="Li6JpO3w+hUi8KfiQvoYJg==" spinCount="100000" sheet="1" objects="1" scenarios="1" selectLockedCells="1" selectUnlockedCells="1"/>
  <mergeCells count="5">
    <mergeCell ref="A7:C7"/>
    <mergeCell ref="A14:B14"/>
    <mergeCell ref="A15:C15"/>
    <mergeCell ref="A26:B26"/>
    <mergeCell ref="A27:B27"/>
  </mergeCells>
  <printOptions horizontalCentered="1"/>
  <pageMargins left="1.4960629921259843" right="0.70866141732283472" top="0.74803149606299213" bottom="0.74803149606299213" header="0.31496062992125984" footer="0.31496062992125984"/>
  <pageSetup scale="83" fitToHeight="0" orientation="portrait" r:id="rId1"/>
  <headerFooter scaleWithDoc="0">
    <oddHeader>&amp;R&amp;"Times New Roman,Regular"&amp;12Annex D
AAR Page 102</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J166"/>
  <sheetViews>
    <sheetView zoomScaleNormal="100" zoomScaleSheetLayoutView="80" zoomScalePageLayoutView="80" workbookViewId="0"/>
  </sheetViews>
  <sheetFormatPr defaultColWidth="9.109375" defaultRowHeight="15.6" x14ac:dyDescent="0.3"/>
  <cols>
    <col min="1" max="1" width="4.44140625" style="11" bestFit="1" customWidth="1"/>
    <col min="2" max="2" width="10.88671875" style="11" customWidth="1"/>
    <col min="3" max="3" width="13.33203125" style="11" customWidth="1"/>
    <col min="4" max="4" width="15.5546875" style="11" customWidth="1"/>
    <col min="5" max="5" width="11.44140625" style="11" customWidth="1"/>
    <col min="6" max="6" width="30.88671875" style="9" customWidth="1"/>
    <col min="7" max="7" width="16" style="140" bestFit="1" customWidth="1"/>
    <col min="8" max="8" width="30.5546875" style="168" customWidth="1"/>
    <col min="9" max="9" width="32.6640625" style="140" hidden="1" customWidth="1"/>
    <col min="10" max="10" width="23.33203125" style="141" hidden="1" customWidth="1"/>
    <col min="11" max="16384" width="9.109375" style="11"/>
  </cols>
  <sheetData>
    <row r="1" spans="1:10" ht="18" x14ac:dyDescent="0.35">
      <c r="A1" s="185" t="s">
        <v>0</v>
      </c>
      <c r="B1" s="185"/>
      <c r="C1" s="185"/>
      <c r="D1" s="185"/>
      <c r="E1" s="185"/>
      <c r="F1" s="185"/>
      <c r="G1" s="185"/>
      <c r="H1" s="11"/>
      <c r="I1" s="139"/>
      <c r="J1" s="1"/>
    </row>
    <row r="2" spans="1:10" ht="17.399999999999999" x14ac:dyDescent="0.3">
      <c r="A2" s="186" t="s">
        <v>1275</v>
      </c>
      <c r="B2" s="186"/>
      <c r="C2" s="186"/>
      <c r="D2" s="186"/>
      <c r="E2" s="186"/>
      <c r="F2" s="186"/>
      <c r="G2" s="186"/>
      <c r="H2" s="11"/>
      <c r="I2" s="139"/>
      <c r="J2" s="1"/>
    </row>
    <row r="3" spans="1:10" ht="18" x14ac:dyDescent="0.35">
      <c r="A3" s="185" t="s">
        <v>1276</v>
      </c>
      <c r="B3" s="185"/>
      <c r="C3" s="185"/>
      <c r="D3" s="185"/>
      <c r="E3" s="185"/>
      <c r="F3" s="185"/>
      <c r="G3" s="185"/>
      <c r="H3" s="11"/>
      <c r="I3" s="139"/>
      <c r="J3" s="1"/>
    </row>
    <row r="4" spans="1:10" ht="18" x14ac:dyDescent="0.35">
      <c r="A4" s="185" t="s">
        <v>1277</v>
      </c>
      <c r="B4" s="185"/>
      <c r="C4" s="185"/>
      <c r="D4" s="185"/>
      <c r="E4" s="185"/>
      <c r="F4" s="185"/>
      <c r="G4" s="185"/>
      <c r="H4" s="11"/>
      <c r="I4" s="139"/>
      <c r="J4" s="1"/>
    </row>
    <row r="5" spans="1:10" x14ac:dyDescent="0.3">
      <c r="B5" s="788"/>
      <c r="C5" s="788"/>
      <c r="D5" s="788"/>
      <c r="E5" s="788"/>
      <c r="F5" s="788"/>
      <c r="G5" s="788"/>
      <c r="H5" s="788"/>
      <c r="I5" s="139"/>
      <c r="J5" s="1"/>
    </row>
    <row r="6" spans="1:10" x14ac:dyDescent="0.3">
      <c r="B6" s="789"/>
      <c r="C6" s="789"/>
      <c r="D6" s="789"/>
      <c r="E6" s="789"/>
      <c r="F6" s="789"/>
      <c r="G6" s="789"/>
      <c r="H6" s="789"/>
    </row>
    <row r="7" spans="1:10" s="12" customFormat="1" ht="31.8" thickBot="1" x14ac:dyDescent="0.35">
      <c r="B7" s="142" t="s">
        <v>1278</v>
      </c>
      <c r="C7" s="143" t="s">
        <v>1279</v>
      </c>
      <c r="D7" s="143" t="s">
        <v>1280</v>
      </c>
      <c r="E7" s="143" t="s">
        <v>855</v>
      </c>
      <c r="F7" s="142" t="s">
        <v>1281</v>
      </c>
      <c r="G7" s="144" t="s">
        <v>1282</v>
      </c>
      <c r="H7" s="145" t="s">
        <v>1283</v>
      </c>
      <c r="I7" s="146" t="s">
        <v>1284</v>
      </c>
      <c r="J7" s="146" t="s">
        <v>1285</v>
      </c>
    </row>
    <row r="8" spans="1:10" s="659" customFormat="1" ht="31.2" x14ac:dyDescent="0.3">
      <c r="A8" s="659">
        <v>1</v>
      </c>
      <c r="B8" s="660">
        <v>1542067</v>
      </c>
      <c r="C8" s="661">
        <v>44589</v>
      </c>
      <c r="D8" s="661">
        <v>44589</v>
      </c>
      <c r="E8" s="662" t="s">
        <v>1286</v>
      </c>
      <c r="F8" s="663" t="s">
        <v>1287</v>
      </c>
      <c r="G8" s="664">
        <v>15891192.85</v>
      </c>
      <c r="H8" s="665" t="s">
        <v>1288</v>
      </c>
      <c r="I8" s="666">
        <v>44621</v>
      </c>
      <c r="J8" s="667" t="s">
        <v>1289</v>
      </c>
    </row>
    <row r="9" spans="1:10" s="659" customFormat="1" ht="31.2" x14ac:dyDescent="0.3">
      <c r="A9" s="659">
        <v>2</v>
      </c>
      <c r="B9" s="660">
        <v>1542068</v>
      </c>
      <c r="C9" s="661">
        <v>44589</v>
      </c>
      <c r="D9" s="661">
        <v>44589</v>
      </c>
      <c r="E9" s="662" t="s">
        <v>1286</v>
      </c>
      <c r="F9" s="663" t="s">
        <v>1287</v>
      </c>
      <c r="G9" s="664">
        <v>15891192.85</v>
      </c>
      <c r="H9" s="665" t="s">
        <v>1288</v>
      </c>
      <c r="I9" s="668"/>
      <c r="J9" s="669"/>
    </row>
    <row r="10" spans="1:10" s="659" customFormat="1" ht="31.2" x14ac:dyDescent="0.3">
      <c r="A10" s="659">
        <v>3</v>
      </c>
      <c r="B10" s="660">
        <v>1542148</v>
      </c>
      <c r="C10" s="661">
        <v>44594</v>
      </c>
      <c r="D10" s="661">
        <v>44600</v>
      </c>
      <c r="E10" s="662" t="s">
        <v>1286</v>
      </c>
      <c r="F10" s="663" t="s">
        <v>1290</v>
      </c>
      <c r="G10" s="664">
        <v>557692.88</v>
      </c>
      <c r="H10" s="665" t="s">
        <v>1291</v>
      </c>
      <c r="I10" s="668"/>
      <c r="J10" s="669"/>
    </row>
    <row r="11" spans="1:10" s="659" customFormat="1" ht="31.2" x14ac:dyDescent="0.3">
      <c r="A11" s="659">
        <v>4</v>
      </c>
      <c r="B11" s="660">
        <v>1542298</v>
      </c>
      <c r="C11" s="661">
        <v>44599</v>
      </c>
      <c r="D11" s="661">
        <v>44600</v>
      </c>
      <c r="E11" s="662" t="s">
        <v>1286</v>
      </c>
      <c r="F11" s="663" t="s">
        <v>1292</v>
      </c>
      <c r="G11" s="664">
        <v>7141966.9500000002</v>
      </c>
      <c r="H11" s="665" t="s">
        <v>1293</v>
      </c>
      <c r="I11" s="668"/>
      <c r="J11" s="669"/>
    </row>
    <row r="12" spans="1:10" s="659" customFormat="1" ht="31.2" x14ac:dyDescent="0.3">
      <c r="A12" s="659">
        <v>5</v>
      </c>
      <c r="B12" s="660">
        <v>1542281</v>
      </c>
      <c r="C12" s="661">
        <v>44600</v>
      </c>
      <c r="D12" s="661">
        <v>44601</v>
      </c>
      <c r="E12" s="662" t="s">
        <v>1286</v>
      </c>
      <c r="F12" s="663" t="s">
        <v>1294</v>
      </c>
      <c r="G12" s="664">
        <v>4269.37</v>
      </c>
      <c r="H12" s="665" t="s">
        <v>1295</v>
      </c>
      <c r="I12" s="668"/>
      <c r="J12" s="669"/>
    </row>
    <row r="13" spans="1:10" s="659" customFormat="1" ht="31.2" x14ac:dyDescent="0.3">
      <c r="A13" s="659">
        <v>6</v>
      </c>
      <c r="B13" s="660">
        <v>1542145</v>
      </c>
      <c r="C13" s="661">
        <v>44594</v>
      </c>
      <c r="D13" s="661">
        <v>44612</v>
      </c>
      <c r="E13" s="662" t="s">
        <v>1286</v>
      </c>
      <c r="F13" s="663" t="s">
        <v>1296</v>
      </c>
      <c r="G13" s="664">
        <v>18236</v>
      </c>
      <c r="H13" s="665" t="s">
        <v>1297</v>
      </c>
      <c r="I13" s="668"/>
      <c r="J13" s="669"/>
    </row>
    <row r="14" spans="1:10" s="659" customFormat="1" ht="31.2" x14ac:dyDescent="0.3">
      <c r="A14" s="659">
        <v>7</v>
      </c>
      <c r="B14" s="660">
        <v>1541676</v>
      </c>
      <c r="C14" s="661">
        <v>44610</v>
      </c>
      <c r="D14" s="661">
        <v>44612</v>
      </c>
      <c r="E14" s="662" t="s">
        <v>1286</v>
      </c>
      <c r="F14" s="663" t="s">
        <v>1296</v>
      </c>
      <c r="G14" s="664">
        <v>32204</v>
      </c>
      <c r="H14" s="665" t="s">
        <v>1297</v>
      </c>
      <c r="I14" s="668"/>
      <c r="J14" s="669"/>
    </row>
    <row r="15" spans="1:10" s="659" customFormat="1" x14ac:dyDescent="0.3">
      <c r="A15" s="659">
        <v>8</v>
      </c>
      <c r="B15" s="660">
        <v>1542585</v>
      </c>
      <c r="C15" s="661">
        <v>44608</v>
      </c>
      <c r="D15" s="661">
        <v>44613</v>
      </c>
      <c r="E15" s="662" t="s">
        <v>1286</v>
      </c>
      <c r="F15" s="663" t="s">
        <v>1298</v>
      </c>
      <c r="G15" s="664">
        <v>5000</v>
      </c>
      <c r="H15" s="665" t="s">
        <v>1295</v>
      </c>
      <c r="I15" s="668"/>
      <c r="J15" s="669"/>
    </row>
    <row r="16" spans="1:10" s="659" customFormat="1" x14ac:dyDescent="0.3">
      <c r="A16" s="659">
        <v>9</v>
      </c>
      <c r="B16" s="660">
        <v>1542586</v>
      </c>
      <c r="C16" s="661">
        <v>44608</v>
      </c>
      <c r="D16" s="661">
        <v>44613</v>
      </c>
      <c r="E16" s="662" t="s">
        <v>1286</v>
      </c>
      <c r="F16" s="663" t="s">
        <v>1298</v>
      </c>
      <c r="G16" s="664">
        <v>5000</v>
      </c>
      <c r="H16" s="665" t="s">
        <v>1295</v>
      </c>
      <c r="I16" s="668"/>
      <c r="J16" s="669"/>
    </row>
    <row r="17" spans="1:10" s="659" customFormat="1" ht="31.2" x14ac:dyDescent="0.3">
      <c r="A17" s="659">
        <v>10</v>
      </c>
      <c r="B17" s="660">
        <v>1542634</v>
      </c>
      <c r="C17" s="661">
        <v>44609</v>
      </c>
      <c r="D17" s="661">
        <v>44609</v>
      </c>
      <c r="E17" s="662" t="s">
        <v>1286</v>
      </c>
      <c r="F17" s="663" t="s">
        <v>1290</v>
      </c>
      <c r="G17" s="664">
        <v>8813.8799999999992</v>
      </c>
      <c r="H17" s="665" t="s">
        <v>1299</v>
      </c>
      <c r="I17" s="668"/>
      <c r="J17" s="669"/>
    </row>
    <row r="18" spans="1:10" s="659" customFormat="1" ht="31.2" x14ac:dyDescent="0.3">
      <c r="A18" s="659">
        <v>11</v>
      </c>
      <c r="B18" s="660">
        <v>1542724</v>
      </c>
      <c r="C18" s="661">
        <v>44613</v>
      </c>
      <c r="D18" s="661">
        <v>44613</v>
      </c>
      <c r="E18" s="662" t="s">
        <v>1286</v>
      </c>
      <c r="F18" s="663" t="s">
        <v>1300</v>
      </c>
      <c r="G18" s="664">
        <v>24000</v>
      </c>
      <c r="H18" s="665" t="s">
        <v>1301</v>
      </c>
      <c r="I18" s="668"/>
      <c r="J18" s="669"/>
    </row>
    <row r="19" spans="1:10" s="659" customFormat="1" ht="31.8" thickBot="1" x14ac:dyDescent="0.35">
      <c r="A19" s="659">
        <v>12</v>
      </c>
      <c r="B19" s="660">
        <v>1542699</v>
      </c>
      <c r="C19" s="661">
        <v>44610</v>
      </c>
      <c r="D19" s="661">
        <v>44610</v>
      </c>
      <c r="E19" s="662" t="s">
        <v>1286</v>
      </c>
      <c r="F19" s="663" t="s">
        <v>1296</v>
      </c>
      <c r="G19" s="664">
        <v>17248</v>
      </c>
      <c r="H19" s="665" t="s">
        <v>1297</v>
      </c>
      <c r="I19" s="670"/>
      <c r="J19" s="671"/>
    </row>
    <row r="20" spans="1:10" s="659" customFormat="1" ht="31.2" x14ac:dyDescent="0.3">
      <c r="A20" s="659">
        <v>13</v>
      </c>
      <c r="B20" s="660">
        <v>1542794</v>
      </c>
      <c r="C20" s="661">
        <v>44614</v>
      </c>
      <c r="D20" s="661">
        <v>44615</v>
      </c>
      <c r="E20" s="662" t="s">
        <v>1286</v>
      </c>
      <c r="F20" s="663" t="s">
        <v>1302</v>
      </c>
      <c r="G20" s="664">
        <v>538335.62</v>
      </c>
      <c r="H20" s="665" t="s">
        <v>1293</v>
      </c>
      <c r="I20" s="672"/>
      <c r="J20" s="673"/>
    </row>
    <row r="21" spans="1:10" s="659" customFormat="1" ht="31.2" x14ac:dyDescent="0.3">
      <c r="A21" s="659">
        <v>14</v>
      </c>
      <c r="B21" s="660">
        <v>1542793</v>
      </c>
      <c r="C21" s="661">
        <v>44614</v>
      </c>
      <c r="D21" s="661">
        <v>44615</v>
      </c>
      <c r="E21" s="662" t="s">
        <v>1286</v>
      </c>
      <c r="F21" s="663" t="s">
        <v>1302</v>
      </c>
      <c r="G21" s="664">
        <v>102575.16</v>
      </c>
      <c r="H21" s="665" t="s">
        <v>1293</v>
      </c>
      <c r="I21" s="668"/>
      <c r="J21" s="669"/>
    </row>
    <row r="22" spans="1:10" s="659" customFormat="1" ht="31.2" x14ac:dyDescent="0.3">
      <c r="A22" s="659">
        <v>15</v>
      </c>
      <c r="B22" s="660">
        <v>1542716</v>
      </c>
      <c r="C22" s="661">
        <v>44610</v>
      </c>
      <c r="D22" s="661">
        <v>44616</v>
      </c>
      <c r="E22" s="662" t="s">
        <v>1286</v>
      </c>
      <c r="F22" s="663" t="s">
        <v>1302</v>
      </c>
      <c r="G22" s="664">
        <v>26036.240000000002</v>
      </c>
      <c r="H22" s="665" t="s">
        <v>1293</v>
      </c>
      <c r="I22" s="668"/>
      <c r="J22" s="669"/>
    </row>
    <row r="23" spans="1:10" s="659" customFormat="1" ht="31.8" thickBot="1" x14ac:dyDescent="0.35">
      <c r="A23" s="659">
        <v>16</v>
      </c>
      <c r="B23" s="660">
        <v>1542717</v>
      </c>
      <c r="C23" s="661">
        <v>44610</v>
      </c>
      <c r="D23" s="661">
        <v>44616</v>
      </c>
      <c r="E23" s="662" t="s">
        <v>1286</v>
      </c>
      <c r="F23" s="663" t="s">
        <v>1302</v>
      </c>
      <c r="G23" s="664">
        <v>45565.48</v>
      </c>
      <c r="H23" s="665" t="s">
        <v>1293</v>
      </c>
      <c r="I23" s="670"/>
      <c r="J23" s="671"/>
    </row>
    <row r="24" spans="1:10" s="659" customFormat="1" ht="31.2" x14ac:dyDescent="0.3">
      <c r="A24" s="659">
        <v>17</v>
      </c>
      <c r="B24" s="660">
        <v>1542752</v>
      </c>
      <c r="C24" s="661">
        <v>44613</v>
      </c>
      <c r="D24" s="661">
        <v>44616</v>
      </c>
      <c r="E24" s="662" t="s">
        <v>1286</v>
      </c>
      <c r="F24" s="663" t="s">
        <v>1302</v>
      </c>
      <c r="G24" s="664">
        <v>69928.25</v>
      </c>
      <c r="H24" s="665" t="s">
        <v>1293</v>
      </c>
      <c r="I24" s="672"/>
      <c r="J24" s="673"/>
    </row>
    <row r="25" spans="1:10" s="659" customFormat="1" ht="31.2" x14ac:dyDescent="0.3">
      <c r="A25" s="659">
        <v>18</v>
      </c>
      <c r="B25" s="660">
        <v>1542846</v>
      </c>
      <c r="C25" s="661">
        <v>44615</v>
      </c>
      <c r="D25" s="661">
        <v>44616</v>
      </c>
      <c r="E25" s="661" t="s">
        <v>1286</v>
      </c>
      <c r="F25" s="663" t="s">
        <v>1296</v>
      </c>
      <c r="G25" s="664">
        <v>17248</v>
      </c>
      <c r="H25" s="665" t="s">
        <v>1297</v>
      </c>
      <c r="I25" s="674">
        <v>44868</v>
      </c>
      <c r="J25" s="675" t="s">
        <v>1303</v>
      </c>
    </row>
    <row r="26" spans="1:10" s="659" customFormat="1" ht="31.2" x14ac:dyDescent="0.3">
      <c r="A26" s="659">
        <v>19</v>
      </c>
      <c r="B26" s="660">
        <v>1593858</v>
      </c>
      <c r="C26" s="661">
        <v>44790</v>
      </c>
      <c r="D26" s="661">
        <v>44838</v>
      </c>
      <c r="E26" s="661" t="s">
        <v>1286</v>
      </c>
      <c r="F26" s="663" t="s">
        <v>1304</v>
      </c>
      <c r="G26" s="664">
        <v>1750.6</v>
      </c>
      <c r="H26" s="665" t="s">
        <v>1305</v>
      </c>
      <c r="I26" s="668"/>
      <c r="J26" s="669"/>
    </row>
    <row r="27" spans="1:10" s="659" customFormat="1" x14ac:dyDescent="0.3">
      <c r="A27" s="659">
        <v>20</v>
      </c>
      <c r="B27" s="660">
        <v>1594774</v>
      </c>
      <c r="C27" s="661">
        <v>44820</v>
      </c>
      <c r="D27" s="661">
        <v>44841</v>
      </c>
      <c r="E27" s="661" t="s">
        <v>1286</v>
      </c>
      <c r="F27" s="663" t="s">
        <v>1306</v>
      </c>
      <c r="G27" s="664">
        <v>3438.67</v>
      </c>
      <c r="H27" s="665" t="s">
        <v>1307</v>
      </c>
      <c r="I27" s="674">
        <v>44897</v>
      </c>
      <c r="J27" s="675" t="s">
        <v>1308</v>
      </c>
    </row>
    <row r="28" spans="1:10" s="659" customFormat="1" ht="31.2" x14ac:dyDescent="0.3">
      <c r="A28" s="659">
        <v>21</v>
      </c>
      <c r="B28" s="660">
        <v>1595841</v>
      </c>
      <c r="C28" s="661">
        <v>44858</v>
      </c>
      <c r="D28" s="661">
        <v>44858</v>
      </c>
      <c r="E28" s="661" t="s">
        <v>1286</v>
      </c>
      <c r="F28" s="663" t="s">
        <v>1290</v>
      </c>
      <c r="G28" s="664">
        <v>93746.02</v>
      </c>
      <c r="H28" s="665" t="s">
        <v>1301</v>
      </c>
      <c r="I28" s="668"/>
      <c r="J28" s="669"/>
    </row>
    <row r="29" spans="1:10" s="659" customFormat="1" x14ac:dyDescent="0.3">
      <c r="A29" s="659">
        <v>22</v>
      </c>
      <c r="B29" s="660">
        <v>1595652</v>
      </c>
      <c r="C29" s="661">
        <v>44851</v>
      </c>
      <c r="D29" s="661">
        <v>44868</v>
      </c>
      <c r="E29" s="661" t="s">
        <v>1286</v>
      </c>
      <c r="F29" s="663" t="s">
        <v>1309</v>
      </c>
      <c r="G29" s="664">
        <v>159928.89000000001</v>
      </c>
      <c r="H29" s="665" t="s">
        <v>1310</v>
      </c>
      <c r="I29" s="668"/>
      <c r="J29" s="669"/>
    </row>
    <row r="30" spans="1:10" s="659" customFormat="1" ht="31.2" x14ac:dyDescent="0.3">
      <c r="A30" s="659">
        <v>23</v>
      </c>
      <c r="B30" s="660">
        <v>1595850</v>
      </c>
      <c r="C30" s="661">
        <v>44859</v>
      </c>
      <c r="D30" s="661">
        <v>44873</v>
      </c>
      <c r="E30" s="661" t="s">
        <v>1286</v>
      </c>
      <c r="F30" s="663" t="s">
        <v>1311</v>
      </c>
      <c r="G30" s="664">
        <v>12050</v>
      </c>
      <c r="H30" s="665" t="s">
        <v>1295</v>
      </c>
      <c r="I30" s="668"/>
      <c r="J30" s="669"/>
    </row>
    <row r="31" spans="1:10" s="659" customFormat="1" x14ac:dyDescent="0.3">
      <c r="A31" s="659">
        <v>24</v>
      </c>
      <c r="B31" s="660">
        <v>1595900</v>
      </c>
      <c r="C31" s="661">
        <v>44860</v>
      </c>
      <c r="D31" s="661">
        <v>44875</v>
      </c>
      <c r="E31" s="661" t="s">
        <v>1286</v>
      </c>
      <c r="F31" s="663" t="s">
        <v>1312</v>
      </c>
      <c r="G31" s="664">
        <v>5000</v>
      </c>
      <c r="H31" s="665" t="s">
        <v>1313</v>
      </c>
      <c r="I31" s="668"/>
      <c r="J31" s="669"/>
    </row>
    <row r="32" spans="1:10" s="659" customFormat="1" ht="31.8" thickBot="1" x14ac:dyDescent="0.35">
      <c r="A32" s="659">
        <v>25</v>
      </c>
      <c r="B32" s="660">
        <v>1596660</v>
      </c>
      <c r="C32" s="661">
        <v>44890</v>
      </c>
      <c r="D32" s="661">
        <v>44876</v>
      </c>
      <c r="E32" s="661" t="s">
        <v>1286</v>
      </c>
      <c r="F32" s="663" t="s">
        <v>1314</v>
      </c>
      <c r="G32" s="664">
        <v>14716.96</v>
      </c>
      <c r="H32" s="665" t="s">
        <v>1315</v>
      </c>
      <c r="I32" s="670"/>
      <c r="J32" s="671"/>
    </row>
    <row r="33" spans="1:10" s="659" customFormat="1" ht="31.2" x14ac:dyDescent="0.3">
      <c r="A33" s="659">
        <v>26</v>
      </c>
      <c r="B33" s="660">
        <v>1596169</v>
      </c>
      <c r="C33" s="661">
        <v>44875</v>
      </c>
      <c r="D33" s="661">
        <v>44897</v>
      </c>
      <c r="E33" s="661" t="s">
        <v>1286</v>
      </c>
      <c r="F33" s="663" t="s">
        <v>1316</v>
      </c>
      <c r="G33" s="664">
        <v>42702.66</v>
      </c>
      <c r="H33" s="665" t="s">
        <v>1305</v>
      </c>
      <c r="I33" s="672"/>
      <c r="J33" s="676"/>
    </row>
    <row r="34" spans="1:10" s="659" customFormat="1" ht="31.2" x14ac:dyDescent="0.3">
      <c r="A34" s="659">
        <v>27</v>
      </c>
      <c r="B34" s="660">
        <v>1596940</v>
      </c>
      <c r="C34" s="661">
        <v>44907</v>
      </c>
      <c r="D34" s="661">
        <v>44904</v>
      </c>
      <c r="E34" s="661" t="s">
        <v>1286</v>
      </c>
      <c r="F34" s="663" t="s">
        <v>1317</v>
      </c>
      <c r="G34" s="664">
        <v>18750</v>
      </c>
      <c r="H34" s="665" t="s">
        <v>1318</v>
      </c>
      <c r="I34" s="668"/>
      <c r="J34" s="677"/>
    </row>
    <row r="35" spans="1:10" s="659" customFormat="1" x14ac:dyDescent="0.3">
      <c r="A35" s="659">
        <v>28</v>
      </c>
      <c r="B35" s="660">
        <v>1596994</v>
      </c>
      <c r="C35" s="661">
        <v>44907</v>
      </c>
      <c r="D35" s="661">
        <v>44907</v>
      </c>
      <c r="E35" s="661" t="s">
        <v>1286</v>
      </c>
      <c r="F35" s="663" t="s">
        <v>1319</v>
      </c>
      <c r="G35" s="664">
        <v>536820.81999999995</v>
      </c>
      <c r="H35" s="665" t="s">
        <v>1310</v>
      </c>
      <c r="I35" s="668"/>
      <c r="J35" s="677"/>
    </row>
    <row r="36" spans="1:10" s="659" customFormat="1" ht="31.2" x14ac:dyDescent="0.3">
      <c r="A36" s="659">
        <v>29</v>
      </c>
      <c r="B36" s="660">
        <v>1597088</v>
      </c>
      <c r="C36" s="661">
        <v>44909</v>
      </c>
      <c r="D36" s="661">
        <v>44909</v>
      </c>
      <c r="E36" s="661" t="s">
        <v>1286</v>
      </c>
      <c r="F36" s="663" t="s">
        <v>1319</v>
      </c>
      <c r="G36" s="664">
        <v>190500</v>
      </c>
      <c r="H36" s="665" t="s">
        <v>1301</v>
      </c>
      <c r="I36" s="668"/>
      <c r="J36" s="677"/>
    </row>
    <row r="37" spans="1:10" s="659" customFormat="1" x14ac:dyDescent="0.3">
      <c r="A37" s="659">
        <v>30</v>
      </c>
      <c r="B37" s="660">
        <v>1596923</v>
      </c>
      <c r="C37" s="661">
        <v>44904</v>
      </c>
      <c r="D37" s="661">
        <v>44902</v>
      </c>
      <c r="E37" s="661" t="s">
        <v>1286</v>
      </c>
      <c r="F37" s="663" t="s">
        <v>1319</v>
      </c>
      <c r="G37" s="664">
        <v>536820.81999999995</v>
      </c>
      <c r="H37" s="665" t="s">
        <v>1310</v>
      </c>
      <c r="I37" s="668"/>
      <c r="J37" s="677"/>
    </row>
    <row r="38" spans="1:10" s="659" customFormat="1" x14ac:dyDescent="0.3">
      <c r="A38" s="659">
        <v>31</v>
      </c>
      <c r="B38" s="660">
        <v>1596835</v>
      </c>
      <c r="C38" s="661">
        <v>44900</v>
      </c>
      <c r="D38" s="661">
        <v>44915</v>
      </c>
      <c r="E38" s="661" t="s">
        <v>1286</v>
      </c>
      <c r="F38" s="663" t="s">
        <v>1320</v>
      </c>
      <c r="G38" s="664">
        <v>11802.46</v>
      </c>
      <c r="H38" s="665" t="s">
        <v>1305</v>
      </c>
      <c r="I38" s="668"/>
      <c r="J38" s="677"/>
    </row>
    <row r="39" spans="1:10" s="659" customFormat="1" ht="31.2" x14ac:dyDescent="0.3">
      <c r="A39" s="659">
        <v>32</v>
      </c>
      <c r="B39" s="660">
        <v>1622757</v>
      </c>
      <c r="C39" s="661">
        <v>44924</v>
      </c>
      <c r="D39" s="661">
        <v>44924</v>
      </c>
      <c r="E39" s="661" t="s">
        <v>1286</v>
      </c>
      <c r="F39" s="663" t="s">
        <v>1321</v>
      </c>
      <c r="G39" s="664">
        <v>4450</v>
      </c>
      <c r="H39" s="665" t="s">
        <v>1301</v>
      </c>
      <c r="I39" s="678"/>
      <c r="J39" s="679"/>
    </row>
    <row r="40" spans="1:10" s="659" customFormat="1" x14ac:dyDescent="0.3">
      <c r="A40" s="659">
        <v>33</v>
      </c>
      <c r="B40" s="660">
        <v>1534723</v>
      </c>
      <c r="C40" s="661">
        <v>44917</v>
      </c>
      <c r="D40" s="661">
        <v>44917</v>
      </c>
      <c r="E40" s="660" t="s">
        <v>1322</v>
      </c>
      <c r="F40" s="663" t="s">
        <v>1323</v>
      </c>
      <c r="G40" s="664">
        <v>32879</v>
      </c>
      <c r="H40" s="665" t="s">
        <v>1310</v>
      </c>
      <c r="I40" s="680"/>
      <c r="J40" s="681"/>
    </row>
    <row r="41" spans="1:10" s="659" customFormat="1" ht="31.2" x14ac:dyDescent="0.3">
      <c r="A41" s="659">
        <v>34</v>
      </c>
      <c r="B41" s="660">
        <v>1547718</v>
      </c>
      <c r="C41" s="661">
        <v>44580</v>
      </c>
      <c r="D41" s="661">
        <v>44580</v>
      </c>
      <c r="E41" s="662" t="s">
        <v>1324</v>
      </c>
      <c r="F41" s="663" t="s">
        <v>1323</v>
      </c>
      <c r="G41" s="664">
        <v>19754.72</v>
      </c>
      <c r="H41" s="665" t="s">
        <v>1325</v>
      </c>
      <c r="I41" s="668"/>
      <c r="J41" s="669"/>
    </row>
    <row r="42" spans="1:10" s="659" customFormat="1" ht="31.2" x14ac:dyDescent="0.3">
      <c r="A42" s="659">
        <v>35</v>
      </c>
      <c r="B42" s="660">
        <v>1547949</v>
      </c>
      <c r="C42" s="661">
        <v>44846</v>
      </c>
      <c r="D42" s="661">
        <v>44847</v>
      </c>
      <c r="E42" s="661" t="s">
        <v>1324</v>
      </c>
      <c r="F42" s="663" t="s">
        <v>1290</v>
      </c>
      <c r="G42" s="664">
        <v>13180.11</v>
      </c>
      <c r="H42" s="665" t="s">
        <v>1310</v>
      </c>
      <c r="I42" s="668"/>
      <c r="J42" s="669"/>
    </row>
    <row r="43" spans="1:10" s="659" customFormat="1" x14ac:dyDescent="0.3">
      <c r="A43" s="659">
        <v>36</v>
      </c>
      <c r="B43" s="660">
        <v>1547728</v>
      </c>
      <c r="C43" s="661">
        <v>44588</v>
      </c>
      <c r="D43" s="661">
        <v>44879</v>
      </c>
      <c r="E43" s="661" t="s">
        <v>1324</v>
      </c>
      <c r="F43" s="663" t="s">
        <v>1326</v>
      </c>
      <c r="G43" s="664">
        <v>1170</v>
      </c>
      <c r="H43" s="665" t="s">
        <v>1305</v>
      </c>
      <c r="I43" s="668"/>
      <c r="J43" s="669"/>
    </row>
    <row r="44" spans="1:10" s="659" customFormat="1" ht="31.2" x14ac:dyDescent="0.3">
      <c r="A44" s="659">
        <v>37</v>
      </c>
      <c r="B44" s="660">
        <v>1547992</v>
      </c>
      <c r="C44" s="661">
        <v>44894</v>
      </c>
      <c r="D44" s="661">
        <v>44882</v>
      </c>
      <c r="E44" s="661" t="s">
        <v>1324</v>
      </c>
      <c r="F44" s="663" t="s">
        <v>1309</v>
      </c>
      <c r="G44" s="664">
        <v>200</v>
      </c>
      <c r="H44" s="665" t="s">
        <v>1301</v>
      </c>
      <c r="I44" s="668"/>
      <c r="J44" s="669"/>
    </row>
    <row r="45" spans="1:10" s="659" customFormat="1" ht="31.2" x14ac:dyDescent="0.3">
      <c r="A45" s="659">
        <v>38</v>
      </c>
      <c r="B45" s="660">
        <v>1547995</v>
      </c>
      <c r="C45" s="661">
        <v>44894</v>
      </c>
      <c r="D45" s="661">
        <v>44882</v>
      </c>
      <c r="E45" s="661" t="s">
        <v>1324</v>
      </c>
      <c r="F45" s="663" t="s">
        <v>1309</v>
      </c>
      <c r="G45" s="664">
        <v>200</v>
      </c>
      <c r="H45" s="665" t="s">
        <v>1301</v>
      </c>
      <c r="I45" s="674">
        <v>44924</v>
      </c>
      <c r="J45" s="677" t="s">
        <v>1327</v>
      </c>
    </row>
    <row r="46" spans="1:10" s="659" customFormat="1" ht="31.2" x14ac:dyDescent="0.3">
      <c r="A46" s="659">
        <v>39</v>
      </c>
      <c r="B46" s="660">
        <v>1546529</v>
      </c>
      <c r="C46" s="661">
        <v>44609</v>
      </c>
      <c r="D46" s="661">
        <v>44615</v>
      </c>
      <c r="E46" s="661" t="s">
        <v>1328</v>
      </c>
      <c r="F46" s="663" t="s">
        <v>1323</v>
      </c>
      <c r="G46" s="664">
        <v>24908.83</v>
      </c>
      <c r="H46" s="665" t="s">
        <v>1329</v>
      </c>
      <c r="I46" s="668"/>
      <c r="J46" s="669"/>
    </row>
    <row r="47" spans="1:10" s="659" customFormat="1" ht="16.2" thickBot="1" x14ac:dyDescent="0.35">
      <c r="A47" s="659">
        <v>40</v>
      </c>
      <c r="B47" s="660">
        <v>1609659</v>
      </c>
      <c r="C47" s="661">
        <v>44910</v>
      </c>
      <c r="D47" s="661">
        <v>44910</v>
      </c>
      <c r="E47" s="660" t="s">
        <v>1328</v>
      </c>
      <c r="F47" s="663" t="s">
        <v>1330</v>
      </c>
      <c r="G47" s="664">
        <v>3140</v>
      </c>
      <c r="H47" s="665" t="s">
        <v>1293</v>
      </c>
      <c r="I47" s="682"/>
      <c r="J47" s="683"/>
    </row>
    <row r="48" spans="1:10" s="659" customFormat="1" ht="31.2" x14ac:dyDescent="0.3">
      <c r="A48" s="659">
        <v>41</v>
      </c>
      <c r="B48" s="660">
        <v>1547554</v>
      </c>
      <c r="C48" s="661">
        <v>44874</v>
      </c>
      <c r="D48" s="661">
        <v>44888</v>
      </c>
      <c r="E48" s="661" t="s">
        <v>1331</v>
      </c>
      <c r="F48" s="663" t="s">
        <v>1290</v>
      </c>
      <c r="G48" s="664">
        <v>114141.55</v>
      </c>
      <c r="H48" s="665" t="s">
        <v>1315</v>
      </c>
      <c r="I48" s="684"/>
      <c r="J48" s="685"/>
    </row>
    <row r="49" spans="1:10" s="686" customFormat="1" ht="31.2" x14ac:dyDescent="0.3">
      <c r="A49" s="659">
        <v>42</v>
      </c>
      <c r="B49" s="660">
        <v>1547565</v>
      </c>
      <c r="C49" s="661">
        <v>44893</v>
      </c>
      <c r="D49" s="661">
        <v>44890</v>
      </c>
      <c r="E49" s="661" t="s">
        <v>1331</v>
      </c>
      <c r="F49" s="663" t="s">
        <v>1332</v>
      </c>
      <c r="G49" s="664">
        <v>500</v>
      </c>
      <c r="H49" s="665" t="s">
        <v>1301</v>
      </c>
      <c r="I49" s="684"/>
      <c r="J49" s="685"/>
    </row>
    <row r="50" spans="1:10" s="686" customFormat="1" ht="31.2" x14ac:dyDescent="0.3">
      <c r="A50" s="659">
        <v>43</v>
      </c>
      <c r="B50" s="660">
        <v>1506480</v>
      </c>
      <c r="C50" s="661">
        <v>44607</v>
      </c>
      <c r="D50" s="661">
        <v>44613</v>
      </c>
      <c r="E50" s="661" t="s">
        <v>1333</v>
      </c>
      <c r="F50" s="663" t="s">
        <v>1334</v>
      </c>
      <c r="G50" s="664">
        <v>3686343.44</v>
      </c>
      <c r="H50" s="665" t="s">
        <v>1335</v>
      </c>
      <c r="I50" s="684"/>
      <c r="J50" s="687"/>
    </row>
    <row r="51" spans="1:10" s="141" customFormat="1" x14ac:dyDescent="0.3">
      <c r="B51" s="3"/>
      <c r="C51" s="147"/>
      <c r="D51" s="148"/>
      <c r="E51" s="148"/>
      <c r="F51" s="149"/>
      <c r="G51" s="150"/>
      <c r="H51" s="151"/>
      <c r="I51" s="152"/>
    </row>
    <row r="52" spans="1:10" s="141" customFormat="1" x14ac:dyDescent="0.3">
      <c r="B52" s="3"/>
      <c r="C52" s="153"/>
      <c r="D52" s="154"/>
      <c r="E52" s="154"/>
      <c r="F52" s="149"/>
      <c r="G52" s="155"/>
      <c r="H52" s="156"/>
      <c r="I52" s="152"/>
    </row>
    <row r="53" spans="1:10" s="141" customFormat="1" x14ac:dyDescent="0.3">
      <c r="B53" s="2"/>
      <c r="C53" s="2"/>
      <c r="D53" s="2"/>
      <c r="E53" s="157"/>
      <c r="F53" s="149"/>
      <c r="G53" s="158"/>
      <c r="H53" s="159"/>
      <c r="I53" s="152"/>
    </row>
    <row r="54" spans="1:10" s="141" customFormat="1" x14ac:dyDescent="0.3">
      <c r="B54" s="1"/>
      <c r="C54" s="1"/>
      <c r="D54" s="1"/>
      <c r="E54" s="1"/>
      <c r="F54" s="149"/>
      <c r="G54" s="1"/>
      <c r="H54" s="160"/>
      <c r="I54" s="152"/>
    </row>
    <row r="55" spans="1:10" s="141" customFormat="1" x14ac:dyDescent="0.3">
      <c r="B55" s="153"/>
      <c r="C55" s="153"/>
      <c r="D55" s="153"/>
      <c r="E55" s="153"/>
      <c r="F55" s="149"/>
      <c r="G55" s="161"/>
      <c r="H55" s="162"/>
      <c r="I55" s="152"/>
    </row>
    <row r="56" spans="1:10" s="141" customFormat="1" x14ac:dyDescent="0.3">
      <c r="B56" s="153"/>
      <c r="C56" s="153"/>
      <c r="D56" s="153"/>
      <c r="E56" s="153"/>
      <c r="F56" s="149"/>
      <c r="G56" s="161"/>
      <c r="H56" s="162"/>
      <c r="I56" s="152"/>
    </row>
    <row r="57" spans="1:10" s="141" customFormat="1" x14ac:dyDescent="0.3">
      <c r="B57" s="153"/>
      <c r="C57" s="163"/>
      <c r="D57" s="153"/>
      <c r="E57" s="153"/>
      <c r="F57" s="149"/>
      <c r="G57" s="161"/>
      <c r="H57" s="162"/>
      <c r="I57" s="152"/>
    </row>
    <row r="58" spans="1:10" s="141" customFormat="1" x14ac:dyDescent="0.3">
      <c r="B58" s="153"/>
      <c r="C58" s="163"/>
      <c r="D58" s="153"/>
      <c r="E58" s="153"/>
      <c r="F58" s="149"/>
      <c r="G58" s="161"/>
      <c r="H58" s="162"/>
      <c r="I58" s="152"/>
    </row>
    <row r="59" spans="1:10" s="141" customFormat="1" x14ac:dyDescent="0.3">
      <c r="B59" s="153"/>
      <c r="C59" s="163"/>
      <c r="D59" s="153"/>
      <c r="E59" s="153"/>
      <c r="F59" s="149"/>
      <c r="G59" s="161"/>
      <c r="H59" s="162"/>
      <c r="I59" s="152"/>
    </row>
    <row r="60" spans="1:10" s="141" customFormat="1" x14ac:dyDescent="0.3">
      <c r="B60" s="153"/>
      <c r="C60" s="163"/>
      <c r="D60" s="153"/>
      <c r="E60" s="153"/>
      <c r="F60" s="149"/>
      <c r="G60" s="161"/>
      <c r="H60" s="162"/>
      <c r="I60" s="152"/>
    </row>
    <row r="61" spans="1:10" s="141" customFormat="1" x14ac:dyDescent="0.3">
      <c r="B61" s="153"/>
      <c r="C61" s="153"/>
      <c r="D61" s="153"/>
      <c r="E61" s="153"/>
      <c r="F61" s="164"/>
      <c r="G61" s="161"/>
      <c r="H61" s="162"/>
      <c r="I61" s="152"/>
    </row>
    <row r="62" spans="1:10" s="141" customFormat="1" x14ac:dyDescent="0.3">
      <c r="B62" s="157"/>
      <c r="C62" s="157"/>
      <c r="D62" s="157"/>
      <c r="E62" s="157"/>
      <c r="F62" s="9"/>
      <c r="G62" s="157"/>
      <c r="H62" s="165"/>
      <c r="I62" s="166"/>
    </row>
    <row r="63" spans="1:10" s="141" customFormat="1" x14ac:dyDescent="0.3">
      <c r="B63" s="157"/>
      <c r="C63" s="157"/>
      <c r="D63" s="157"/>
      <c r="E63" s="157"/>
      <c r="F63" s="167"/>
      <c r="G63" s="157"/>
      <c r="H63" s="165"/>
      <c r="I63" s="166"/>
    </row>
    <row r="64" spans="1:10" s="141" customFormat="1" x14ac:dyDescent="0.3">
      <c r="B64" s="157"/>
      <c r="C64" s="157"/>
      <c r="D64" s="157"/>
      <c r="E64" s="157"/>
      <c r="F64" s="164"/>
      <c r="G64" s="157"/>
      <c r="H64" s="165"/>
      <c r="I64" s="166"/>
    </row>
    <row r="65" spans="2:9" s="141" customFormat="1" x14ac:dyDescent="0.3">
      <c r="B65" s="11"/>
      <c r="C65" s="11"/>
      <c r="D65" s="11"/>
      <c r="E65" s="11"/>
      <c r="F65" s="164"/>
      <c r="G65" s="140"/>
      <c r="H65" s="168"/>
      <c r="I65" s="166"/>
    </row>
    <row r="66" spans="2:9" s="141" customFormat="1" x14ac:dyDescent="0.3">
      <c r="B66" s="11"/>
      <c r="C66" s="11"/>
      <c r="D66" s="11"/>
      <c r="E66" s="11"/>
      <c r="F66" s="169"/>
      <c r="G66" s="140"/>
      <c r="H66" s="168"/>
      <c r="I66" s="166"/>
    </row>
    <row r="67" spans="2:9" s="141" customFormat="1" x14ac:dyDescent="0.3">
      <c r="B67" s="11"/>
      <c r="C67" s="11"/>
      <c r="D67" s="11"/>
      <c r="E67" s="11"/>
      <c r="F67" s="138"/>
      <c r="G67" s="140"/>
      <c r="H67" s="168"/>
      <c r="I67" s="166"/>
    </row>
    <row r="68" spans="2:9" s="141" customFormat="1" x14ac:dyDescent="0.3">
      <c r="B68" s="11"/>
      <c r="C68" s="11"/>
      <c r="D68" s="11"/>
      <c r="E68" s="11"/>
      <c r="F68" s="167"/>
      <c r="G68" s="140"/>
      <c r="H68" s="168"/>
      <c r="I68" s="166"/>
    </row>
    <row r="69" spans="2:9" s="141" customFormat="1" x14ac:dyDescent="0.3">
      <c r="B69" s="11"/>
      <c r="C69" s="11"/>
      <c r="D69" s="11"/>
      <c r="E69" s="11"/>
      <c r="F69" s="9"/>
      <c r="G69" s="140"/>
      <c r="H69" s="168"/>
      <c r="I69" s="166"/>
    </row>
    <row r="70" spans="2:9" s="141" customFormat="1" x14ac:dyDescent="0.3">
      <c r="B70" s="11"/>
      <c r="C70" s="11"/>
      <c r="D70" s="11"/>
      <c r="E70" s="11"/>
      <c r="F70" s="9"/>
      <c r="G70" s="140"/>
      <c r="H70" s="168"/>
      <c r="I70" s="166"/>
    </row>
    <row r="71" spans="2:9" s="141" customFormat="1" x14ac:dyDescent="0.3">
      <c r="B71" s="3"/>
      <c r="C71" s="170"/>
      <c r="D71" s="170"/>
      <c r="E71" s="170"/>
      <c r="F71" s="9"/>
      <c r="G71" s="171"/>
      <c r="H71" s="172"/>
      <c r="I71" s="166"/>
    </row>
    <row r="72" spans="2:9" s="141" customFormat="1" x14ac:dyDescent="0.3">
      <c r="F72" s="9"/>
      <c r="H72" s="173"/>
      <c r="I72" s="166"/>
    </row>
    <row r="73" spans="2:9" s="141" customFormat="1" x14ac:dyDescent="0.3">
      <c r="F73" s="138"/>
      <c r="H73" s="173"/>
      <c r="I73" s="166"/>
    </row>
    <row r="74" spans="2:9" s="141" customFormat="1" x14ac:dyDescent="0.3">
      <c r="F74" s="138"/>
      <c r="H74" s="173"/>
      <c r="I74" s="166"/>
    </row>
    <row r="75" spans="2:9" s="141" customFormat="1" x14ac:dyDescent="0.3">
      <c r="F75" s="138"/>
      <c r="H75" s="173"/>
      <c r="I75" s="166"/>
    </row>
    <row r="76" spans="2:9" s="141" customFormat="1" x14ac:dyDescent="0.3">
      <c r="F76" s="9"/>
      <c r="H76" s="173"/>
      <c r="I76" s="166"/>
    </row>
    <row r="77" spans="2:9" s="141" customFormat="1" x14ac:dyDescent="0.3">
      <c r="F77" s="9"/>
      <c r="H77" s="173"/>
      <c r="I77" s="166"/>
    </row>
    <row r="78" spans="2:9" s="141" customFormat="1" x14ac:dyDescent="0.3">
      <c r="F78" s="9"/>
      <c r="H78" s="173"/>
      <c r="I78" s="166"/>
    </row>
    <row r="79" spans="2:9" s="141" customFormat="1" x14ac:dyDescent="0.3">
      <c r="B79" s="1"/>
      <c r="C79" s="1"/>
      <c r="D79" s="1"/>
      <c r="E79" s="1"/>
      <c r="F79" s="9"/>
      <c r="G79" s="1"/>
      <c r="H79" s="167"/>
      <c r="I79" s="166"/>
    </row>
    <row r="80" spans="2:9" s="141" customFormat="1" x14ac:dyDescent="0.3">
      <c r="B80" s="139"/>
      <c r="C80" s="170"/>
      <c r="D80" s="170"/>
      <c r="E80" s="170"/>
      <c r="F80" s="9"/>
      <c r="G80" s="171"/>
      <c r="H80" s="172"/>
      <c r="I80" s="166"/>
    </row>
    <row r="81" spans="2:9" s="141" customFormat="1" x14ac:dyDescent="0.3">
      <c r="B81" s="153"/>
      <c r="C81" s="154"/>
      <c r="D81" s="154"/>
      <c r="E81" s="154"/>
      <c r="F81" s="9"/>
      <c r="G81" s="174"/>
      <c r="H81" s="175"/>
      <c r="I81" s="166"/>
    </row>
    <row r="82" spans="2:9" s="141" customFormat="1" x14ac:dyDescent="0.3">
      <c r="F82" s="176"/>
      <c r="H82" s="173"/>
      <c r="I82" s="166"/>
    </row>
    <row r="83" spans="2:9" s="141" customFormat="1" x14ac:dyDescent="0.3">
      <c r="F83" s="9"/>
      <c r="H83" s="173"/>
      <c r="I83" s="166"/>
    </row>
    <row r="84" spans="2:9" s="141" customFormat="1" x14ac:dyDescent="0.3">
      <c r="F84" s="9"/>
      <c r="H84" s="173"/>
      <c r="I84" s="166"/>
    </row>
    <row r="85" spans="2:9" s="141" customFormat="1" x14ac:dyDescent="0.3">
      <c r="B85" s="139"/>
      <c r="C85" s="177"/>
      <c r="D85" s="177"/>
      <c r="E85" s="177"/>
      <c r="F85" s="9"/>
      <c r="G85" s="178"/>
      <c r="H85" s="160"/>
      <c r="I85" s="166"/>
    </row>
    <row r="86" spans="2:9" s="141" customFormat="1" x14ac:dyDescent="0.3">
      <c r="B86" s="179"/>
      <c r="C86" s="180"/>
      <c r="D86" s="180"/>
      <c r="E86" s="180"/>
      <c r="F86" s="9"/>
      <c r="G86" s="181"/>
      <c r="H86" s="160"/>
      <c r="I86" s="166"/>
    </row>
    <row r="87" spans="2:9" s="141" customFormat="1" x14ac:dyDescent="0.3">
      <c r="B87" s="179"/>
      <c r="C87" s="180"/>
      <c r="D87" s="180"/>
      <c r="E87" s="180"/>
      <c r="F87" s="9"/>
      <c r="G87" s="182"/>
      <c r="H87" s="160"/>
      <c r="I87" s="166"/>
    </row>
    <row r="88" spans="2:9" s="141" customFormat="1" x14ac:dyDescent="0.3">
      <c r="B88" s="179"/>
      <c r="C88" s="180"/>
      <c r="D88" s="180"/>
      <c r="E88" s="180"/>
      <c r="F88" s="9"/>
      <c r="G88" s="182"/>
      <c r="H88" s="183"/>
      <c r="I88" s="166"/>
    </row>
    <row r="89" spans="2:9" s="141" customFormat="1" x14ac:dyDescent="0.3">
      <c r="B89" s="139"/>
      <c r="C89" s="177"/>
      <c r="D89" s="177"/>
      <c r="E89" s="177"/>
      <c r="F89" s="9"/>
      <c r="G89" s="178"/>
      <c r="H89" s="160"/>
      <c r="I89" s="166"/>
    </row>
    <row r="90" spans="2:9" s="141" customFormat="1" x14ac:dyDescent="0.3">
      <c r="B90" s="139"/>
      <c r="C90" s="177"/>
      <c r="D90" s="177"/>
      <c r="E90" s="177"/>
      <c r="F90" s="167"/>
      <c r="G90" s="178"/>
      <c r="H90" s="160"/>
      <c r="I90" s="166"/>
    </row>
    <row r="91" spans="2:9" s="141" customFormat="1" x14ac:dyDescent="0.3">
      <c r="B91" s="139"/>
      <c r="C91" s="177"/>
      <c r="D91" s="177"/>
      <c r="E91" s="177"/>
      <c r="F91" s="176"/>
      <c r="G91" s="178"/>
      <c r="H91" s="160"/>
      <c r="I91" s="166"/>
    </row>
    <row r="92" spans="2:9" s="141" customFormat="1" x14ac:dyDescent="0.3">
      <c r="B92" s="139"/>
      <c r="C92" s="177"/>
      <c r="D92" s="177"/>
      <c r="E92" s="177"/>
      <c r="F92" s="169"/>
      <c r="G92" s="178"/>
      <c r="H92" s="160"/>
      <c r="I92" s="166"/>
    </row>
    <row r="93" spans="2:9" s="141" customFormat="1" x14ac:dyDescent="0.3">
      <c r="B93" s="1"/>
      <c r="C93" s="1"/>
      <c r="D93" s="1"/>
      <c r="E93" s="1"/>
      <c r="F93" s="9"/>
      <c r="G93" s="1"/>
      <c r="H93" s="167"/>
      <c r="I93" s="166"/>
    </row>
    <row r="94" spans="2:9" s="141" customFormat="1" x14ac:dyDescent="0.3">
      <c r="B94" s="1"/>
      <c r="C94" s="1"/>
      <c r="D94" s="1"/>
      <c r="E94" s="1"/>
      <c r="F94" s="9"/>
      <c r="G94" s="1"/>
      <c r="H94" s="167"/>
      <c r="I94" s="166"/>
    </row>
    <row r="95" spans="2:9" s="141" customFormat="1" x14ac:dyDescent="0.3">
      <c r="B95" s="1"/>
      <c r="C95" s="1"/>
      <c r="D95" s="1"/>
      <c r="E95" s="1"/>
      <c r="F95" s="9"/>
      <c r="G95" s="3"/>
      <c r="H95" s="179"/>
      <c r="I95" s="166"/>
    </row>
    <row r="96" spans="2:9" s="141" customFormat="1" x14ac:dyDescent="0.3">
      <c r="B96" s="1"/>
      <c r="C96" s="1"/>
      <c r="D96" s="1"/>
      <c r="E96" s="1"/>
      <c r="F96" s="167"/>
      <c r="G96" s="3"/>
      <c r="H96" s="179"/>
      <c r="I96" s="166"/>
    </row>
    <row r="97" spans="2:10" s="141" customFormat="1" x14ac:dyDescent="0.3">
      <c r="B97" s="1"/>
      <c r="C97" s="1"/>
      <c r="D97" s="1"/>
      <c r="E97" s="1"/>
      <c r="F97" s="167"/>
      <c r="G97" s="3"/>
      <c r="H97" s="179"/>
      <c r="I97" s="166"/>
    </row>
    <row r="98" spans="2:10" x14ac:dyDescent="0.3">
      <c r="B98" s="1"/>
      <c r="C98" s="1"/>
      <c r="D98" s="1"/>
      <c r="E98" s="1"/>
      <c r="F98" s="167"/>
      <c r="G98" s="139"/>
      <c r="H98" s="179"/>
      <c r="I98" s="166"/>
    </row>
    <row r="99" spans="2:10" x14ac:dyDescent="0.3">
      <c r="B99" s="1"/>
      <c r="C99" s="1"/>
      <c r="D99" s="1"/>
      <c r="E99" s="1"/>
      <c r="F99" s="167"/>
      <c r="G99" s="139"/>
      <c r="H99" s="179"/>
      <c r="I99" s="166"/>
    </row>
    <row r="100" spans="2:10" x14ac:dyDescent="0.3">
      <c r="B100" s="1"/>
      <c r="C100" s="1"/>
      <c r="D100" s="1"/>
      <c r="E100" s="1"/>
      <c r="F100" s="167"/>
      <c r="G100" s="3"/>
      <c r="H100" s="179"/>
      <c r="I100" s="166"/>
    </row>
    <row r="101" spans="2:10" x14ac:dyDescent="0.3">
      <c r="B101" s="1"/>
      <c r="C101" s="1"/>
      <c r="D101" s="1"/>
      <c r="E101" s="1"/>
      <c r="F101" s="167"/>
      <c r="G101" s="139"/>
      <c r="H101" s="179"/>
      <c r="I101" s="166"/>
    </row>
    <row r="102" spans="2:10" x14ac:dyDescent="0.3">
      <c r="B102" s="1"/>
      <c r="C102" s="1"/>
      <c r="D102" s="1"/>
      <c r="E102" s="1"/>
      <c r="F102" s="167"/>
      <c r="G102" s="139"/>
      <c r="H102" s="179"/>
      <c r="I102" s="166"/>
    </row>
    <row r="103" spans="2:10" x14ac:dyDescent="0.3">
      <c r="B103" s="1"/>
      <c r="C103" s="1"/>
      <c r="D103" s="1"/>
      <c r="E103" s="1"/>
      <c r="F103" s="167"/>
      <c r="G103" s="139"/>
      <c r="H103" s="179"/>
      <c r="I103" s="166"/>
    </row>
    <row r="104" spans="2:10" x14ac:dyDescent="0.3">
      <c r="B104" s="1"/>
      <c r="C104" s="1"/>
      <c r="D104" s="1"/>
      <c r="E104" s="1"/>
      <c r="F104" s="167"/>
      <c r="G104" s="139"/>
      <c r="H104" s="179"/>
      <c r="I104" s="166"/>
    </row>
    <row r="105" spans="2:10" x14ac:dyDescent="0.3">
      <c r="F105" s="167"/>
      <c r="G105" s="139"/>
      <c r="H105" s="179"/>
      <c r="I105" s="166"/>
    </row>
    <row r="106" spans="2:10" x14ac:dyDescent="0.3">
      <c r="F106" s="167"/>
      <c r="G106" s="139"/>
      <c r="H106" s="179"/>
      <c r="I106" s="166"/>
    </row>
    <row r="107" spans="2:10" x14ac:dyDescent="0.3">
      <c r="F107" s="167"/>
      <c r="G107" s="139"/>
      <c r="H107" s="179"/>
    </row>
    <row r="108" spans="2:10" s="9" customFormat="1" x14ac:dyDescent="0.3">
      <c r="B108" s="11"/>
      <c r="C108" s="11"/>
      <c r="D108" s="11"/>
      <c r="E108" s="11"/>
      <c r="F108" s="167"/>
      <c r="G108" s="139"/>
      <c r="H108" s="168"/>
      <c r="I108" s="168"/>
      <c r="J108" s="173"/>
    </row>
    <row r="109" spans="2:10" s="9" customFormat="1" x14ac:dyDescent="0.3">
      <c r="B109" s="11"/>
      <c r="C109" s="11"/>
      <c r="D109" s="11"/>
      <c r="E109" s="11"/>
      <c r="F109" s="167"/>
      <c r="G109" s="139"/>
      <c r="H109" s="168"/>
      <c r="I109" s="168"/>
      <c r="J109" s="173"/>
    </row>
    <row r="110" spans="2:10" s="9" customFormat="1" x14ac:dyDescent="0.3">
      <c r="B110" s="11"/>
      <c r="C110" s="11"/>
      <c r="D110" s="11"/>
      <c r="E110" s="11"/>
      <c r="F110" s="167"/>
      <c r="G110" s="140"/>
      <c r="H110" s="168"/>
      <c r="I110" s="168"/>
      <c r="J110" s="173"/>
    </row>
    <row r="111" spans="2:10" x14ac:dyDescent="0.3">
      <c r="F111" s="167"/>
    </row>
    <row r="112" spans="2:10" s="141" customFormat="1" x14ac:dyDescent="0.3">
      <c r="B112" s="11"/>
      <c r="C112" s="11"/>
      <c r="D112" s="11"/>
      <c r="E112" s="11"/>
      <c r="F112" s="167"/>
      <c r="G112" s="140"/>
      <c r="H112" s="168"/>
      <c r="I112" s="140"/>
    </row>
    <row r="113" spans="2:9" s="141" customFormat="1" x14ac:dyDescent="0.3">
      <c r="B113" s="11"/>
      <c r="C113" s="11"/>
      <c r="D113" s="11"/>
      <c r="E113" s="11"/>
      <c r="F113" s="167"/>
      <c r="G113" s="140"/>
      <c r="H113" s="168"/>
      <c r="I113" s="140"/>
    </row>
    <row r="114" spans="2:9" s="141" customFormat="1" x14ac:dyDescent="0.3">
      <c r="B114" s="11"/>
      <c r="C114" s="11"/>
      <c r="D114" s="11"/>
      <c r="E114" s="11"/>
      <c r="F114" s="167"/>
      <c r="G114" s="140"/>
      <c r="H114" s="168"/>
      <c r="I114" s="140"/>
    </row>
    <row r="115" spans="2:9" s="141" customFormat="1" x14ac:dyDescent="0.3">
      <c r="B115" s="11"/>
      <c r="C115" s="11"/>
      <c r="D115" s="11"/>
      <c r="E115" s="11"/>
      <c r="F115" s="167"/>
      <c r="G115" s="140"/>
      <c r="H115" s="168"/>
      <c r="I115" s="140"/>
    </row>
    <row r="116" spans="2:9" s="141" customFormat="1" x14ac:dyDescent="0.3">
      <c r="B116" s="11"/>
      <c r="C116" s="11"/>
      <c r="D116" s="11"/>
      <c r="E116" s="11"/>
      <c r="F116" s="9"/>
      <c r="G116" s="140"/>
      <c r="H116" s="168"/>
      <c r="I116" s="140"/>
    </row>
    <row r="117" spans="2:9" s="141" customFormat="1" x14ac:dyDescent="0.3">
      <c r="B117" s="11"/>
      <c r="C117" s="11"/>
      <c r="D117" s="11"/>
      <c r="E117" s="11"/>
      <c r="F117" s="9"/>
      <c r="G117" s="140"/>
      <c r="H117" s="168"/>
      <c r="I117" s="140"/>
    </row>
    <row r="118" spans="2:9" s="141" customFormat="1" x14ac:dyDescent="0.3">
      <c r="B118" s="11"/>
      <c r="C118" s="11"/>
      <c r="D118" s="11"/>
      <c r="E118" s="11"/>
      <c r="F118" s="9"/>
      <c r="G118" s="140"/>
      <c r="H118" s="168"/>
      <c r="I118" s="140"/>
    </row>
    <row r="119" spans="2:9" s="141" customFormat="1" x14ac:dyDescent="0.3">
      <c r="B119" s="11"/>
      <c r="C119" s="11"/>
      <c r="D119" s="11"/>
      <c r="E119" s="11"/>
      <c r="F119" s="9"/>
      <c r="G119" s="140"/>
      <c r="H119" s="168"/>
      <c r="I119" s="140"/>
    </row>
    <row r="120" spans="2:9" s="141" customFormat="1" x14ac:dyDescent="0.3">
      <c r="B120" s="11"/>
      <c r="C120" s="11"/>
      <c r="D120" s="11"/>
      <c r="E120" s="11"/>
      <c r="F120" s="9"/>
      <c r="G120" s="140"/>
      <c r="H120" s="168"/>
      <c r="I120" s="140"/>
    </row>
    <row r="121" spans="2:9" s="141" customFormat="1" x14ac:dyDescent="0.3">
      <c r="B121" s="11"/>
      <c r="C121" s="11"/>
      <c r="D121" s="11"/>
      <c r="E121" s="11"/>
      <c r="F121" s="9"/>
      <c r="G121" s="140"/>
      <c r="H121" s="168"/>
      <c r="I121" s="140"/>
    </row>
    <row r="122" spans="2:9" s="141" customFormat="1" x14ac:dyDescent="0.3">
      <c r="B122" s="11"/>
      <c r="C122" s="11"/>
      <c r="D122" s="11"/>
      <c r="E122" s="11"/>
      <c r="F122" s="9"/>
      <c r="G122" s="140"/>
      <c r="H122" s="168"/>
      <c r="I122" s="140"/>
    </row>
    <row r="123" spans="2:9" s="141" customFormat="1" x14ac:dyDescent="0.3">
      <c r="B123" s="11"/>
      <c r="C123" s="11"/>
      <c r="D123" s="11"/>
      <c r="E123" s="11"/>
      <c r="F123" s="9"/>
      <c r="G123" s="140"/>
      <c r="H123" s="168"/>
      <c r="I123" s="140"/>
    </row>
    <row r="124" spans="2:9" s="141" customFormat="1" x14ac:dyDescent="0.3">
      <c r="B124" s="11"/>
      <c r="C124" s="11"/>
      <c r="D124" s="11"/>
      <c r="E124" s="11"/>
      <c r="F124" s="9"/>
      <c r="G124" s="140"/>
      <c r="H124" s="168"/>
      <c r="I124" s="140"/>
    </row>
    <row r="125" spans="2:9" s="141" customFormat="1" x14ac:dyDescent="0.3">
      <c r="B125" s="11"/>
      <c r="C125" s="11"/>
      <c r="D125" s="11"/>
      <c r="E125" s="11"/>
      <c r="F125" s="9"/>
      <c r="G125" s="140"/>
      <c r="H125" s="168"/>
      <c r="I125" s="140"/>
    </row>
    <row r="126" spans="2:9" s="141" customFormat="1" x14ac:dyDescent="0.3">
      <c r="B126" s="11"/>
      <c r="C126" s="11"/>
      <c r="D126" s="11"/>
      <c r="E126" s="11"/>
      <c r="F126" s="9"/>
      <c r="G126" s="140"/>
      <c r="H126" s="168"/>
      <c r="I126" s="140"/>
    </row>
    <row r="127" spans="2:9" s="141" customFormat="1" x14ac:dyDescent="0.3">
      <c r="B127" s="11"/>
      <c r="C127" s="11"/>
      <c r="D127" s="11"/>
      <c r="E127" s="11"/>
      <c r="F127" s="9"/>
      <c r="G127" s="140"/>
      <c r="H127" s="168"/>
      <c r="I127" s="166"/>
    </row>
    <row r="128" spans="2:9" s="141" customFormat="1" x14ac:dyDescent="0.3">
      <c r="B128" s="11"/>
      <c r="C128" s="11"/>
      <c r="D128" s="11"/>
      <c r="E128" s="11"/>
      <c r="F128" s="9"/>
      <c r="G128" s="140"/>
      <c r="H128" s="168"/>
      <c r="I128" s="166"/>
    </row>
    <row r="129" spans="2:10" s="141" customFormat="1" x14ac:dyDescent="0.3">
      <c r="B129" s="11"/>
      <c r="C129" s="11"/>
      <c r="D129" s="11"/>
      <c r="E129" s="11"/>
      <c r="F129" s="9"/>
      <c r="G129" s="140"/>
      <c r="H129" s="168"/>
      <c r="I129" s="166"/>
    </row>
    <row r="130" spans="2:10" s="141" customFormat="1" x14ac:dyDescent="0.3">
      <c r="B130" s="11"/>
      <c r="C130" s="11"/>
      <c r="D130" s="11"/>
      <c r="E130" s="11"/>
      <c r="F130" s="9"/>
      <c r="G130" s="140"/>
      <c r="H130" s="168"/>
      <c r="I130" s="166"/>
    </row>
    <row r="131" spans="2:10" s="141" customFormat="1" x14ac:dyDescent="0.3">
      <c r="B131" s="11"/>
      <c r="C131" s="11"/>
      <c r="D131" s="11"/>
      <c r="E131" s="11"/>
      <c r="F131" s="9"/>
      <c r="G131" s="140"/>
      <c r="H131" s="168"/>
      <c r="I131" s="166"/>
    </row>
    <row r="132" spans="2:10" s="141" customFormat="1" x14ac:dyDescent="0.3">
      <c r="B132" s="11"/>
      <c r="C132" s="11"/>
      <c r="D132" s="11"/>
      <c r="E132" s="11"/>
      <c r="F132" s="9"/>
      <c r="G132" s="140"/>
      <c r="H132" s="168"/>
      <c r="I132" s="166"/>
    </row>
    <row r="133" spans="2:10" s="141" customFormat="1" x14ac:dyDescent="0.3">
      <c r="B133" s="11"/>
      <c r="C133" s="11"/>
      <c r="D133" s="11"/>
      <c r="E133" s="11"/>
      <c r="F133" s="9"/>
      <c r="G133" s="140"/>
      <c r="H133" s="168"/>
      <c r="I133" s="166"/>
    </row>
    <row r="134" spans="2:10" s="141" customFormat="1" x14ac:dyDescent="0.3">
      <c r="B134" s="11"/>
      <c r="C134" s="11"/>
      <c r="D134" s="11"/>
      <c r="E134" s="11"/>
      <c r="F134" s="9"/>
      <c r="G134" s="140"/>
      <c r="H134" s="168"/>
      <c r="I134" s="166"/>
    </row>
    <row r="135" spans="2:10" s="141" customFormat="1" x14ac:dyDescent="0.3">
      <c r="B135" s="11"/>
      <c r="C135" s="11"/>
      <c r="D135" s="11"/>
      <c r="E135" s="11"/>
      <c r="F135" s="9"/>
      <c r="G135" s="140"/>
      <c r="H135" s="168"/>
      <c r="I135" s="166"/>
    </row>
    <row r="136" spans="2:10" s="141" customFormat="1" x14ac:dyDescent="0.3">
      <c r="B136" s="11"/>
      <c r="C136" s="11"/>
      <c r="D136" s="11"/>
      <c r="E136" s="11"/>
      <c r="F136" s="9"/>
      <c r="G136" s="140"/>
      <c r="H136" s="168"/>
      <c r="I136" s="166"/>
    </row>
    <row r="137" spans="2:10" s="141" customFormat="1" x14ac:dyDescent="0.3">
      <c r="B137" s="11"/>
      <c r="C137" s="11"/>
      <c r="D137" s="11"/>
      <c r="E137" s="11"/>
      <c r="F137" s="9"/>
      <c r="G137" s="140"/>
      <c r="H137" s="168"/>
      <c r="I137" s="140"/>
    </row>
    <row r="138" spans="2:10" s="141" customFormat="1" x14ac:dyDescent="0.3">
      <c r="B138" s="11"/>
      <c r="C138" s="11"/>
      <c r="D138" s="11"/>
      <c r="E138" s="11"/>
      <c r="F138" s="9"/>
      <c r="G138" s="140"/>
      <c r="H138" s="168"/>
      <c r="I138" s="140"/>
    </row>
    <row r="139" spans="2:10" s="141" customFormat="1" x14ac:dyDescent="0.3">
      <c r="B139" s="11"/>
      <c r="C139" s="11"/>
      <c r="D139" s="11"/>
      <c r="E139" s="11"/>
      <c r="F139" s="9"/>
      <c r="G139" s="140"/>
      <c r="H139" s="168"/>
      <c r="I139" s="166"/>
    </row>
    <row r="140" spans="2:10" s="141" customFormat="1" x14ac:dyDescent="0.3">
      <c r="B140" s="11"/>
      <c r="C140" s="11"/>
      <c r="D140" s="11"/>
      <c r="E140" s="11"/>
      <c r="F140" s="9"/>
      <c r="G140" s="140"/>
      <c r="H140" s="168"/>
      <c r="I140" s="166"/>
    </row>
    <row r="141" spans="2:10" s="141" customFormat="1" x14ac:dyDescent="0.3">
      <c r="B141" s="11"/>
      <c r="C141" s="11"/>
      <c r="D141" s="11"/>
      <c r="E141" s="11"/>
      <c r="F141" s="9"/>
      <c r="G141" s="140"/>
      <c r="H141" s="168"/>
      <c r="I141" s="166"/>
    </row>
    <row r="142" spans="2:10" s="141" customFormat="1" x14ac:dyDescent="0.3">
      <c r="B142" s="11"/>
      <c r="C142" s="11"/>
      <c r="D142" s="11"/>
      <c r="E142" s="11"/>
      <c r="F142" s="9"/>
      <c r="G142" s="140"/>
      <c r="H142" s="168"/>
      <c r="I142" s="140"/>
    </row>
    <row r="143" spans="2:10" x14ac:dyDescent="0.3">
      <c r="I143" s="184"/>
      <c r="J143" s="3"/>
    </row>
    <row r="144" spans="2:10" x14ac:dyDescent="0.3">
      <c r="I144" s="184"/>
    </row>
    <row r="145" spans="9:10" x14ac:dyDescent="0.3">
      <c r="I145" s="139"/>
    </row>
    <row r="146" spans="9:10" x14ac:dyDescent="0.3">
      <c r="I146" s="139"/>
    </row>
    <row r="148" spans="9:10" x14ac:dyDescent="0.3">
      <c r="I148" s="139"/>
      <c r="J148" s="3"/>
    </row>
    <row r="152" spans="9:10" x14ac:dyDescent="0.3">
      <c r="I152" s="139"/>
    </row>
    <row r="153" spans="9:10" x14ac:dyDescent="0.3">
      <c r="I153" s="139"/>
      <c r="J153" s="3"/>
    </row>
    <row r="154" spans="9:10" x14ac:dyDescent="0.3">
      <c r="I154" s="139"/>
      <c r="J154" s="3"/>
    </row>
    <row r="155" spans="9:10" x14ac:dyDescent="0.3">
      <c r="I155" s="139"/>
      <c r="J155" s="3"/>
    </row>
    <row r="156" spans="9:10" x14ac:dyDescent="0.3">
      <c r="I156" s="139"/>
      <c r="J156" s="3"/>
    </row>
    <row r="157" spans="9:10" x14ac:dyDescent="0.3">
      <c r="I157" s="139"/>
      <c r="J157" s="3"/>
    </row>
    <row r="158" spans="9:10" x14ac:dyDescent="0.3">
      <c r="I158" s="139"/>
      <c r="J158" s="3"/>
    </row>
    <row r="159" spans="9:10" x14ac:dyDescent="0.3">
      <c r="I159" s="139"/>
      <c r="J159" s="3"/>
    </row>
    <row r="160" spans="9:10" x14ac:dyDescent="0.3">
      <c r="I160" s="139"/>
      <c r="J160" s="3"/>
    </row>
    <row r="161" spans="2:10" x14ac:dyDescent="0.3">
      <c r="I161" s="139"/>
      <c r="J161" s="3"/>
    </row>
    <row r="166" spans="2:10" s="140" customFormat="1" x14ac:dyDescent="0.3">
      <c r="B166" s="11"/>
      <c r="C166" s="11"/>
      <c r="D166" s="11"/>
      <c r="E166" s="11"/>
      <c r="F166" s="9"/>
      <c r="H166" s="168"/>
      <c r="J166" s="141"/>
    </row>
  </sheetData>
  <sheetProtection algorithmName="SHA-512" hashValue="YnxScmA2QCRPOJCR96ujRay/tL5hEO5oxsubhhdPfWK51A9sKok6gpRTHx09k/g+Nfz2ZwI67vQhPFwskiuEqA==" saltValue="zk0XBlDyX/QJq3hnNw5HsQ==" spinCount="100000" sheet="1" objects="1" scenarios="1" selectLockedCells="1" selectUnlockedCells="1"/>
  <mergeCells count="2">
    <mergeCell ref="B5:H5"/>
    <mergeCell ref="B6:H6"/>
  </mergeCells>
  <printOptions horizontalCentered="1"/>
  <pageMargins left="1.24" right="0.70866141732283472" top="0.74803149606299213" bottom="0.74803149606299213" header="0.31496062992125984" footer="0.31496062992125984"/>
  <pageSetup scale="50" orientation="portrait" r:id="rId1"/>
  <headerFooter scaleWithDoc="0">
    <oddHeader>&amp;R&amp;"Times New Roman,Regular"Annex E
AAR Page 107</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J170"/>
  <sheetViews>
    <sheetView zoomScaleNormal="100" zoomScaleSheetLayoutView="80" workbookViewId="0"/>
  </sheetViews>
  <sheetFormatPr defaultColWidth="8.88671875" defaultRowHeight="13.2" x14ac:dyDescent="0.25"/>
  <cols>
    <col min="1" max="1" width="12.88671875" style="91" customWidth="1"/>
    <col min="2" max="2" width="17" style="91" customWidth="1"/>
    <col min="3" max="3" width="14.109375" style="92" customWidth="1"/>
    <col min="4" max="4" width="52.44140625" style="93" customWidth="1"/>
    <col min="5" max="5" width="13" style="92" bestFit="1" customWidth="1"/>
    <col min="6" max="6" width="6.109375" style="93" customWidth="1"/>
    <col min="7" max="7" width="14.88671875" style="93" customWidth="1"/>
    <col min="8" max="8" width="14.33203125" style="93" customWidth="1"/>
    <col min="9" max="9" width="15" style="93" customWidth="1"/>
    <col min="10" max="10" width="15.88671875" style="93" customWidth="1"/>
    <col min="11" max="16384" width="8.88671875" style="93"/>
  </cols>
  <sheetData>
    <row r="1" spans="1:10" x14ac:dyDescent="0.25">
      <c r="A1" s="91" t="s">
        <v>0</v>
      </c>
    </row>
    <row r="2" spans="1:10" x14ac:dyDescent="0.25">
      <c r="A2" s="91" t="s">
        <v>3</v>
      </c>
    </row>
    <row r="3" spans="1:10" x14ac:dyDescent="0.25">
      <c r="A3" s="94" t="s">
        <v>854</v>
      </c>
    </row>
    <row r="4" spans="1:10" x14ac:dyDescent="0.25">
      <c r="A4" s="91" t="s">
        <v>5</v>
      </c>
    </row>
    <row r="7" spans="1:10" s="5" customFormat="1" ht="26.4" x14ac:dyDescent="0.3">
      <c r="A7" s="8" t="s">
        <v>855</v>
      </c>
      <c r="B7" s="8" t="s">
        <v>6</v>
      </c>
      <c r="C7" s="8" t="s">
        <v>7</v>
      </c>
      <c r="D7" s="8" t="s">
        <v>8</v>
      </c>
      <c r="E7" s="8" t="s">
        <v>856</v>
      </c>
      <c r="F7" s="8" t="s">
        <v>10</v>
      </c>
      <c r="G7" s="8" t="s">
        <v>857</v>
      </c>
      <c r="H7" s="8" t="s">
        <v>13</v>
      </c>
      <c r="I7" s="8" t="s">
        <v>858</v>
      </c>
      <c r="J7" s="8" t="s">
        <v>15</v>
      </c>
    </row>
    <row r="8" spans="1:10" s="91" customFormat="1" ht="13.8" x14ac:dyDescent="0.3">
      <c r="A8" s="95" t="s">
        <v>859</v>
      </c>
      <c r="B8" s="96"/>
      <c r="C8" s="96"/>
      <c r="D8" s="96"/>
      <c r="E8" s="688"/>
      <c r="F8" s="688"/>
      <c r="G8" s="96"/>
      <c r="H8" s="688"/>
      <c r="I8" s="688"/>
      <c r="J8" s="688"/>
    </row>
    <row r="9" spans="1:10" s="91" customFormat="1" ht="26.4" x14ac:dyDescent="0.3">
      <c r="A9" s="97" t="s">
        <v>860</v>
      </c>
      <c r="B9" s="98" t="s">
        <v>861</v>
      </c>
      <c r="C9" s="124" t="s">
        <v>64</v>
      </c>
      <c r="D9" s="120" t="s">
        <v>65</v>
      </c>
      <c r="E9" s="689">
        <v>42921</v>
      </c>
      <c r="F9" s="122">
        <v>25</v>
      </c>
      <c r="G9" s="120" t="s">
        <v>66</v>
      </c>
      <c r="H9" s="123">
        <v>1329200.54</v>
      </c>
      <c r="I9" s="123">
        <v>264732.55</v>
      </c>
      <c r="J9" s="123">
        <v>1064467.99</v>
      </c>
    </row>
    <row r="10" spans="1:10" s="91" customFormat="1" ht="26.4" x14ac:dyDescent="0.3">
      <c r="A10" s="97" t="s">
        <v>860</v>
      </c>
      <c r="B10" s="98" t="s">
        <v>861</v>
      </c>
      <c r="C10" s="124" t="s">
        <v>862</v>
      </c>
      <c r="D10" s="120" t="s">
        <v>863</v>
      </c>
      <c r="E10" s="689">
        <v>42073</v>
      </c>
      <c r="F10" s="122">
        <v>25</v>
      </c>
      <c r="G10" s="120" t="s">
        <v>66</v>
      </c>
      <c r="H10" s="123">
        <v>1751332.73</v>
      </c>
      <c r="I10" s="123">
        <v>512265.19</v>
      </c>
      <c r="J10" s="123">
        <v>1239067.54</v>
      </c>
    </row>
    <row r="11" spans="1:10" s="91" customFormat="1" ht="26.4" x14ac:dyDescent="0.3">
      <c r="A11" s="97" t="s">
        <v>860</v>
      </c>
      <c r="B11" s="98" t="s">
        <v>861</v>
      </c>
      <c r="C11" s="124" t="s">
        <v>864</v>
      </c>
      <c r="D11" s="120" t="s">
        <v>865</v>
      </c>
      <c r="E11" s="689">
        <v>42500</v>
      </c>
      <c r="F11" s="122">
        <v>25</v>
      </c>
      <c r="G11" s="120" t="s">
        <v>66</v>
      </c>
      <c r="H11" s="123">
        <v>4639077.25</v>
      </c>
      <c r="I11" s="123">
        <v>923949.5</v>
      </c>
      <c r="J11" s="123">
        <v>3715127.75</v>
      </c>
    </row>
    <row r="12" spans="1:10" s="91" customFormat="1" ht="26.4" x14ac:dyDescent="0.3">
      <c r="A12" s="97" t="s">
        <v>860</v>
      </c>
      <c r="B12" s="98" t="s">
        <v>861</v>
      </c>
      <c r="C12" s="124" t="s">
        <v>866</v>
      </c>
      <c r="D12" s="120" t="s">
        <v>867</v>
      </c>
      <c r="E12" s="689">
        <v>43000</v>
      </c>
      <c r="F12" s="122">
        <v>25</v>
      </c>
      <c r="G12" s="120" t="s">
        <v>66</v>
      </c>
      <c r="H12" s="123">
        <v>937181.41</v>
      </c>
      <c r="I12" s="123">
        <v>174159.64</v>
      </c>
      <c r="J12" s="123">
        <v>763021.77</v>
      </c>
    </row>
    <row r="13" spans="1:10" s="91" customFormat="1" ht="26.4" x14ac:dyDescent="0.3">
      <c r="A13" s="97" t="s">
        <v>860</v>
      </c>
      <c r="B13" s="98" t="s">
        <v>861</v>
      </c>
      <c r="C13" s="124" t="s">
        <v>72</v>
      </c>
      <c r="D13" s="120" t="s">
        <v>73</v>
      </c>
      <c r="E13" s="689">
        <v>42495</v>
      </c>
      <c r="F13" s="122">
        <v>25</v>
      </c>
      <c r="G13" s="120" t="s">
        <v>66</v>
      </c>
      <c r="H13" s="123">
        <v>1483181.69</v>
      </c>
      <c r="I13" s="123">
        <v>364615.56</v>
      </c>
      <c r="J13" s="123">
        <v>1118566.1299999999</v>
      </c>
    </row>
    <row r="14" spans="1:10" s="91" customFormat="1" ht="26.4" x14ac:dyDescent="0.3">
      <c r="A14" s="97" t="s">
        <v>860</v>
      </c>
      <c r="B14" s="98" t="s">
        <v>861</v>
      </c>
      <c r="C14" s="124" t="s">
        <v>75</v>
      </c>
      <c r="D14" s="120" t="s">
        <v>76</v>
      </c>
      <c r="E14" s="689">
        <v>42496</v>
      </c>
      <c r="F14" s="122">
        <v>25</v>
      </c>
      <c r="G14" s="120" t="s">
        <v>66</v>
      </c>
      <c r="H14" s="123">
        <v>2252261.89</v>
      </c>
      <c r="I14" s="123">
        <v>543334.51</v>
      </c>
      <c r="J14" s="123">
        <v>1708927.38</v>
      </c>
    </row>
    <row r="15" spans="1:10" s="91" customFormat="1" ht="26.4" x14ac:dyDescent="0.3">
      <c r="A15" s="97" t="s">
        <v>860</v>
      </c>
      <c r="B15" s="98" t="s">
        <v>861</v>
      </c>
      <c r="C15" s="124" t="s">
        <v>78</v>
      </c>
      <c r="D15" s="120" t="s">
        <v>79</v>
      </c>
      <c r="E15" s="689">
        <v>39940</v>
      </c>
      <c r="F15" s="122">
        <v>25</v>
      </c>
      <c r="G15" s="120" t="s">
        <v>66</v>
      </c>
      <c r="H15" s="123">
        <v>1297133.6000000001</v>
      </c>
      <c r="I15" s="123">
        <v>495780.6</v>
      </c>
      <c r="J15" s="123">
        <v>801353</v>
      </c>
    </row>
    <row r="16" spans="1:10" s="91" customFormat="1" ht="26.4" x14ac:dyDescent="0.3">
      <c r="A16" s="97" t="s">
        <v>860</v>
      </c>
      <c r="B16" s="98" t="s">
        <v>861</v>
      </c>
      <c r="C16" s="124" t="s">
        <v>81</v>
      </c>
      <c r="D16" s="120" t="s">
        <v>82</v>
      </c>
      <c r="E16" s="689">
        <v>41143</v>
      </c>
      <c r="F16" s="122">
        <v>25</v>
      </c>
      <c r="G16" s="120" t="s">
        <v>66</v>
      </c>
      <c r="H16" s="123">
        <v>22000</v>
      </c>
      <c r="I16" s="123">
        <v>348.35</v>
      </c>
      <c r="J16" s="123">
        <v>21651.65</v>
      </c>
    </row>
    <row r="17" spans="1:10" s="91" customFormat="1" ht="26.4" x14ac:dyDescent="0.3">
      <c r="A17" s="97" t="s">
        <v>860</v>
      </c>
      <c r="B17" s="98" t="s">
        <v>861</v>
      </c>
      <c r="C17" s="124" t="s">
        <v>83</v>
      </c>
      <c r="D17" s="120" t="s">
        <v>84</v>
      </c>
      <c r="E17" s="689">
        <v>41841</v>
      </c>
      <c r="F17" s="122">
        <v>25</v>
      </c>
      <c r="G17" s="120" t="s">
        <v>66</v>
      </c>
      <c r="H17" s="123">
        <v>252043</v>
      </c>
      <c r="I17" s="123">
        <v>75758.62</v>
      </c>
      <c r="J17" s="123">
        <v>176284.38</v>
      </c>
    </row>
    <row r="18" spans="1:10" s="91" customFormat="1" ht="26.4" x14ac:dyDescent="0.3">
      <c r="A18" s="97" t="s">
        <v>860</v>
      </c>
      <c r="B18" s="98" t="s">
        <v>861</v>
      </c>
      <c r="C18" s="124" t="s">
        <v>868</v>
      </c>
      <c r="D18" s="120" t="s">
        <v>869</v>
      </c>
      <c r="E18" s="689">
        <v>42758</v>
      </c>
      <c r="F18" s="122">
        <v>25</v>
      </c>
      <c r="G18" s="120" t="s">
        <v>66</v>
      </c>
      <c r="H18" s="123">
        <v>1538579.02</v>
      </c>
      <c r="I18" s="123">
        <v>326948.25</v>
      </c>
      <c r="J18" s="123">
        <v>1211630.77</v>
      </c>
    </row>
    <row r="19" spans="1:10" s="91" customFormat="1" ht="26.4" x14ac:dyDescent="0.3">
      <c r="A19" s="97" t="s">
        <v>860</v>
      </c>
      <c r="B19" s="98" t="s">
        <v>861</v>
      </c>
      <c r="C19" s="124" t="s">
        <v>86</v>
      </c>
      <c r="D19" s="120" t="s">
        <v>87</v>
      </c>
      <c r="E19" s="689">
        <v>42992</v>
      </c>
      <c r="F19" s="122">
        <v>25</v>
      </c>
      <c r="G19" s="120" t="s">
        <v>66</v>
      </c>
      <c r="H19" s="123">
        <v>686862.98</v>
      </c>
      <c r="I19" s="123">
        <v>129931.43</v>
      </c>
      <c r="J19" s="123">
        <v>556931.55000000005</v>
      </c>
    </row>
    <row r="20" spans="1:10" s="91" customFormat="1" ht="26.4" x14ac:dyDescent="0.3">
      <c r="A20" s="97" t="s">
        <v>860</v>
      </c>
      <c r="B20" s="98" t="s">
        <v>861</v>
      </c>
      <c r="C20" s="124" t="s">
        <v>89</v>
      </c>
      <c r="D20" s="120" t="s">
        <v>90</v>
      </c>
      <c r="E20" s="689">
        <v>42982</v>
      </c>
      <c r="F20" s="122">
        <v>25</v>
      </c>
      <c r="G20" s="120" t="s">
        <v>66</v>
      </c>
      <c r="H20" s="123">
        <v>1436421.19</v>
      </c>
      <c r="I20" s="123">
        <v>276511.06</v>
      </c>
      <c r="J20" s="123">
        <v>1159910.1299999999</v>
      </c>
    </row>
    <row r="21" spans="1:10" s="91" customFormat="1" ht="26.4" x14ac:dyDescent="0.3">
      <c r="A21" s="97" t="s">
        <v>860</v>
      </c>
      <c r="B21" s="98" t="s">
        <v>861</v>
      </c>
      <c r="C21" s="124" t="s">
        <v>92</v>
      </c>
      <c r="D21" s="120" t="s">
        <v>93</v>
      </c>
      <c r="E21" s="689">
        <v>41297</v>
      </c>
      <c r="F21" s="122">
        <v>25</v>
      </c>
      <c r="G21" s="120" t="s">
        <v>66</v>
      </c>
      <c r="H21" s="123">
        <v>30504.959999999999</v>
      </c>
      <c r="I21" s="123">
        <v>483</v>
      </c>
      <c r="J21" s="123">
        <v>30021.96</v>
      </c>
    </row>
    <row r="22" spans="1:10" s="91" customFormat="1" ht="26.4" x14ac:dyDescent="0.3">
      <c r="A22" s="97" t="s">
        <v>860</v>
      </c>
      <c r="B22" s="98" t="s">
        <v>861</v>
      </c>
      <c r="C22" s="124" t="s">
        <v>95</v>
      </c>
      <c r="D22" s="120" t="s">
        <v>96</v>
      </c>
      <c r="E22" s="689">
        <v>42953</v>
      </c>
      <c r="F22" s="122">
        <v>25</v>
      </c>
      <c r="G22" s="120" t="s">
        <v>66</v>
      </c>
      <c r="H22" s="123">
        <v>1471044.94</v>
      </c>
      <c r="I22" s="123">
        <v>288079.46999999997</v>
      </c>
      <c r="J22" s="123">
        <v>1182965.47</v>
      </c>
    </row>
    <row r="23" spans="1:10" s="91" customFormat="1" ht="26.4" x14ac:dyDescent="0.3">
      <c r="A23" s="97" t="s">
        <v>860</v>
      </c>
      <c r="B23" s="98" t="s">
        <v>861</v>
      </c>
      <c r="C23" s="124" t="s">
        <v>870</v>
      </c>
      <c r="D23" s="120" t="s">
        <v>871</v>
      </c>
      <c r="E23" s="689">
        <v>41297</v>
      </c>
      <c r="F23" s="122">
        <v>25</v>
      </c>
      <c r="G23" s="120" t="s">
        <v>66</v>
      </c>
      <c r="H23" s="123">
        <v>375608</v>
      </c>
      <c r="I23" s="123">
        <v>119850.31</v>
      </c>
      <c r="J23" s="123">
        <v>255757.69</v>
      </c>
    </row>
    <row r="24" spans="1:10" s="91" customFormat="1" ht="26.4" x14ac:dyDescent="0.3">
      <c r="A24" s="97" t="s">
        <v>860</v>
      </c>
      <c r="B24" s="98" t="s">
        <v>861</v>
      </c>
      <c r="C24" s="124" t="s">
        <v>97</v>
      </c>
      <c r="D24" s="120" t="s">
        <v>98</v>
      </c>
      <c r="E24" s="689">
        <v>42346</v>
      </c>
      <c r="F24" s="122">
        <v>25</v>
      </c>
      <c r="G24" s="120" t="s">
        <v>66</v>
      </c>
      <c r="H24" s="123">
        <v>1940280.39</v>
      </c>
      <c r="I24" s="123">
        <v>509323.5</v>
      </c>
      <c r="J24" s="123">
        <v>1430956.89</v>
      </c>
    </row>
    <row r="25" spans="1:10" s="91" customFormat="1" ht="26.4" x14ac:dyDescent="0.3">
      <c r="A25" s="97" t="s">
        <v>860</v>
      </c>
      <c r="B25" s="98" t="s">
        <v>861</v>
      </c>
      <c r="C25" s="124" t="s">
        <v>100</v>
      </c>
      <c r="D25" s="120" t="s">
        <v>101</v>
      </c>
      <c r="E25" s="689">
        <v>42597</v>
      </c>
      <c r="F25" s="122">
        <v>25</v>
      </c>
      <c r="G25" s="120" t="s">
        <v>66</v>
      </c>
      <c r="H25" s="123">
        <v>1421488.84</v>
      </c>
      <c r="I25" s="123">
        <v>330496.40000000002</v>
      </c>
      <c r="J25" s="123">
        <v>1090992.44</v>
      </c>
    </row>
    <row r="26" spans="1:10" s="91" customFormat="1" ht="26.4" x14ac:dyDescent="0.3">
      <c r="A26" s="97" t="s">
        <v>860</v>
      </c>
      <c r="B26" s="98" t="s">
        <v>861</v>
      </c>
      <c r="C26" s="124" t="s">
        <v>103</v>
      </c>
      <c r="D26" s="120" t="s">
        <v>104</v>
      </c>
      <c r="E26" s="689">
        <v>42622</v>
      </c>
      <c r="F26" s="122">
        <v>25</v>
      </c>
      <c r="G26" s="120" t="s">
        <v>66</v>
      </c>
      <c r="H26" s="123">
        <v>1408495.53</v>
      </c>
      <c r="I26" s="123">
        <v>327475.55</v>
      </c>
      <c r="J26" s="123">
        <v>1081019.98</v>
      </c>
    </row>
    <row r="27" spans="1:10" s="91" customFormat="1" ht="26.4" x14ac:dyDescent="0.3">
      <c r="A27" s="97" t="s">
        <v>860</v>
      </c>
      <c r="B27" s="98" t="s">
        <v>861</v>
      </c>
      <c r="C27" s="124" t="s">
        <v>105</v>
      </c>
      <c r="D27" s="120" t="s">
        <v>106</v>
      </c>
      <c r="E27" s="689">
        <v>42632</v>
      </c>
      <c r="F27" s="122">
        <v>25</v>
      </c>
      <c r="G27" s="120" t="s">
        <v>66</v>
      </c>
      <c r="H27" s="123">
        <v>1387088.11</v>
      </c>
      <c r="I27" s="123">
        <v>313250.94</v>
      </c>
      <c r="J27" s="123">
        <v>1073837.17</v>
      </c>
    </row>
    <row r="28" spans="1:10" s="91" customFormat="1" ht="26.4" x14ac:dyDescent="0.3">
      <c r="A28" s="97" t="s">
        <v>860</v>
      </c>
      <c r="B28" s="98" t="s">
        <v>861</v>
      </c>
      <c r="C28" s="124" t="s">
        <v>108</v>
      </c>
      <c r="D28" s="120" t="s">
        <v>109</v>
      </c>
      <c r="E28" s="689">
        <v>42618</v>
      </c>
      <c r="F28" s="122">
        <v>25</v>
      </c>
      <c r="G28" s="120" t="s">
        <v>66</v>
      </c>
      <c r="H28" s="123">
        <v>1468700.7</v>
      </c>
      <c r="I28" s="123">
        <v>341473</v>
      </c>
      <c r="J28" s="123">
        <v>1127227.7</v>
      </c>
    </row>
    <row r="29" spans="1:10" s="91" customFormat="1" ht="26.4" x14ac:dyDescent="0.3">
      <c r="A29" s="97" t="s">
        <v>860</v>
      </c>
      <c r="B29" s="98" t="s">
        <v>861</v>
      </c>
      <c r="C29" s="124" t="s">
        <v>110</v>
      </c>
      <c r="D29" s="120" t="s">
        <v>111</v>
      </c>
      <c r="E29" s="689">
        <v>42657</v>
      </c>
      <c r="F29" s="122">
        <v>25</v>
      </c>
      <c r="G29" s="120" t="s">
        <v>66</v>
      </c>
      <c r="H29" s="123">
        <v>1580304.82</v>
      </c>
      <c r="I29" s="123">
        <v>351978.74</v>
      </c>
      <c r="J29" s="123">
        <v>1228326.08</v>
      </c>
    </row>
    <row r="30" spans="1:10" s="91" customFormat="1" ht="26.4" x14ac:dyDescent="0.3">
      <c r="A30" s="97" t="s">
        <v>860</v>
      </c>
      <c r="B30" s="98" t="s">
        <v>861</v>
      </c>
      <c r="C30" s="124" t="s">
        <v>113</v>
      </c>
      <c r="D30" s="120" t="s">
        <v>114</v>
      </c>
      <c r="E30" s="689">
        <v>42430</v>
      </c>
      <c r="F30" s="122">
        <v>25</v>
      </c>
      <c r="G30" s="120" t="s">
        <v>66</v>
      </c>
      <c r="H30" s="123">
        <v>1475154.54</v>
      </c>
      <c r="I30" s="123">
        <v>372476.38</v>
      </c>
      <c r="J30" s="123">
        <v>1102678.1599999999</v>
      </c>
    </row>
    <row r="31" spans="1:10" s="91" customFormat="1" ht="26.4" x14ac:dyDescent="0.3">
      <c r="A31" s="97" t="s">
        <v>860</v>
      </c>
      <c r="B31" s="98" t="s">
        <v>861</v>
      </c>
      <c r="C31" s="124" t="s">
        <v>116</v>
      </c>
      <c r="D31" s="120" t="s">
        <v>117</v>
      </c>
      <c r="E31" s="689">
        <v>42650</v>
      </c>
      <c r="F31" s="122">
        <v>25</v>
      </c>
      <c r="G31" s="120" t="s">
        <v>66</v>
      </c>
      <c r="H31" s="123">
        <v>1456592.55</v>
      </c>
      <c r="I31" s="123">
        <v>333802.53999999998</v>
      </c>
      <c r="J31" s="123">
        <v>1122790.01</v>
      </c>
    </row>
    <row r="32" spans="1:10" s="91" customFormat="1" ht="26.4" x14ac:dyDescent="0.3">
      <c r="A32" s="97" t="s">
        <v>860</v>
      </c>
      <c r="B32" s="98" t="s">
        <v>861</v>
      </c>
      <c r="C32" s="124" t="s">
        <v>119</v>
      </c>
      <c r="D32" s="120" t="s">
        <v>120</v>
      </c>
      <c r="E32" s="689">
        <v>42417</v>
      </c>
      <c r="F32" s="122">
        <v>25</v>
      </c>
      <c r="G32" s="120" t="s">
        <v>66</v>
      </c>
      <c r="H32" s="123">
        <v>772866.34</v>
      </c>
      <c r="I32" s="123">
        <v>192572.45</v>
      </c>
      <c r="J32" s="123">
        <v>580293.89</v>
      </c>
    </row>
    <row r="33" spans="1:10" s="91" customFormat="1" ht="26.4" x14ac:dyDescent="0.3">
      <c r="A33" s="97" t="s">
        <v>860</v>
      </c>
      <c r="B33" s="98" t="s">
        <v>861</v>
      </c>
      <c r="C33" s="124" t="s">
        <v>121</v>
      </c>
      <c r="D33" s="120" t="s">
        <v>122</v>
      </c>
      <c r="E33" s="689">
        <v>42328</v>
      </c>
      <c r="F33" s="122">
        <v>25</v>
      </c>
      <c r="G33" s="120" t="s">
        <v>66</v>
      </c>
      <c r="H33" s="123">
        <v>982830.19</v>
      </c>
      <c r="I33" s="123">
        <v>254716.79999999999</v>
      </c>
      <c r="J33" s="123">
        <v>728113.39</v>
      </c>
    </row>
    <row r="34" spans="1:10" s="91" customFormat="1" ht="26.4" x14ac:dyDescent="0.3">
      <c r="A34" s="97" t="s">
        <v>860</v>
      </c>
      <c r="B34" s="98" t="s">
        <v>861</v>
      </c>
      <c r="C34" s="124" t="s">
        <v>124</v>
      </c>
      <c r="D34" s="120" t="s">
        <v>125</v>
      </c>
      <c r="E34" s="689">
        <v>42443</v>
      </c>
      <c r="F34" s="122">
        <v>25</v>
      </c>
      <c r="G34" s="120" t="s">
        <v>66</v>
      </c>
      <c r="H34" s="123">
        <v>758872.47</v>
      </c>
      <c r="I34" s="123">
        <v>185109.4</v>
      </c>
      <c r="J34" s="123">
        <v>573763.06999999995</v>
      </c>
    </row>
    <row r="35" spans="1:10" s="91" customFormat="1" ht="26.4" x14ac:dyDescent="0.3">
      <c r="A35" s="97" t="s">
        <v>860</v>
      </c>
      <c r="B35" s="98" t="s">
        <v>861</v>
      </c>
      <c r="C35" s="124" t="s">
        <v>127</v>
      </c>
      <c r="D35" s="120" t="s">
        <v>128</v>
      </c>
      <c r="E35" s="689">
        <v>42422</v>
      </c>
      <c r="F35" s="122">
        <v>25</v>
      </c>
      <c r="G35" s="120" t="s">
        <v>66</v>
      </c>
      <c r="H35" s="123">
        <v>1455485.03</v>
      </c>
      <c r="I35" s="123">
        <v>362658.6</v>
      </c>
      <c r="J35" s="123">
        <v>1092826.43</v>
      </c>
    </row>
    <row r="36" spans="1:10" s="91" customFormat="1" ht="26.4" x14ac:dyDescent="0.3">
      <c r="A36" s="97" t="s">
        <v>860</v>
      </c>
      <c r="B36" s="98" t="s">
        <v>861</v>
      </c>
      <c r="C36" s="124" t="s">
        <v>130</v>
      </c>
      <c r="D36" s="120" t="s">
        <v>131</v>
      </c>
      <c r="E36" s="689">
        <v>42562</v>
      </c>
      <c r="F36" s="122">
        <v>25</v>
      </c>
      <c r="G36" s="120" t="s">
        <v>66</v>
      </c>
      <c r="H36" s="123">
        <v>1429823.95</v>
      </c>
      <c r="I36" s="123">
        <v>337200.18</v>
      </c>
      <c r="J36" s="123">
        <v>1092623.77</v>
      </c>
    </row>
    <row r="37" spans="1:10" s="91" customFormat="1" ht="26.4" x14ac:dyDescent="0.3">
      <c r="A37" s="97" t="s">
        <v>860</v>
      </c>
      <c r="B37" s="98" t="s">
        <v>861</v>
      </c>
      <c r="C37" s="124" t="s">
        <v>872</v>
      </c>
      <c r="D37" s="120" t="s">
        <v>873</v>
      </c>
      <c r="E37" s="689">
        <v>43444</v>
      </c>
      <c r="F37" s="122">
        <v>25</v>
      </c>
      <c r="G37" s="120" t="s">
        <v>66</v>
      </c>
      <c r="H37" s="123">
        <v>2984138</v>
      </c>
      <c r="I37" s="123">
        <v>415292.66</v>
      </c>
      <c r="J37" s="123">
        <v>2568845.34</v>
      </c>
    </row>
    <row r="38" spans="1:10" s="91" customFormat="1" ht="26.4" x14ac:dyDescent="0.3">
      <c r="A38" s="97" t="s">
        <v>860</v>
      </c>
      <c r="B38" s="98" t="s">
        <v>861</v>
      </c>
      <c r="C38" s="124" t="s">
        <v>132</v>
      </c>
      <c r="D38" s="120" t="s">
        <v>133</v>
      </c>
      <c r="E38" s="689">
        <v>42138</v>
      </c>
      <c r="F38" s="122">
        <v>25</v>
      </c>
      <c r="G38" s="120" t="s">
        <v>66</v>
      </c>
      <c r="H38" s="123">
        <v>92198</v>
      </c>
      <c r="I38" s="123">
        <v>26046.2</v>
      </c>
      <c r="J38" s="123">
        <v>66151.8</v>
      </c>
    </row>
    <row r="39" spans="1:10" s="91" customFormat="1" ht="26.4" x14ac:dyDescent="0.3">
      <c r="A39" s="97" t="s">
        <v>860</v>
      </c>
      <c r="B39" s="98" t="s">
        <v>861</v>
      </c>
      <c r="C39" s="124" t="s">
        <v>134</v>
      </c>
      <c r="D39" s="120" t="s">
        <v>135</v>
      </c>
      <c r="E39" s="689">
        <v>42600</v>
      </c>
      <c r="F39" s="122">
        <v>25</v>
      </c>
      <c r="G39" s="120" t="s">
        <v>66</v>
      </c>
      <c r="H39" s="123">
        <v>197156</v>
      </c>
      <c r="I39" s="123">
        <v>45181.81</v>
      </c>
      <c r="J39" s="123">
        <v>151974.19</v>
      </c>
    </row>
    <row r="40" spans="1:10" s="91" customFormat="1" ht="26.4" x14ac:dyDescent="0.3">
      <c r="A40" s="97" t="s">
        <v>860</v>
      </c>
      <c r="B40" s="98" t="s">
        <v>861</v>
      </c>
      <c r="C40" s="124" t="s">
        <v>136</v>
      </c>
      <c r="D40" s="120" t="s">
        <v>137</v>
      </c>
      <c r="E40" s="689">
        <v>42842</v>
      </c>
      <c r="F40" s="122">
        <v>25</v>
      </c>
      <c r="G40" s="120" t="s">
        <v>66</v>
      </c>
      <c r="H40" s="123">
        <v>1018495.25</v>
      </c>
      <c r="I40" s="123">
        <v>206245.08</v>
      </c>
      <c r="J40" s="123">
        <v>812250.17</v>
      </c>
    </row>
    <row r="41" spans="1:10" s="91" customFormat="1" ht="26.4" x14ac:dyDescent="0.3">
      <c r="A41" s="97" t="s">
        <v>860</v>
      </c>
      <c r="B41" s="98" t="s">
        <v>861</v>
      </c>
      <c r="C41" s="124" t="s">
        <v>138</v>
      </c>
      <c r="D41" s="120" t="s">
        <v>139</v>
      </c>
      <c r="E41" s="689">
        <v>42839</v>
      </c>
      <c r="F41" s="122">
        <v>25</v>
      </c>
      <c r="G41" s="120" t="s">
        <v>66</v>
      </c>
      <c r="H41" s="123">
        <v>1228689.3999999999</v>
      </c>
      <c r="I41" s="123">
        <v>19454.25</v>
      </c>
      <c r="J41" s="123">
        <v>1209235.1499999999</v>
      </c>
    </row>
    <row r="42" spans="1:10" s="91" customFormat="1" ht="26.4" x14ac:dyDescent="0.3">
      <c r="A42" s="97" t="s">
        <v>860</v>
      </c>
      <c r="B42" s="98" t="s">
        <v>861</v>
      </c>
      <c r="C42" s="124" t="s">
        <v>149</v>
      </c>
      <c r="D42" s="120" t="s">
        <v>150</v>
      </c>
      <c r="E42" s="689">
        <v>41586</v>
      </c>
      <c r="F42" s="122">
        <v>25</v>
      </c>
      <c r="G42" s="120" t="s">
        <v>66</v>
      </c>
      <c r="H42" s="123">
        <v>1110176.54</v>
      </c>
      <c r="I42" s="123">
        <v>347525.7</v>
      </c>
      <c r="J42" s="123">
        <v>762650.84</v>
      </c>
    </row>
    <row r="43" spans="1:10" s="91" customFormat="1" ht="26.4" x14ac:dyDescent="0.3">
      <c r="A43" s="97" t="s">
        <v>860</v>
      </c>
      <c r="B43" s="98" t="s">
        <v>861</v>
      </c>
      <c r="C43" s="124" t="s">
        <v>874</v>
      </c>
      <c r="D43" s="120" t="s">
        <v>875</v>
      </c>
      <c r="E43" s="689">
        <v>42587</v>
      </c>
      <c r="F43" s="122">
        <v>25</v>
      </c>
      <c r="G43" s="120" t="s">
        <v>66</v>
      </c>
      <c r="H43" s="123">
        <v>2390548.9700000002</v>
      </c>
      <c r="I43" s="123">
        <v>563771.35</v>
      </c>
      <c r="J43" s="123">
        <v>1826777.62</v>
      </c>
    </row>
    <row r="44" spans="1:10" s="91" customFormat="1" ht="26.4" x14ac:dyDescent="0.3">
      <c r="A44" s="97" t="s">
        <v>860</v>
      </c>
      <c r="B44" s="98" t="s">
        <v>861</v>
      </c>
      <c r="C44" s="124" t="s">
        <v>153</v>
      </c>
      <c r="D44" s="120" t="s">
        <v>154</v>
      </c>
      <c r="E44" s="689">
        <v>43328</v>
      </c>
      <c r="F44" s="122">
        <v>25</v>
      </c>
      <c r="G44" s="120" t="s">
        <v>66</v>
      </c>
      <c r="H44" s="123">
        <v>497409.39</v>
      </c>
      <c r="I44" s="123">
        <v>75854.880000000005</v>
      </c>
      <c r="J44" s="123">
        <v>421554.51</v>
      </c>
    </row>
    <row r="45" spans="1:10" s="91" customFormat="1" ht="26.4" x14ac:dyDescent="0.3">
      <c r="A45" s="97" t="s">
        <v>860</v>
      </c>
      <c r="B45" s="98" t="s">
        <v>861</v>
      </c>
      <c r="C45" s="124" t="s">
        <v>155</v>
      </c>
      <c r="D45" s="120" t="s">
        <v>156</v>
      </c>
      <c r="E45" s="689">
        <v>43339</v>
      </c>
      <c r="F45" s="122">
        <v>25</v>
      </c>
      <c r="G45" s="120" t="s">
        <v>66</v>
      </c>
      <c r="H45" s="123">
        <v>497409.39</v>
      </c>
      <c r="I45" s="123">
        <v>74196.850000000006</v>
      </c>
      <c r="J45" s="123">
        <v>423212.54</v>
      </c>
    </row>
    <row r="46" spans="1:10" s="91" customFormat="1" ht="26.4" x14ac:dyDescent="0.3">
      <c r="A46" s="97" t="s">
        <v>860</v>
      </c>
      <c r="B46" s="98" t="s">
        <v>861</v>
      </c>
      <c r="C46" s="124" t="s">
        <v>876</v>
      </c>
      <c r="D46" s="120" t="s">
        <v>877</v>
      </c>
      <c r="E46" s="689">
        <v>43507</v>
      </c>
      <c r="F46" s="122">
        <v>25</v>
      </c>
      <c r="G46" s="120" t="s">
        <v>66</v>
      </c>
      <c r="H46" s="123">
        <v>268264.49</v>
      </c>
      <c r="I46" s="123">
        <v>35544.85</v>
      </c>
      <c r="J46" s="123">
        <v>232719.64</v>
      </c>
    </row>
    <row r="47" spans="1:10" s="91" customFormat="1" ht="26.4" x14ac:dyDescent="0.3">
      <c r="A47" s="97" t="s">
        <v>860</v>
      </c>
      <c r="B47" s="98" t="s">
        <v>861</v>
      </c>
      <c r="C47" s="124" t="s">
        <v>878</v>
      </c>
      <c r="D47" s="120" t="s">
        <v>879</v>
      </c>
      <c r="E47" s="689">
        <v>43159</v>
      </c>
      <c r="F47" s="122">
        <v>25</v>
      </c>
      <c r="G47" s="120" t="s">
        <v>66</v>
      </c>
      <c r="H47" s="123">
        <v>1978616.34</v>
      </c>
      <c r="I47" s="123">
        <v>334716.03999999998</v>
      </c>
      <c r="J47" s="123">
        <v>1643900.3</v>
      </c>
    </row>
    <row r="48" spans="1:10" s="91" customFormat="1" ht="26.4" x14ac:dyDescent="0.3">
      <c r="A48" s="97" t="s">
        <v>860</v>
      </c>
      <c r="B48" s="98" t="s">
        <v>861</v>
      </c>
      <c r="C48" s="124" t="s">
        <v>880</v>
      </c>
      <c r="D48" s="120" t="s">
        <v>881</v>
      </c>
      <c r="E48" s="689">
        <v>43444</v>
      </c>
      <c r="F48" s="122">
        <v>25</v>
      </c>
      <c r="G48" s="120" t="s">
        <v>66</v>
      </c>
      <c r="H48" s="123">
        <v>487001.92</v>
      </c>
      <c r="I48" s="123">
        <v>67774.429999999993</v>
      </c>
      <c r="J48" s="123">
        <v>419227.49</v>
      </c>
    </row>
    <row r="49" spans="1:10" s="91" customFormat="1" ht="26.4" x14ac:dyDescent="0.3">
      <c r="A49" s="97" t="s">
        <v>860</v>
      </c>
      <c r="B49" s="98" t="s">
        <v>861</v>
      </c>
      <c r="C49" s="124" t="s">
        <v>162</v>
      </c>
      <c r="D49" s="120" t="s">
        <v>163</v>
      </c>
      <c r="E49" s="689">
        <v>43865</v>
      </c>
      <c r="F49" s="122">
        <v>25</v>
      </c>
      <c r="G49" s="120" t="s">
        <v>66</v>
      </c>
      <c r="H49" s="123">
        <v>1996162.18</v>
      </c>
      <c r="I49" s="123">
        <v>184644.91</v>
      </c>
      <c r="J49" s="123">
        <v>1811517.27</v>
      </c>
    </row>
    <row r="50" spans="1:10" s="91" customFormat="1" ht="26.4" x14ac:dyDescent="0.3">
      <c r="A50" s="97" t="s">
        <v>860</v>
      </c>
      <c r="B50" s="98" t="s">
        <v>861</v>
      </c>
      <c r="C50" s="124" t="s">
        <v>882</v>
      </c>
      <c r="D50" s="120" t="s">
        <v>883</v>
      </c>
      <c r="E50" s="689">
        <v>42405</v>
      </c>
      <c r="F50" s="122">
        <v>25</v>
      </c>
      <c r="G50" s="120" t="s">
        <v>66</v>
      </c>
      <c r="H50" s="123">
        <v>1000000</v>
      </c>
      <c r="I50" s="123">
        <v>15833.35</v>
      </c>
      <c r="J50" s="123">
        <v>984166.65</v>
      </c>
    </row>
    <row r="51" spans="1:10" s="91" customFormat="1" ht="26.4" x14ac:dyDescent="0.3">
      <c r="A51" s="97" t="s">
        <v>860</v>
      </c>
      <c r="B51" s="98" t="s">
        <v>861</v>
      </c>
      <c r="C51" s="124" t="s">
        <v>164</v>
      </c>
      <c r="D51" s="120" t="s">
        <v>165</v>
      </c>
      <c r="E51" s="689">
        <v>42347</v>
      </c>
      <c r="F51" s="122">
        <v>25</v>
      </c>
      <c r="G51" s="120" t="s">
        <v>66</v>
      </c>
      <c r="H51" s="123">
        <v>593179.44999999995</v>
      </c>
      <c r="I51" s="123">
        <v>9392</v>
      </c>
      <c r="J51" s="123">
        <v>583787.44999999995</v>
      </c>
    </row>
    <row r="52" spans="1:10" s="91" customFormat="1" ht="39.6" x14ac:dyDescent="0.3">
      <c r="A52" s="97" t="s">
        <v>860</v>
      </c>
      <c r="B52" s="98" t="s">
        <v>168</v>
      </c>
      <c r="C52" s="124" t="s">
        <v>169</v>
      </c>
      <c r="D52" s="120" t="s">
        <v>170</v>
      </c>
      <c r="E52" s="689">
        <v>42331</v>
      </c>
      <c r="F52" s="122">
        <v>25</v>
      </c>
      <c r="G52" s="120" t="s">
        <v>66</v>
      </c>
      <c r="H52" s="123">
        <v>2450091.0299999998</v>
      </c>
      <c r="I52" s="123">
        <v>681533.63</v>
      </c>
      <c r="J52" s="123">
        <v>1768557.4</v>
      </c>
    </row>
    <row r="53" spans="1:10" s="91" customFormat="1" ht="52.8" x14ac:dyDescent="0.3">
      <c r="A53" s="97" t="s">
        <v>860</v>
      </c>
      <c r="B53" s="98" t="s">
        <v>168</v>
      </c>
      <c r="C53" s="124" t="s">
        <v>172</v>
      </c>
      <c r="D53" s="120" t="s">
        <v>173</v>
      </c>
      <c r="E53" s="689">
        <v>41982</v>
      </c>
      <c r="F53" s="122">
        <v>25</v>
      </c>
      <c r="G53" s="120" t="s">
        <v>66</v>
      </c>
      <c r="H53" s="123">
        <v>117482</v>
      </c>
      <c r="I53" s="123">
        <v>37490.53</v>
      </c>
      <c r="J53" s="123">
        <v>79991.47</v>
      </c>
    </row>
    <row r="54" spans="1:10" s="91" customFormat="1" ht="39.6" x14ac:dyDescent="0.3">
      <c r="A54" s="97" t="s">
        <v>860</v>
      </c>
      <c r="B54" s="98" t="s">
        <v>168</v>
      </c>
      <c r="C54" s="124" t="s">
        <v>174</v>
      </c>
      <c r="D54" s="120" t="s">
        <v>175</v>
      </c>
      <c r="E54" s="689">
        <v>41270</v>
      </c>
      <c r="F54" s="122">
        <v>25</v>
      </c>
      <c r="G54" s="120" t="s">
        <v>66</v>
      </c>
      <c r="H54" s="123">
        <v>113650</v>
      </c>
      <c r="I54" s="123">
        <v>38548.31</v>
      </c>
      <c r="J54" s="123">
        <v>75101.69</v>
      </c>
    </row>
    <row r="55" spans="1:10" s="91" customFormat="1" ht="39.6" x14ac:dyDescent="0.3">
      <c r="A55" s="97" t="s">
        <v>860</v>
      </c>
      <c r="B55" s="98" t="s">
        <v>168</v>
      </c>
      <c r="C55" s="124" t="s">
        <v>177</v>
      </c>
      <c r="D55" s="120" t="s">
        <v>178</v>
      </c>
      <c r="E55" s="689">
        <v>42677</v>
      </c>
      <c r="F55" s="122">
        <v>25</v>
      </c>
      <c r="G55" s="120" t="s">
        <v>66</v>
      </c>
      <c r="H55" s="123">
        <v>1473616.04</v>
      </c>
      <c r="I55" s="123">
        <v>360790.1</v>
      </c>
      <c r="J55" s="123">
        <v>1112825.94</v>
      </c>
    </row>
    <row r="56" spans="1:10" s="91" customFormat="1" ht="39.6" x14ac:dyDescent="0.3">
      <c r="A56" s="97" t="s">
        <v>860</v>
      </c>
      <c r="B56" s="98" t="s">
        <v>168</v>
      </c>
      <c r="C56" s="124" t="s">
        <v>179</v>
      </c>
      <c r="D56" s="120" t="s">
        <v>180</v>
      </c>
      <c r="E56" s="689">
        <v>42634</v>
      </c>
      <c r="F56" s="122">
        <v>25</v>
      </c>
      <c r="G56" s="120" t="s">
        <v>66</v>
      </c>
      <c r="H56" s="123">
        <v>116934</v>
      </c>
      <c r="I56" s="123">
        <v>28629.33</v>
      </c>
      <c r="J56" s="123">
        <v>88304.67</v>
      </c>
    </row>
    <row r="57" spans="1:10" s="91" customFormat="1" ht="39.6" x14ac:dyDescent="0.3">
      <c r="A57" s="97" t="s">
        <v>860</v>
      </c>
      <c r="B57" s="98" t="s">
        <v>168</v>
      </c>
      <c r="C57" s="124" t="s">
        <v>181</v>
      </c>
      <c r="D57" s="120" t="s">
        <v>182</v>
      </c>
      <c r="E57" s="689">
        <v>43426</v>
      </c>
      <c r="F57" s="122">
        <v>25</v>
      </c>
      <c r="G57" s="120" t="s">
        <v>66</v>
      </c>
      <c r="H57" s="123">
        <v>1482810.8</v>
      </c>
      <c r="I57" s="123">
        <v>234531.17</v>
      </c>
      <c r="J57" s="123">
        <v>1248279.6299999999</v>
      </c>
    </row>
    <row r="58" spans="1:10" s="91" customFormat="1" ht="39.6" x14ac:dyDescent="0.3">
      <c r="A58" s="97" t="s">
        <v>860</v>
      </c>
      <c r="B58" s="98" t="s">
        <v>168</v>
      </c>
      <c r="C58" s="124" t="s">
        <v>183</v>
      </c>
      <c r="D58" s="120" t="s">
        <v>184</v>
      </c>
      <c r="E58" s="689">
        <v>41060</v>
      </c>
      <c r="F58" s="122">
        <v>25</v>
      </c>
      <c r="G58" s="120" t="s">
        <v>66</v>
      </c>
      <c r="H58" s="123">
        <v>613707.25</v>
      </c>
      <c r="I58" s="123">
        <v>213018.47</v>
      </c>
      <c r="J58" s="123">
        <v>400688.78</v>
      </c>
    </row>
    <row r="59" spans="1:10" s="91" customFormat="1" ht="39.6" x14ac:dyDescent="0.3">
      <c r="A59" s="97" t="s">
        <v>860</v>
      </c>
      <c r="B59" s="98" t="s">
        <v>168</v>
      </c>
      <c r="C59" s="124" t="s">
        <v>186</v>
      </c>
      <c r="D59" s="120" t="s">
        <v>187</v>
      </c>
      <c r="E59" s="689">
        <v>41982</v>
      </c>
      <c r="F59" s="122">
        <v>25</v>
      </c>
      <c r="G59" s="120" t="s">
        <v>66</v>
      </c>
      <c r="H59" s="123">
        <v>110841</v>
      </c>
      <c r="I59" s="123">
        <v>35371.35</v>
      </c>
      <c r="J59" s="123">
        <v>75469.649999999994</v>
      </c>
    </row>
    <row r="60" spans="1:10" s="91" customFormat="1" ht="39.6" x14ac:dyDescent="0.3">
      <c r="A60" s="97" t="s">
        <v>860</v>
      </c>
      <c r="B60" s="98" t="s">
        <v>168</v>
      </c>
      <c r="C60" s="124" t="s">
        <v>190</v>
      </c>
      <c r="D60" s="120" t="s">
        <v>191</v>
      </c>
      <c r="E60" s="689">
        <v>42783</v>
      </c>
      <c r="F60" s="122">
        <v>25</v>
      </c>
      <c r="G60" s="120" t="s">
        <v>66</v>
      </c>
      <c r="H60" s="123">
        <v>1159527.1299999999</v>
      </c>
      <c r="I60" s="123">
        <v>264565.46000000002</v>
      </c>
      <c r="J60" s="123">
        <v>894961.67</v>
      </c>
    </row>
    <row r="61" spans="1:10" s="91" customFormat="1" ht="39.6" x14ac:dyDescent="0.3">
      <c r="A61" s="97" t="s">
        <v>860</v>
      </c>
      <c r="B61" s="98" t="s">
        <v>168</v>
      </c>
      <c r="C61" s="124" t="s">
        <v>193</v>
      </c>
      <c r="D61" s="120" t="s">
        <v>194</v>
      </c>
      <c r="E61" s="689">
        <v>42139</v>
      </c>
      <c r="F61" s="122">
        <v>25</v>
      </c>
      <c r="G61" s="120" t="s">
        <v>66</v>
      </c>
      <c r="H61" s="123">
        <v>4855442.5999999996</v>
      </c>
      <c r="I61" s="123">
        <v>1463916.07</v>
      </c>
      <c r="J61" s="123">
        <v>3391526.53</v>
      </c>
    </row>
    <row r="62" spans="1:10" s="91" customFormat="1" ht="39.6" x14ac:dyDescent="0.3">
      <c r="A62" s="97" t="s">
        <v>860</v>
      </c>
      <c r="B62" s="98" t="s">
        <v>168</v>
      </c>
      <c r="C62" s="124" t="s">
        <v>196</v>
      </c>
      <c r="D62" s="120" t="s">
        <v>197</v>
      </c>
      <c r="E62" s="689">
        <v>43532</v>
      </c>
      <c r="F62" s="122">
        <v>25</v>
      </c>
      <c r="G62" s="120" t="s">
        <v>66</v>
      </c>
      <c r="H62" s="123">
        <v>2970402.95</v>
      </c>
      <c r="I62" s="123">
        <v>440114.64</v>
      </c>
      <c r="J62" s="123">
        <v>2530288.31</v>
      </c>
    </row>
    <row r="63" spans="1:10" s="91" customFormat="1" ht="39.6" x14ac:dyDescent="0.3">
      <c r="A63" s="97" t="s">
        <v>860</v>
      </c>
      <c r="B63" s="98" t="s">
        <v>168</v>
      </c>
      <c r="C63" s="124" t="s">
        <v>884</v>
      </c>
      <c r="D63" s="120" t="s">
        <v>885</v>
      </c>
      <c r="E63" s="689">
        <v>43432</v>
      </c>
      <c r="F63" s="122">
        <v>25</v>
      </c>
      <c r="G63" s="120" t="s">
        <v>66</v>
      </c>
      <c r="H63" s="123">
        <v>989696.63</v>
      </c>
      <c r="I63" s="123">
        <v>156537.07</v>
      </c>
      <c r="J63" s="123">
        <v>833159.56</v>
      </c>
    </row>
    <row r="64" spans="1:10" s="91" customFormat="1" ht="39.6" x14ac:dyDescent="0.3">
      <c r="A64" s="97" t="s">
        <v>860</v>
      </c>
      <c r="B64" s="98" t="s">
        <v>168</v>
      </c>
      <c r="C64" s="124" t="s">
        <v>886</v>
      </c>
      <c r="D64" s="120" t="s">
        <v>887</v>
      </c>
      <c r="E64" s="689">
        <v>42326</v>
      </c>
      <c r="F64" s="122">
        <v>25</v>
      </c>
      <c r="G64" s="120" t="s">
        <v>66</v>
      </c>
      <c r="H64" s="123">
        <v>1126270.76</v>
      </c>
      <c r="I64" s="123">
        <v>313291.24</v>
      </c>
      <c r="J64" s="123">
        <v>812979.52</v>
      </c>
    </row>
    <row r="65" spans="1:10" s="91" customFormat="1" ht="39.6" x14ac:dyDescent="0.3">
      <c r="A65" s="97" t="s">
        <v>860</v>
      </c>
      <c r="B65" s="98" t="s">
        <v>168</v>
      </c>
      <c r="C65" s="124" t="s">
        <v>200</v>
      </c>
      <c r="D65" s="120" t="s">
        <v>201</v>
      </c>
      <c r="E65" s="689">
        <v>42083</v>
      </c>
      <c r="F65" s="122">
        <v>25</v>
      </c>
      <c r="G65" s="120" t="s">
        <v>66</v>
      </c>
      <c r="H65" s="123">
        <v>196754.81</v>
      </c>
      <c r="I65" s="123">
        <v>59977.51</v>
      </c>
      <c r="J65" s="123">
        <v>136777.29999999999</v>
      </c>
    </row>
    <row r="66" spans="1:10" s="91" customFormat="1" ht="39.6" x14ac:dyDescent="0.3">
      <c r="A66" s="97" t="s">
        <v>860</v>
      </c>
      <c r="B66" s="98" t="s">
        <v>168</v>
      </c>
      <c r="C66" s="124" t="s">
        <v>202</v>
      </c>
      <c r="D66" s="120" t="s">
        <v>203</v>
      </c>
      <c r="E66" s="689">
        <v>41676</v>
      </c>
      <c r="F66" s="122">
        <v>25</v>
      </c>
      <c r="G66" s="120" t="s">
        <v>66</v>
      </c>
      <c r="H66" s="123">
        <v>94899.61</v>
      </c>
      <c r="I66" s="123">
        <v>31217.17</v>
      </c>
      <c r="J66" s="123">
        <v>63682.44</v>
      </c>
    </row>
    <row r="67" spans="1:10" s="91" customFormat="1" ht="39.6" x14ac:dyDescent="0.3">
      <c r="A67" s="97" t="s">
        <v>860</v>
      </c>
      <c r="B67" s="98" t="s">
        <v>168</v>
      </c>
      <c r="C67" s="124" t="s">
        <v>204</v>
      </c>
      <c r="D67" s="120" t="s">
        <v>205</v>
      </c>
      <c r="E67" s="689">
        <v>42361</v>
      </c>
      <c r="F67" s="122">
        <v>25</v>
      </c>
      <c r="G67" s="120" t="s">
        <v>66</v>
      </c>
      <c r="H67" s="123">
        <v>281540</v>
      </c>
      <c r="I67" s="123">
        <v>77376.78</v>
      </c>
      <c r="J67" s="123">
        <v>204163.22</v>
      </c>
    </row>
    <row r="68" spans="1:10" s="91" customFormat="1" ht="39.6" x14ac:dyDescent="0.3">
      <c r="A68" s="97" t="s">
        <v>860</v>
      </c>
      <c r="B68" s="98" t="s">
        <v>168</v>
      </c>
      <c r="C68" s="124" t="s">
        <v>210</v>
      </c>
      <c r="D68" s="120" t="s">
        <v>211</v>
      </c>
      <c r="E68" s="689">
        <v>42632</v>
      </c>
      <c r="F68" s="122">
        <v>25</v>
      </c>
      <c r="G68" s="120" t="s">
        <v>66</v>
      </c>
      <c r="H68" s="123">
        <v>76356.37</v>
      </c>
      <c r="I68" s="123">
        <v>18694.560000000001</v>
      </c>
      <c r="J68" s="123">
        <v>57661.81</v>
      </c>
    </row>
    <row r="69" spans="1:10" s="91" customFormat="1" ht="39.6" x14ac:dyDescent="0.3">
      <c r="A69" s="97" t="s">
        <v>860</v>
      </c>
      <c r="B69" s="98" t="s">
        <v>168</v>
      </c>
      <c r="C69" s="124" t="s">
        <v>213</v>
      </c>
      <c r="D69" s="120" t="s">
        <v>214</v>
      </c>
      <c r="E69" s="689">
        <v>41669</v>
      </c>
      <c r="F69" s="122">
        <v>25</v>
      </c>
      <c r="G69" s="120" t="s">
        <v>66</v>
      </c>
      <c r="H69" s="123">
        <v>252665.39</v>
      </c>
      <c r="I69" s="123">
        <v>82239.89</v>
      </c>
      <c r="J69" s="123">
        <v>170425.5</v>
      </c>
    </row>
    <row r="70" spans="1:10" s="91" customFormat="1" ht="39.6" x14ac:dyDescent="0.3">
      <c r="A70" s="97" t="s">
        <v>860</v>
      </c>
      <c r="B70" s="98" t="s">
        <v>168</v>
      </c>
      <c r="C70" s="124" t="s">
        <v>215</v>
      </c>
      <c r="D70" s="120" t="s">
        <v>216</v>
      </c>
      <c r="E70" s="689">
        <v>43369</v>
      </c>
      <c r="F70" s="122">
        <v>25</v>
      </c>
      <c r="G70" s="120" t="s">
        <v>66</v>
      </c>
      <c r="H70" s="123">
        <v>476504.67</v>
      </c>
      <c r="I70" s="123">
        <v>78543.88</v>
      </c>
      <c r="J70" s="123">
        <v>397960.79</v>
      </c>
    </row>
    <row r="71" spans="1:10" s="91" customFormat="1" ht="39.6" x14ac:dyDescent="0.3">
      <c r="A71" s="97" t="s">
        <v>860</v>
      </c>
      <c r="B71" s="98" t="s">
        <v>168</v>
      </c>
      <c r="C71" s="124" t="s">
        <v>888</v>
      </c>
      <c r="D71" s="120" t="s">
        <v>889</v>
      </c>
      <c r="E71" s="689">
        <v>42900</v>
      </c>
      <c r="F71" s="122">
        <v>25</v>
      </c>
      <c r="G71" s="120" t="s">
        <v>66</v>
      </c>
      <c r="H71" s="123">
        <v>976174.22</v>
      </c>
      <c r="I71" s="123">
        <v>212968.47</v>
      </c>
      <c r="J71" s="123">
        <v>763205.75</v>
      </c>
    </row>
    <row r="72" spans="1:10" s="91" customFormat="1" ht="39.6" x14ac:dyDescent="0.3">
      <c r="A72" s="97" t="s">
        <v>860</v>
      </c>
      <c r="B72" s="98" t="s">
        <v>168</v>
      </c>
      <c r="C72" s="124" t="s">
        <v>217</v>
      </c>
      <c r="D72" s="120" t="s">
        <v>218</v>
      </c>
      <c r="E72" s="689">
        <v>41991</v>
      </c>
      <c r="F72" s="122">
        <v>25</v>
      </c>
      <c r="G72" s="120" t="s">
        <v>66</v>
      </c>
      <c r="H72" s="123">
        <v>104227</v>
      </c>
      <c r="I72" s="123">
        <v>32813.83</v>
      </c>
      <c r="J72" s="123">
        <v>71413.17</v>
      </c>
    </row>
    <row r="73" spans="1:10" s="91" customFormat="1" ht="39.6" x14ac:dyDescent="0.3">
      <c r="A73" s="97" t="s">
        <v>860</v>
      </c>
      <c r="B73" s="98" t="s">
        <v>168</v>
      </c>
      <c r="C73" s="124" t="s">
        <v>219</v>
      </c>
      <c r="D73" s="120" t="s">
        <v>220</v>
      </c>
      <c r="E73" s="689">
        <v>41808</v>
      </c>
      <c r="F73" s="122">
        <v>25</v>
      </c>
      <c r="G73" s="120" t="s">
        <v>66</v>
      </c>
      <c r="H73" s="123">
        <v>156661</v>
      </c>
      <c r="I73" s="123">
        <v>50217.23</v>
      </c>
      <c r="J73" s="123">
        <v>106443.77</v>
      </c>
    </row>
    <row r="74" spans="1:10" s="91" customFormat="1" ht="39.6" x14ac:dyDescent="0.3">
      <c r="A74" s="97" t="s">
        <v>860</v>
      </c>
      <c r="B74" s="98" t="s">
        <v>168</v>
      </c>
      <c r="C74" s="124" t="s">
        <v>890</v>
      </c>
      <c r="D74" s="120" t="s">
        <v>891</v>
      </c>
      <c r="E74" s="689">
        <v>43041</v>
      </c>
      <c r="F74" s="122">
        <v>25</v>
      </c>
      <c r="G74" s="120" t="s">
        <v>66</v>
      </c>
      <c r="H74" s="123">
        <v>1584132.84</v>
      </c>
      <c r="I74" s="123">
        <v>324483.06</v>
      </c>
      <c r="J74" s="123">
        <v>1259649.78</v>
      </c>
    </row>
    <row r="75" spans="1:10" s="91" customFormat="1" ht="39.6" x14ac:dyDescent="0.3">
      <c r="A75" s="97" t="s">
        <v>860</v>
      </c>
      <c r="B75" s="98" t="s">
        <v>168</v>
      </c>
      <c r="C75" s="124" t="s">
        <v>221</v>
      </c>
      <c r="D75" s="120" t="s">
        <v>222</v>
      </c>
      <c r="E75" s="689">
        <v>42349</v>
      </c>
      <c r="F75" s="122">
        <v>25</v>
      </c>
      <c r="G75" s="120" t="s">
        <v>66</v>
      </c>
      <c r="H75" s="123">
        <v>4096662.47</v>
      </c>
      <c r="I75" s="123">
        <v>1139554.78</v>
      </c>
      <c r="J75" s="123">
        <v>2957107.69</v>
      </c>
    </row>
    <row r="76" spans="1:10" s="91" customFormat="1" ht="39.6" x14ac:dyDescent="0.3">
      <c r="A76" s="97" t="s">
        <v>860</v>
      </c>
      <c r="B76" s="98" t="s">
        <v>168</v>
      </c>
      <c r="C76" s="124" t="s">
        <v>892</v>
      </c>
      <c r="D76" s="120" t="s">
        <v>893</v>
      </c>
      <c r="E76" s="689">
        <v>42058</v>
      </c>
      <c r="F76" s="122">
        <v>25</v>
      </c>
      <c r="G76" s="120" t="s">
        <v>66</v>
      </c>
      <c r="H76" s="123">
        <v>1128467.42</v>
      </c>
      <c r="I76" s="123">
        <v>347756.2</v>
      </c>
      <c r="J76" s="123">
        <v>780711.22</v>
      </c>
    </row>
    <row r="77" spans="1:10" s="91" customFormat="1" ht="39.6" x14ac:dyDescent="0.3">
      <c r="A77" s="97" t="s">
        <v>860</v>
      </c>
      <c r="B77" s="98" t="s">
        <v>168</v>
      </c>
      <c r="C77" s="124" t="s">
        <v>894</v>
      </c>
      <c r="D77" s="120" t="s">
        <v>895</v>
      </c>
      <c r="E77" s="689">
        <v>43508</v>
      </c>
      <c r="F77" s="122">
        <v>20</v>
      </c>
      <c r="G77" s="120" t="s">
        <v>66</v>
      </c>
      <c r="H77" s="123">
        <v>482726.33</v>
      </c>
      <c r="I77" s="123">
        <v>91416.29</v>
      </c>
      <c r="J77" s="123">
        <v>391310.04</v>
      </c>
    </row>
    <row r="78" spans="1:10" s="91" customFormat="1" ht="39.6" x14ac:dyDescent="0.3">
      <c r="A78" s="97" t="s">
        <v>860</v>
      </c>
      <c r="B78" s="98" t="s">
        <v>168</v>
      </c>
      <c r="C78" s="124" t="s">
        <v>223</v>
      </c>
      <c r="D78" s="120" t="s">
        <v>224</v>
      </c>
      <c r="E78" s="689">
        <v>44109</v>
      </c>
      <c r="F78" s="122">
        <v>24</v>
      </c>
      <c r="G78" s="120" t="s">
        <v>66</v>
      </c>
      <c r="H78" s="123">
        <v>4976587.7</v>
      </c>
      <c r="I78" s="123">
        <v>439771.43</v>
      </c>
      <c r="J78" s="123">
        <v>4536816.2699999996</v>
      </c>
    </row>
    <row r="79" spans="1:10" s="91" customFormat="1" ht="39.6" x14ac:dyDescent="0.3">
      <c r="A79" s="97" t="s">
        <v>860</v>
      </c>
      <c r="B79" s="98" t="s">
        <v>168</v>
      </c>
      <c r="C79" s="124" t="s">
        <v>896</v>
      </c>
      <c r="D79" s="120" t="s">
        <v>897</v>
      </c>
      <c r="E79" s="689">
        <v>43657</v>
      </c>
      <c r="F79" s="122">
        <v>15</v>
      </c>
      <c r="G79" s="120" t="s">
        <v>66</v>
      </c>
      <c r="H79" s="123">
        <v>990806.27</v>
      </c>
      <c r="I79" s="123">
        <v>228160.74</v>
      </c>
      <c r="J79" s="123">
        <v>762645.53</v>
      </c>
    </row>
    <row r="80" spans="1:10" s="91" customFormat="1" ht="39.6" x14ac:dyDescent="0.3">
      <c r="A80" s="97" t="s">
        <v>860</v>
      </c>
      <c r="B80" s="98" t="s">
        <v>168</v>
      </c>
      <c r="C80" s="124" t="s">
        <v>898</v>
      </c>
      <c r="D80" s="120" t="s">
        <v>899</v>
      </c>
      <c r="E80" s="689">
        <v>43585</v>
      </c>
      <c r="F80" s="122">
        <v>25</v>
      </c>
      <c r="G80" s="120" t="s">
        <v>66</v>
      </c>
      <c r="H80" s="123">
        <v>1974786.85</v>
      </c>
      <c r="I80" s="123">
        <v>279432.23</v>
      </c>
      <c r="J80" s="123">
        <v>1695354.62</v>
      </c>
    </row>
    <row r="81" spans="1:10" s="91" customFormat="1" ht="39.6" x14ac:dyDescent="0.3">
      <c r="A81" s="97" t="s">
        <v>860</v>
      </c>
      <c r="B81" s="98" t="s">
        <v>168</v>
      </c>
      <c r="C81" s="124" t="s">
        <v>900</v>
      </c>
      <c r="D81" s="120" t="s">
        <v>901</v>
      </c>
      <c r="E81" s="689">
        <v>43585</v>
      </c>
      <c r="F81" s="122">
        <v>23</v>
      </c>
      <c r="G81" s="120" t="s">
        <v>66</v>
      </c>
      <c r="H81" s="123">
        <v>1799724.69</v>
      </c>
      <c r="I81" s="123">
        <v>276805.38</v>
      </c>
      <c r="J81" s="123">
        <v>1522919.31</v>
      </c>
    </row>
    <row r="82" spans="1:10" s="91" customFormat="1" ht="39.6" x14ac:dyDescent="0.3">
      <c r="A82" s="97" t="s">
        <v>860</v>
      </c>
      <c r="B82" s="98" t="s">
        <v>168</v>
      </c>
      <c r="C82" s="124" t="s">
        <v>225</v>
      </c>
      <c r="D82" s="120" t="s">
        <v>226</v>
      </c>
      <c r="E82" s="689">
        <v>43679</v>
      </c>
      <c r="F82" s="122">
        <v>30</v>
      </c>
      <c r="G82" s="120" t="s">
        <v>66</v>
      </c>
      <c r="H82" s="123">
        <v>1496225.99</v>
      </c>
      <c r="I82" s="123">
        <v>168117.47</v>
      </c>
      <c r="J82" s="123">
        <v>1328108.52</v>
      </c>
    </row>
    <row r="83" spans="1:10" s="91" customFormat="1" ht="39.6" x14ac:dyDescent="0.3">
      <c r="A83" s="97" t="s">
        <v>860</v>
      </c>
      <c r="B83" s="98" t="s">
        <v>168</v>
      </c>
      <c r="C83" s="124" t="s">
        <v>902</v>
      </c>
      <c r="D83" s="120" t="s">
        <v>903</v>
      </c>
      <c r="E83" s="689">
        <v>43859</v>
      </c>
      <c r="F83" s="122">
        <v>25</v>
      </c>
      <c r="G83" s="120" t="s">
        <v>66</v>
      </c>
      <c r="H83" s="123">
        <v>1150696.1499999999</v>
      </c>
      <c r="I83" s="123">
        <v>128302.52</v>
      </c>
      <c r="J83" s="123">
        <v>1022393.63</v>
      </c>
    </row>
    <row r="84" spans="1:10" s="91" customFormat="1" ht="39.6" x14ac:dyDescent="0.3">
      <c r="A84" s="97" t="s">
        <v>860</v>
      </c>
      <c r="B84" s="98" t="s">
        <v>168</v>
      </c>
      <c r="C84" s="124" t="s">
        <v>228</v>
      </c>
      <c r="D84" s="120" t="s">
        <v>229</v>
      </c>
      <c r="E84" s="689">
        <v>43920</v>
      </c>
      <c r="F84" s="122">
        <v>25</v>
      </c>
      <c r="G84" s="120" t="s">
        <v>66</v>
      </c>
      <c r="H84" s="123">
        <v>423693.4</v>
      </c>
      <c r="I84" s="123">
        <v>44417.21</v>
      </c>
      <c r="J84" s="123">
        <v>379276.19</v>
      </c>
    </row>
    <row r="85" spans="1:10" s="91" customFormat="1" ht="39.6" x14ac:dyDescent="0.3">
      <c r="A85" s="97" t="s">
        <v>860</v>
      </c>
      <c r="B85" s="98" t="s">
        <v>168</v>
      </c>
      <c r="C85" s="124" t="s">
        <v>231</v>
      </c>
      <c r="D85" s="120" t="s">
        <v>232</v>
      </c>
      <c r="E85" s="689">
        <v>44694</v>
      </c>
      <c r="F85" s="122">
        <v>25</v>
      </c>
      <c r="G85" s="120" t="s">
        <v>66</v>
      </c>
      <c r="H85" s="123">
        <v>995011.94</v>
      </c>
      <c r="I85" s="123">
        <v>34659.57</v>
      </c>
      <c r="J85" s="123">
        <v>960352.37</v>
      </c>
    </row>
    <row r="86" spans="1:10" s="91" customFormat="1" ht="39.6" x14ac:dyDescent="0.3">
      <c r="A86" s="98" t="s">
        <v>904</v>
      </c>
      <c r="B86" s="98" t="s">
        <v>905</v>
      </c>
      <c r="C86" s="124" t="s">
        <v>442</v>
      </c>
      <c r="D86" s="120" t="s">
        <v>443</v>
      </c>
      <c r="E86" s="689">
        <v>41702</v>
      </c>
      <c r="F86" s="122">
        <v>25</v>
      </c>
      <c r="G86" s="120" t="s">
        <v>441</v>
      </c>
      <c r="H86" s="123">
        <v>204157.56</v>
      </c>
      <c r="I86" s="123">
        <v>67202.320000000007</v>
      </c>
      <c r="J86" s="123">
        <v>136955.24</v>
      </c>
    </row>
    <row r="87" spans="1:10" s="91" customFormat="1" ht="39.6" x14ac:dyDescent="0.3">
      <c r="A87" s="98" t="s">
        <v>904</v>
      </c>
      <c r="B87" s="98" t="s">
        <v>905</v>
      </c>
      <c r="C87" s="124" t="s">
        <v>444</v>
      </c>
      <c r="D87" s="120" t="s">
        <v>445</v>
      </c>
      <c r="E87" s="689">
        <v>42107</v>
      </c>
      <c r="F87" s="122">
        <v>25</v>
      </c>
      <c r="G87" s="120" t="s">
        <v>441</v>
      </c>
      <c r="H87" s="123">
        <v>143774.04999999999</v>
      </c>
      <c r="I87" s="123">
        <v>41095.65</v>
      </c>
      <c r="J87" s="123">
        <v>102678.39999999999</v>
      </c>
    </row>
    <row r="88" spans="1:10" s="91" customFormat="1" ht="39.6" x14ac:dyDescent="0.3">
      <c r="A88" s="98" t="s">
        <v>904</v>
      </c>
      <c r="B88" s="98" t="s">
        <v>905</v>
      </c>
      <c r="C88" s="124" t="s">
        <v>446</v>
      </c>
      <c r="D88" s="120" t="s">
        <v>447</v>
      </c>
      <c r="E88" s="689">
        <v>42111</v>
      </c>
      <c r="F88" s="122">
        <v>25</v>
      </c>
      <c r="G88" s="120" t="s">
        <v>441</v>
      </c>
      <c r="H88" s="123">
        <v>277577.99</v>
      </c>
      <c r="I88" s="123">
        <v>80968.600000000006</v>
      </c>
      <c r="J88" s="123">
        <v>196609.39</v>
      </c>
    </row>
    <row r="89" spans="1:10" s="91" customFormat="1" ht="39.6" x14ac:dyDescent="0.3">
      <c r="A89" s="98" t="s">
        <v>904</v>
      </c>
      <c r="B89" s="98" t="s">
        <v>905</v>
      </c>
      <c r="C89" s="124" t="s">
        <v>448</v>
      </c>
      <c r="D89" s="120" t="s">
        <v>449</v>
      </c>
      <c r="E89" s="689">
        <v>43193</v>
      </c>
      <c r="F89" s="122">
        <v>25</v>
      </c>
      <c r="G89" s="120" t="s">
        <v>441</v>
      </c>
      <c r="H89" s="123">
        <v>966328.26</v>
      </c>
      <c r="I89" s="123">
        <v>163470.34</v>
      </c>
      <c r="J89" s="123">
        <v>802857.92</v>
      </c>
    </row>
    <row r="90" spans="1:10" s="91" customFormat="1" ht="39.6" x14ac:dyDescent="0.3">
      <c r="A90" s="98" t="s">
        <v>904</v>
      </c>
      <c r="B90" s="98" t="s">
        <v>905</v>
      </c>
      <c r="C90" s="124" t="s">
        <v>450</v>
      </c>
      <c r="D90" s="120" t="s">
        <v>451</v>
      </c>
      <c r="E90" s="689">
        <v>43979</v>
      </c>
      <c r="F90" s="122">
        <v>25</v>
      </c>
      <c r="G90" s="120" t="s">
        <v>441</v>
      </c>
      <c r="H90" s="123">
        <v>407848.89</v>
      </c>
      <c r="I90" s="123">
        <v>32288.1</v>
      </c>
      <c r="J90" s="123">
        <v>375560.79</v>
      </c>
    </row>
    <row r="91" spans="1:10" s="91" customFormat="1" ht="39.6" x14ac:dyDescent="0.3">
      <c r="A91" s="98" t="s">
        <v>904</v>
      </c>
      <c r="B91" s="98" t="s">
        <v>905</v>
      </c>
      <c r="C91" s="124" t="s">
        <v>498</v>
      </c>
      <c r="D91" s="120" t="s">
        <v>499</v>
      </c>
      <c r="E91" s="689">
        <v>44491</v>
      </c>
      <c r="F91" s="122">
        <v>25</v>
      </c>
      <c r="G91" s="120" t="s">
        <v>441</v>
      </c>
      <c r="H91" s="123">
        <v>1443378.98</v>
      </c>
      <c r="I91" s="123">
        <v>22853.5</v>
      </c>
      <c r="J91" s="123">
        <v>1420525.48</v>
      </c>
    </row>
    <row r="92" spans="1:10" s="91" customFormat="1" ht="39.6" x14ac:dyDescent="0.3">
      <c r="A92" s="98" t="s">
        <v>904</v>
      </c>
      <c r="B92" s="98" t="s">
        <v>905</v>
      </c>
      <c r="C92" s="124" t="s">
        <v>500</v>
      </c>
      <c r="D92" s="120" t="s">
        <v>501</v>
      </c>
      <c r="E92" s="689">
        <v>44701</v>
      </c>
      <c r="F92" s="122">
        <v>5</v>
      </c>
      <c r="G92" s="120" t="s">
        <v>441</v>
      </c>
      <c r="H92" s="123">
        <v>1461929.69</v>
      </c>
      <c r="I92" s="123">
        <v>115736.1</v>
      </c>
      <c r="J92" s="123">
        <v>1346193.59</v>
      </c>
    </row>
    <row r="93" spans="1:10" s="91" customFormat="1" ht="39.6" x14ac:dyDescent="0.3">
      <c r="A93" s="98" t="s">
        <v>904</v>
      </c>
      <c r="B93" s="98" t="s">
        <v>905</v>
      </c>
      <c r="C93" s="124" t="s">
        <v>502</v>
      </c>
      <c r="D93" s="120" t="s">
        <v>503</v>
      </c>
      <c r="E93" s="689">
        <v>44154</v>
      </c>
      <c r="F93" s="122">
        <v>25</v>
      </c>
      <c r="G93" s="120" t="s">
        <v>441</v>
      </c>
      <c r="H93" s="123">
        <v>1494184.24</v>
      </c>
      <c r="I93" s="123">
        <v>88405.83</v>
      </c>
      <c r="J93" s="123">
        <v>1405778.41</v>
      </c>
    </row>
    <row r="94" spans="1:10" s="91" customFormat="1" ht="39.6" x14ac:dyDescent="0.3">
      <c r="A94" s="98" t="s">
        <v>904</v>
      </c>
      <c r="B94" s="98" t="s">
        <v>905</v>
      </c>
      <c r="C94" s="124" t="s">
        <v>504</v>
      </c>
      <c r="D94" s="120" t="s">
        <v>505</v>
      </c>
      <c r="E94" s="689">
        <v>43864</v>
      </c>
      <c r="F94" s="122">
        <v>25</v>
      </c>
      <c r="G94" s="120" t="s">
        <v>441</v>
      </c>
      <c r="H94" s="123">
        <v>1305616.9099999999</v>
      </c>
      <c r="I94" s="123">
        <v>125121.69</v>
      </c>
      <c r="J94" s="123">
        <v>1180495.22</v>
      </c>
    </row>
    <row r="95" spans="1:10" s="91" customFormat="1" ht="39.6" x14ac:dyDescent="0.3">
      <c r="A95" s="98" t="s">
        <v>904</v>
      </c>
      <c r="B95" s="98" t="s">
        <v>905</v>
      </c>
      <c r="C95" s="124" t="s">
        <v>506</v>
      </c>
      <c r="D95" s="120" t="s">
        <v>507</v>
      </c>
      <c r="E95" s="689">
        <v>42058</v>
      </c>
      <c r="F95" s="122">
        <v>25</v>
      </c>
      <c r="G95" s="120" t="s">
        <v>441</v>
      </c>
      <c r="H95" s="123">
        <v>185376.73</v>
      </c>
      <c r="I95" s="123">
        <v>53604.59</v>
      </c>
      <c r="J95" s="123">
        <v>131772.14000000001</v>
      </c>
    </row>
    <row r="96" spans="1:10" s="91" customFormat="1" ht="39.6" x14ac:dyDescent="0.3">
      <c r="A96" s="98" t="s">
        <v>904</v>
      </c>
      <c r="B96" s="98" t="s">
        <v>905</v>
      </c>
      <c r="C96" s="124" t="s">
        <v>508</v>
      </c>
      <c r="D96" s="120" t="s">
        <v>509</v>
      </c>
      <c r="E96" s="689">
        <v>43889</v>
      </c>
      <c r="F96" s="122">
        <v>25</v>
      </c>
      <c r="G96" s="120" t="s">
        <v>441</v>
      </c>
      <c r="H96" s="123">
        <v>441371.93</v>
      </c>
      <c r="I96" s="123">
        <v>39355.68</v>
      </c>
      <c r="J96" s="123">
        <v>402016.25</v>
      </c>
    </row>
    <row r="97" spans="1:10" s="91" customFormat="1" ht="26.4" x14ac:dyDescent="0.3">
      <c r="A97" s="97" t="s">
        <v>906</v>
      </c>
      <c r="B97" s="98" t="s">
        <v>907</v>
      </c>
      <c r="C97" s="124" t="s">
        <v>685</v>
      </c>
      <c r="D97" s="120" t="s">
        <v>686</v>
      </c>
      <c r="E97" s="689">
        <v>43355</v>
      </c>
      <c r="F97" s="122">
        <v>25</v>
      </c>
      <c r="G97" s="120" t="s">
        <v>66</v>
      </c>
      <c r="H97" s="123">
        <v>463920.75</v>
      </c>
      <c r="I97" s="123">
        <v>69201.399999999994</v>
      </c>
      <c r="J97" s="123">
        <v>394719.35</v>
      </c>
    </row>
    <row r="98" spans="1:10" s="91" customFormat="1" ht="26.4" x14ac:dyDescent="0.3">
      <c r="A98" s="97" t="s">
        <v>906</v>
      </c>
      <c r="B98" s="98" t="s">
        <v>907</v>
      </c>
      <c r="C98" s="124" t="s">
        <v>688</v>
      </c>
      <c r="D98" s="120" t="s">
        <v>689</v>
      </c>
      <c r="E98" s="689">
        <v>43357</v>
      </c>
      <c r="F98" s="122">
        <v>25</v>
      </c>
      <c r="G98" s="120" t="s">
        <v>66</v>
      </c>
      <c r="H98" s="123">
        <v>492330.32</v>
      </c>
      <c r="I98" s="123">
        <v>73439.25</v>
      </c>
      <c r="J98" s="123">
        <v>418891.07</v>
      </c>
    </row>
    <row r="99" spans="1:10" s="91" customFormat="1" ht="26.4" x14ac:dyDescent="0.3">
      <c r="A99" s="97" t="s">
        <v>906</v>
      </c>
      <c r="B99" s="98" t="s">
        <v>907</v>
      </c>
      <c r="C99" s="124" t="s">
        <v>690</v>
      </c>
      <c r="D99" s="120" t="s">
        <v>691</v>
      </c>
      <c r="E99" s="689">
        <v>43626</v>
      </c>
      <c r="F99" s="122">
        <v>25</v>
      </c>
      <c r="G99" s="120" t="s">
        <v>66</v>
      </c>
      <c r="H99" s="123">
        <v>469700</v>
      </c>
      <c r="I99" s="123">
        <v>55972.67</v>
      </c>
      <c r="J99" s="123">
        <v>413727.33</v>
      </c>
    </row>
    <row r="100" spans="1:10" s="91" customFormat="1" ht="26.4" x14ac:dyDescent="0.3">
      <c r="A100" s="97" t="s">
        <v>906</v>
      </c>
      <c r="B100" s="98" t="s">
        <v>907</v>
      </c>
      <c r="C100" s="124" t="s">
        <v>693</v>
      </c>
      <c r="D100" s="120" t="s">
        <v>694</v>
      </c>
      <c r="E100" s="689">
        <v>43626</v>
      </c>
      <c r="F100" s="122">
        <v>25</v>
      </c>
      <c r="G100" s="120" t="s">
        <v>66</v>
      </c>
      <c r="H100" s="123">
        <v>497900</v>
      </c>
      <c r="I100" s="123">
        <v>59333.17</v>
      </c>
      <c r="J100" s="123">
        <v>438566.83</v>
      </c>
    </row>
    <row r="101" spans="1:10" s="91" customFormat="1" ht="26.4" x14ac:dyDescent="0.3">
      <c r="A101" s="97" t="s">
        <v>906</v>
      </c>
      <c r="B101" s="98" t="s">
        <v>907</v>
      </c>
      <c r="C101" s="124" t="s">
        <v>695</v>
      </c>
      <c r="D101" s="120" t="s">
        <v>696</v>
      </c>
      <c r="E101" s="689">
        <v>43858</v>
      </c>
      <c r="F101" s="122">
        <v>25</v>
      </c>
      <c r="G101" s="120" t="s">
        <v>66</v>
      </c>
      <c r="H101" s="123">
        <v>441386.74</v>
      </c>
      <c r="I101" s="123">
        <v>40828.269999999997</v>
      </c>
      <c r="J101" s="123">
        <v>400558.47</v>
      </c>
    </row>
    <row r="102" spans="1:10" s="91" customFormat="1" ht="26.4" x14ac:dyDescent="0.3">
      <c r="A102" s="97" t="s">
        <v>906</v>
      </c>
      <c r="B102" s="98" t="s">
        <v>907</v>
      </c>
      <c r="C102" s="124" t="s">
        <v>698</v>
      </c>
      <c r="D102" s="120" t="s">
        <v>699</v>
      </c>
      <c r="E102" s="689">
        <v>43385</v>
      </c>
      <c r="F102" s="122">
        <v>25</v>
      </c>
      <c r="G102" s="120" t="s">
        <v>66</v>
      </c>
      <c r="H102" s="123">
        <v>487542.74</v>
      </c>
      <c r="I102" s="123">
        <v>71099.91</v>
      </c>
      <c r="J102" s="123">
        <v>416442.83</v>
      </c>
    </row>
    <row r="103" spans="1:10" s="91" customFormat="1" ht="26.4" x14ac:dyDescent="0.3">
      <c r="A103" s="97" t="s">
        <v>906</v>
      </c>
      <c r="B103" s="98" t="s">
        <v>907</v>
      </c>
      <c r="C103" s="124" t="s">
        <v>700</v>
      </c>
      <c r="D103" s="120" t="s">
        <v>701</v>
      </c>
      <c r="E103" s="689">
        <v>43462</v>
      </c>
      <c r="F103" s="122">
        <v>25</v>
      </c>
      <c r="G103" s="120" t="s">
        <v>66</v>
      </c>
      <c r="H103" s="123">
        <v>494542.49</v>
      </c>
      <c r="I103" s="123">
        <v>67175.17</v>
      </c>
      <c r="J103" s="123">
        <v>427367.32</v>
      </c>
    </row>
    <row r="104" spans="1:10" s="91" customFormat="1" ht="26.4" x14ac:dyDescent="0.3">
      <c r="A104" s="97" t="s">
        <v>906</v>
      </c>
      <c r="B104" s="98" t="s">
        <v>907</v>
      </c>
      <c r="C104" s="124" t="s">
        <v>702</v>
      </c>
      <c r="D104" s="120" t="s">
        <v>703</v>
      </c>
      <c r="E104" s="689">
        <v>43413</v>
      </c>
      <c r="F104" s="122">
        <v>25</v>
      </c>
      <c r="G104" s="120" t="s">
        <v>66</v>
      </c>
      <c r="H104" s="123">
        <v>495164.44</v>
      </c>
      <c r="I104" s="123">
        <v>72211.55</v>
      </c>
      <c r="J104" s="123">
        <v>422952.89</v>
      </c>
    </row>
    <row r="105" spans="1:10" s="91" customFormat="1" ht="26.4" x14ac:dyDescent="0.3">
      <c r="A105" s="97" t="s">
        <v>906</v>
      </c>
      <c r="B105" s="98" t="s">
        <v>907</v>
      </c>
      <c r="C105" s="124" t="s">
        <v>704</v>
      </c>
      <c r="D105" s="120" t="s">
        <v>705</v>
      </c>
      <c r="E105" s="689">
        <v>43801</v>
      </c>
      <c r="F105" s="122">
        <v>25</v>
      </c>
      <c r="G105" s="120" t="s">
        <v>66</v>
      </c>
      <c r="H105" s="123">
        <v>434576.47</v>
      </c>
      <c r="I105" s="123">
        <v>44544.14</v>
      </c>
      <c r="J105" s="123">
        <v>390032.33</v>
      </c>
    </row>
    <row r="106" spans="1:10" s="91" customFormat="1" ht="26.4" x14ac:dyDescent="0.3">
      <c r="A106" s="97" t="s">
        <v>906</v>
      </c>
      <c r="B106" s="98" t="s">
        <v>907</v>
      </c>
      <c r="C106" s="124" t="s">
        <v>706</v>
      </c>
      <c r="D106" s="120" t="s">
        <v>707</v>
      </c>
      <c r="E106" s="689">
        <v>43864</v>
      </c>
      <c r="F106" s="122">
        <v>25</v>
      </c>
      <c r="G106" s="120" t="s">
        <v>66</v>
      </c>
      <c r="H106" s="123">
        <v>414952.54</v>
      </c>
      <c r="I106" s="123">
        <v>38383.24</v>
      </c>
      <c r="J106" s="123">
        <v>376569.3</v>
      </c>
    </row>
    <row r="107" spans="1:10" s="91" customFormat="1" ht="26.4" x14ac:dyDescent="0.3">
      <c r="A107" s="97" t="s">
        <v>906</v>
      </c>
      <c r="B107" s="98" t="s">
        <v>907</v>
      </c>
      <c r="C107" s="124" t="s">
        <v>709</v>
      </c>
      <c r="D107" s="120" t="s">
        <v>710</v>
      </c>
      <c r="E107" s="689">
        <v>43794</v>
      </c>
      <c r="F107" s="122">
        <v>25</v>
      </c>
      <c r="G107" s="120" t="s">
        <v>66</v>
      </c>
      <c r="H107" s="123">
        <v>457678.6</v>
      </c>
      <c r="I107" s="123">
        <v>45386.6</v>
      </c>
      <c r="J107" s="123">
        <v>412292</v>
      </c>
    </row>
    <row r="108" spans="1:10" s="91" customFormat="1" ht="26.4" x14ac:dyDescent="0.3">
      <c r="A108" s="97" t="s">
        <v>906</v>
      </c>
      <c r="B108" s="98" t="s">
        <v>907</v>
      </c>
      <c r="C108" s="124" t="s">
        <v>712</v>
      </c>
      <c r="D108" s="120" t="s">
        <v>713</v>
      </c>
      <c r="E108" s="689">
        <v>43488</v>
      </c>
      <c r="F108" s="122">
        <v>25</v>
      </c>
      <c r="G108" s="120" t="s">
        <v>66</v>
      </c>
      <c r="H108" s="123">
        <v>491321.3</v>
      </c>
      <c r="I108" s="123">
        <v>65100.15</v>
      </c>
      <c r="J108" s="123">
        <v>426221.15</v>
      </c>
    </row>
    <row r="109" spans="1:10" s="91" customFormat="1" ht="26.4" x14ac:dyDescent="0.3">
      <c r="A109" s="97" t="s">
        <v>906</v>
      </c>
      <c r="B109" s="98" t="s">
        <v>907</v>
      </c>
      <c r="C109" s="124" t="s">
        <v>716</v>
      </c>
      <c r="D109" s="120" t="s">
        <v>717</v>
      </c>
      <c r="E109" s="689">
        <v>43574</v>
      </c>
      <c r="F109" s="122">
        <v>25</v>
      </c>
      <c r="G109" s="120" t="s">
        <v>66</v>
      </c>
      <c r="H109" s="123">
        <v>492790.89</v>
      </c>
      <c r="I109" s="123">
        <v>60366.98</v>
      </c>
      <c r="J109" s="123">
        <v>432423.91</v>
      </c>
    </row>
    <row r="110" spans="1:10" s="91" customFormat="1" ht="26.4" x14ac:dyDescent="0.3">
      <c r="A110" s="97" t="s">
        <v>906</v>
      </c>
      <c r="B110" s="98" t="s">
        <v>907</v>
      </c>
      <c r="C110" s="124" t="s">
        <v>718</v>
      </c>
      <c r="D110" s="120" t="s">
        <v>719</v>
      </c>
      <c r="E110" s="689">
        <v>43643</v>
      </c>
      <c r="F110" s="122">
        <v>25</v>
      </c>
      <c r="G110" s="120" t="s">
        <v>66</v>
      </c>
      <c r="H110" s="123">
        <v>489798.2</v>
      </c>
      <c r="I110" s="123">
        <v>56734.95</v>
      </c>
      <c r="J110" s="123">
        <v>433063.25</v>
      </c>
    </row>
    <row r="111" spans="1:10" s="91" customFormat="1" ht="26.4" x14ac:dyDescent="0.3">
      <c r="A111" s="97" t="s">
        <v>906</v>
      </c>
      <c r="B111" s="98" t="s">
        <v>907</v>
      </c>
      <c r="C111" s="124" t="s">
        <v>908</v>
      </c>
      <c r="D111" s="120" t="s">
        <v>909</v>
      </c>
      <c r="E111" s="689">
        <v>44158</v>
      </c>
      <c r="F111" s="122">
        <v>25</v>
      </c>
      <c r="G111" s="120" t="s">
        <v>66</v>
      </c>
      <c r="H111" s="123">
        <v>1719344.51</v>
      </c>
      <c r="I111" s="123">
        <v>101727.9</v>
      </c>
      <c r="J111" s="123">
        <v>1617616.61</v>
      </c>
    </row>
    <row r="112" spans="1:10" s="91" customFormat="1" ht="26.4" x14ac:dyDescent="0.3">
      <c r="A112" s="97" t="s">
        <v>906</v>
      </c>
      <c r="B112" s="98" t="s">
        <v>907</v>
      </c>
      <c r="C112" s="124" t="s">
        <v>910</v>
      </c>
      <c r="D112" s="120" t="s">
        <v>911</v>
      </c>
      <c r="E112" s="689">
        <v>44430</v>
      </c>
      <c r="F112" s="122">
        <v>25</v>
      </c>
      <c r="G112" s="120" t="s">
        <v>66</v>
      </c>
      <c r="H112" s="123">
        <v>0</v>
      </c>
      <c r="I112" s="123">
        <v>0</v>
      </c>
      <c r="J112" s="123">
        <v>0</v>
      </c>
    </row>
    <row r="113" spans="1:10" s="91" customFormat="1" ht="26.4" x14ac:dyDescent="0.3">
      <c r="A113" s="97" t="s">
        <v>906</v>
      </c>
      <c r="B113" s="98" t="s">
        <v>907</v>
      </c>
      <c r="C113" s="124" t="s">
        <v>912</v>
      </c>
      <c r="D113" s="120" t="s">
        <v>913</v>
      </c>
      <c r="E113" s="689">
        <v>42405</v>
      </c>
      <c r="F113" s="122">
        <v>25</v>
      </c>
      <c r="G113" s="120" t="s">
        <v>66</v>
      </c>
      <c r="H113" s="123">
        <v>1396069.38</v>
      </c>
      <c r="I113" s="123">
        <v>357160.77</v>
      </c>
      <c r="J113" s="123">
        <v>1038908.61</v>
      </c>
    </row>
    <row r="114" spans="1:10" s="91" customFormat="1" ht="26.4" x14ac:dyDescent="0.3">
      <c r="A114" s="97" t="s">
        <v>906</v>
      </c>
      <c r="B114" s="98" t="s">
        <v>907</v>
      </c>
      <c r="C114" s="124" t="s">
        <v>720</v>
      </c>
      <c r="D114" s="120" t="s">
        <v>721</v>
      </c>
      <c r="E114" s="689">
        <v>42406</v>
      </c>
      <c r="F114" s="122">
        <v>25</v>
      </c>
      <c r="G114" s="120" t="s">
        <v>66</v>
      </c>
      <c r="H114" s="123">
        <v>1453977.83</v>
      </c>
      <c r="I114" s="123">
        <v>371975.78</v>
      </c>
      <c r="J114" s="123">
        <v>1082002.05</v>
      </c>
    </row>
    <row r="115" spans="1:10" s="91" customFormat="1" x14ac:dyDescent="0.3">
      <c r="A115" s="97"/>
      <c r="B115" s="98"/>
      <c r="C115" s="119"/>
      <c r="D115" s="98"/>
      <c r="E115" s="690"/>
      <c r="F115" s="97"/>
      <c r="G115" s="691" t="s">
        <v>914</v>
      </c>
      <c r="H115" s="692">
        <f>SUM(H9:H114)</f>
        <v>114200181.72</v>
      </c>
      <c r="I115" s="692">
        <f t="shared" ref="I115:J115" si="0">SUM(I9:I114)</f>
        <v>22026764.750000004</v>
      </c>
      <c r="J115" s="692">
        <f t="shared" si="0"/>
        <v>92173416.969999999</v>
      </c>
    </row>
    <row r="116" spans="1:10" s="91" customFormat="1" ht="13.8" x14ac:dyDescent="0.3">
      <c r="A116" s="99" t="s">
        <v>915</v>
      </c>
      <c r="B116" s="100"/>
      <c r="C116" s="693"/>
      <c r="D116" s="100"/>
      <c r="E116" s="693"/>
      <c r="F116" s="100"/>
      <c r="G116" s="100"/>
      <c r="H116" s="100"/>
      <c r="I116" s="100"/>
      <c r="J116" s="100"/>
    </row>
    <row r="117" spans="1:10" s="91" customFormat="1" ht="26.4" x14ac:dyDescent="0.3">
      <c r="A117" s="97" t="s">
        <v>860</v>
      </c>
      <c r="B117" s="98" t="s">
        <v>916</v>
      </c>
      <c r="C117" s="124" t="s">
        <v>917</v>
      </c>
      <c r="D117" s="120" t="s">
        <v>918</v>
      </c>
      <c r="E117" s="689">
        <v>42535</v>
      </c>
      <c r="F117" s="122">
        <v>20</v>
      </c>
      <c r="G117" s="120" t="s">
        <v>66</v>
      </c>
      <c r="H117" s="123">
        <v>828822.12</v>
      </c>
      <c r="I117" s="123">
        <v>255898.5</v>
      </c>
      <c r="J117" s="123">
        <v>572923.62</v>
      </c>
    </row>
    <row r="118" spans="1:10" s="91" customFormat="1" x14ac:dyDescent="0.3">
      <c r="A118" s="97"/>
      <c r="B118" s="98"/>
      <c r="C118" s="119"/>
      <c r="D118" s="98"/>
      <c r="E118" s="690"/>
      <c r="F118" s="97"/>
      <c r="G118" s="691" t="s">
        <v>914</v>
      </c>
      <c r="H118" s="692">
        <f>H117</f>
        <v>828822.12</v>
      </c>
      <c r="I118" s="692">
        <f t="shared" ref="I118:J118" si="1">I117</f>
        <v>255898.5</v>
      </c>
      <c r="J118" s="692">
        <f t="shared" si="1"/>
        <v>572923.62</v>
      </c>
    </row>
    <row r="119" spans="1:10" s="91" customFormat="1" ht="13.8" x14ac:dyDescent="0.3">
      <c r="A119" s="99" t="s">
        <v>919</v>
      </c>
      <c r="B119" s="100"/>
      <c r="C119" s="693"/>
      <c r="D119" s="100"/>
      <c r="E119" s="693"/>
      <c r="F119" s="100"/>
      <c r="G119" s="100"/>
      <c r="H119" s="100"/>
      <c r="I119" s="100"/>
      <c r="J119" s="100"/>
    </row>
    <row r="120" spans="1:10" s="91" customFormat="1" ht="26.4" x14ac:dyDescent="0.3">
      <c r="A120" s="97" t="s">
        <v>860</v>
      </c>
      <c r="B120" s="98" t="s">
        <v>916</v>
      </c>
      <c r="C120" s="124" t="s">
        <v>920</v>
      </c>
      <c r="D120" s="120" t="s">
        <v>921</v>
      </c>
      <c r="E120" s="689">
        <v>43768</v>
      </c>
      <c r="F120" s="122">
        <v>20</v>
      </c>
      <c r="G120" s="120" t="s">
        <v>66</v>
      </c>
      <c r="H120" s="123">
        <v>4112814.03</v>
      </c>
      <c r="I120" s="123">
        <v>618635.81999999995</v>
      </c>
      <c r="J120" s="123">
        <v>3494178.21</v>
      </c>
    </row>
    <row r="121" spans="1:10" s="91" customFormat="1" ht="26.4" x14ac:dyDescent="0.3">
      <c r="A121" s="97" t="s">
        <v>860</v>
      </c>
      <c r="B121" s="98" t="s">
        <v>916</v>
      </c>
      <c r="C121" s="124" t="s">
        <v>922</v>
      </c>
      <c r="D121" s="120" t="s">
        <v>923</v>
      </c>
      <c r="E121" s="689">
        <v>39599</v>
      </c>
      <c r="F121" s="122">
        <v>30</v>
      </c>
      <c r="G121" s="120" t="s">
        <v>66</v>
      </c>
      <c r="H121" s="123">
        <v>33410947.780000001</v>
      </c>
      <c r="I121" s="123">
        <v>15197687.67</v>
      </c>
      <c r="J121" s="123">
        <v>18213260.109999999</v>
      </c>
    </row>
    <row r="122" spans="1:10" s="91" customFormat="1" ht="26.4" x14ac:dyDescent="0.3">
      <c r="A122" s="97" t="s">
        <v>860</v>
      </c>
      <c r="B122" s="98" t="s">
        <v>916</v>
      </c>
      <c r="C122" s="124" t="s">
        <v>924</v>
      </c>
      <c r="D122" s="120" t="s">
        <v>925</v>
      </c>
      <c r="E122" s="689">
        <v>28245</v>
      </c>
      <c r="F122" s="122">
        <v>20</v>
      </c>
      <c r="G122" s="120" t="s">
        <v>248</v>
      </c>
      <c r="H122" s="123">
        <v>308039.3</v>
      </c>
      <c r="I122" s="123">
        <v>1155.1500000000001</v>
      </c>
      <c r="J122" s="123">
        <v>306884.15000000002</v>
      </c>
    </row>
    <row r="123" spans="1:10" s="91" customFormat="1" ht="26.4" x14ac:dyDescent="0.3">
      <c r="A123" s="97" t="s">
        <v>860</v>
      </c>
      <c r="B123" s="98" t="s">
        <v>916</v>
      </c>
      <c r="C123" s="124" t="s">
        <v>926</v>
      </c>
      <c r="D123" s="120" t="s">
        <v>927</v>
      </c>
      <c r="E123" s="689">
        <v>38717</v>
      </c>
      <c r="F123" s="122">
        <v>10</v>
      </c>
      <c r="G123" s="120" t="s">
        <v>66</v>
      </c>
      <c r="H123" s="123">
        <v>75556</v>
      </c>
      <c r="I123" s="123">
        <v>58367.01</v>
      </c>
      <c r="J123" s="123">
        <v>17188.990000000002</v>
      </c>
    </row>
    <row r="124" spans="1:10" s="91" customFormat="1" ht="26.4" x14ac:dyDescent="0.3">
      <c r="A124" s="97" t="s">
        <v>860</v>
      </c>
      <c r="B124" s="98" t="s">
        <v>916</v>
      </c>
      <c r="C124" s="124" t="s">
        <v>928</v>
      </c>
      <c r="D124" s="120" t="s">
        <v>929</v>
      </c>
      <c r="E124" s="689">
        <v>43768</v>
      </c>
      <c r="F124" s="122">
        <v>20</v>
      </c>
      <c r="G124" s="120" t="s">
        <v>66</v>
      </c>
      <c r="H124" s="123">
        <v>69991883.659999996</v>
      </c>
      <c r="I124" s="123">
        <v>3324614.52</v>
      </c>
      <c r="J124" s="123">
        <v>66667269.140000001</v>
      </c>
    </row>
    <row r="125" spans="1:10" s="91" customFormat="1" ht="26.4" x14ac:dyDescent="0.3">
      <c r="A125" s="97" t="s">
        <v>860</v>
      </c>
      <c r="B125" s="98" t="s">
        <v>916</v>
      </c>
      <c r="C125" s="124" t="s">
        <v>930</v>
      </c>
      <c r="D125" s="120" t="s">
        <v>931</v>
      </c>
      <c r="E125" s="689">
        <v>36526</v>
      </c>
      <c r="F125" s="122">
        <v>10</v>
      </c>
      <c r="G125" s="120" t="s">
        <v>66</v>
      </c>
      <c r="H125" s="123">
        <v>3454</v>
      </c>
      <c r="I125" s="123">
        <v>15750</v>
      </c>
      <c r="J125" s="123">
        <v>-12296</v>
      </c>
    </row>
    <row r="126" spans="1:10" s="91" customFormat="1" ht="26.4" x14ac:dyDescent="0.3">
      <c r="A126" s="97" t="s">
        <v>860</v>
      </c>
      <c r="B126" s="98" t="s">
        <v>916</v>
      </c>
      <c r="C126" s="124" t="s">
        <v>932</v>
      </c>
      <c r="D126" s="120" t="s">
        <v>933</v>
      </c>
      <c r="E126" s="689">
        <v>37408</v>
      </c>
      <c r="F126" s="122">
        <v>10</v>
      </c>
      <c r="G126" s="120" t="s">
        <v>66</v>
      </c>
      <c r="H126" s="123">
        <v>32321</v>
      </c>
      <c r="I126" s="123">
        <v>9453.99</v>
      </c>
      <c r="J126" s="123">
        <v>22867.01</v>
      </c>
    </row>
    <row r="127" spans="1:10" s="91" customFormat="1" ht="26.4" x14ac:dyDescent="0.3">
      <c r="A127" s="97" t="s">
        <v>860</v>
      </c>
      <c r="B127" s="98" t="s">
        <v>916</v>
      </c>
      <c r="C127" s="124" t="s">
        <v>237</v>
      </c>
      <c r="D127" s="120" t="s">
        <v>238</v>
      </c>
      <c r="E127" s="689">
        <v>42122</v>
      </c>
      <c r="F127" s="122">
        <v>30</v>
      </c>
      <c r="G127" s="120" t="s">
        <v>66</v>
      </c>
      <c r="H127" s="123">
        <v>137021</v>
      </c>
      <c r="I127" s="123">
        <v>30372.74</v>
      </c>
      <c r="J127" s="123">
        <v>106648.26</v>
      </c>
    </row>
    <row r="128" spans="1:10" s="91" customFormat="1" ht="26.4" x14ac:dyDescent="0.3">
      <c r="A128" s="97" t="s">
        <v>860</v>
      </c>
      <c r="B128" s="98" t="s">
        <v>916</v>
      </c>
      <c r="C128" s="124" t="s">
        <v>934</v>
      </c>
      <c r="D128" s="120" t="s">
        <v>935</v>
      </c>
      <c r="E128" s="689">
        <v>40541</v>
      </c>
      <c r="F128" s="122">
        <v>30</v>
      </c>
      <c r="G128" s="120" t="s">
        <v>66</v>
      </c>
      <c r="H128" s="123">
        <v>176001.58</v>
      </c>
      <c r="I128" s="123">
        <v>64398.879999999997</v>
      </c>
      <c r="J128" s="123">
        <v>111602.7</v>
      </c>
    </row>
    <row r="129" spans="1:10" s="91" customFormat="1" ht="26.4" x14ac:dyDescent="0.3">
      <c r="A129" s="97" t="s">
        <v>860</v>
      </c>
      <c r="B129" s="98" t="s">
        <v>916</v>
      </c>
      <c r="C129" s="124" t="s">
        <v>936</v>
      </c>
      <c r="D129" s="120" t="s">
        <v>937</v>
      </c>
      <c r="E129" s="689">
        <v>38718</v>
      </c>
      <c r="F129" s="122">
        <v>20</v>
      </c>
      <c r="G129" s="120" t="s">
        <v>21</v>
      </c>
      <c r="H129" s="123">
        <v>129743.01</v>
      </c>
      <c r="I129" s="123">
        <v>80435.14</v>
      </c>
      <c r="J129" s="123">
        <v>49307.87</v>
      </c>
    </row>
    <row r="130" spans="1:10" s="91" customFormat="1" ht="52.8" x14ac:dyDescent="0.3">
      <c r="A130" s="97" t="s">
        <v>906</v>
      </c>
      <c r="B130" s="98" t="s">
        <v>938</v>
      </c>
      <c r="C130" s="124" t="s">
        <v>939</v>
      </c>
      <c r="D130" s="120" t="s">
        <v>940</v>
      </c>
      <c r="E130" s="689">
        <v>43612</v>
      </c>
      <c r="F130" s="122">
        <v>20</v>
      </c>
      <c r="G130" s="120" t="s">
        <v>941</v>
      </c>
      <c r="H130" s="123">
        <v>1114056.2</v>
      </c>
      <c r="I130" s="123">
        <v>22049.05</v>
      </c>
      <c r="J130" s="123">
        <v>1092007.1499999999</v>
      </c>
    </row>
    <row r="131" spans="1:10" s="91" customFormat="1" ht="26.4" x14ac:dyDescent="0.3">
      <c r="A131" s="97" t="s">
        <v>906</v>
      </c>
      <c r="B131" s="98" t="s">
        <v>938</v>
      </c>
      <c r="C131" s="124" t="s">
        <v>942</v>
      </c>
      <c r="D131" s="120" t="s">
        <v>943</v>
      </c>
      <c r="E131" s="689">
        <v>44858</v>
      </c>
      <c r="F131" s="122">
        <v>5</v>
      </c>
      <c r="G131" s="120" t="s">
        <v>66</v>
      </c>
      <c r="H131" s="123">
        <v>1196876.67</v>
      </c>
      <c r="I131" s="123">
        <v>18950.55</v>
      </c>
      <c r="J131" s="123">
        <v>1177926.1200000001</v>
      </c>
    </row>
    <row r="132" spans="1:10" s="91" customFormat="1" x14ac:dyDescent="0.3">
      <c r="A132" s="97"/>
      <c r="B132" s="98"/>
      <c r="C132" s="119"/>
      <c r="D132" s="98"/>
      <c r="E132" s="690"/>
      <c r="F132" s="97"/>
      <c r="G132" s="691" t="s">
        <v>914</v>
      </c>
      <c r="H132" s="694">
        <f>SUM(H120:H131)</f>
        <v>110688714.23</v>
      </c>
      <c r="I132" s="694">
        <f t="shared" ref="I132:J132" si="2">SUM(I120:I131)</f>
        <v>19441870.52</v>
      </c>
      <c r="J132" s="694">
        <f t="shared" si="2"/>
        <v>91246843.710000023</v>
      </c>
    </row>
    <row r="133" spans="1:10" s="91" customFormat="1" ht="13.8" x14ac:dyDescent="0.3">
      <c r="A133" s="99" t="s">
        <v>944</v>
      </c>
      <c r="B133" s="100"/>
      <c r="C133" s="693"/>
      <c r="D133" s="100"/>
      <c r="E133" s="693"/>
      <c r="F133" s="100"/>
      <c r="G133" s="100"/>
      <c r="H133" s="100"/>
      <c r="I133" s="100"/>
      <c r="J133" s="100"/>
    </row>
    <row r="134" spans="1:10" s="91" customFormat="1" ht="39.6" x14ac:dyDescent="0.3">
      <c r="A134" s="97" t="s">
        <v>860</v>
      </c>
      <c r="B134" s="98" t="s">
        <v>945</v>
      </c>
      <c r="C134" s="124" t="s">
        <v>188</v>
      </c>
      <c r="D134" s="120" t="s">
        <v>189</v>
      </c>
      <c r="E134" s="689">
        <v>42790</v>
      </c>
      <c r="F134" s="122">
        <v>25</v>
      </c>
      <c r="G134" s="120" t="s">
        <v>66</v>
      </c>
      <c r="H134" s="123">
        <v>1304074.94</v>
      </c>
      <c r="I134" s="123">
        <v>297546.63</v>
      </c>
      <c r="J134" s="123">
        <v>1006528.31</v>
      </c>
    </row>
    <row r="135" spans="1:10" s="91" customFormat="1" ht="39.6" x14ac:dyDescent="0.3">
      <c r="A135" s="98" t="s">
        <v>904</v>
      </c>
      <c r="B135" s="98" t="s">
        <v>905</v>
      </c>
      <c r="C135" s="124" t="s">
        <v>946</v>
      </c>
      <c r="D135" s="120" t="s">
        <v>947</v>
      </c>
      <c r="E135" s="689">
        <v>42709</v>
      </c>
      <c r="F135" s="122">
        <v>25</v>
      </c>
      <c r="G135" s="120" t="s">
        <v>66</v>
      </c>
      <c r="H135" s="123">
        <v>2956909.54</v>
      </c>
      <c r="I135" s="123">
        <v>704237.62</v>
      </c>
      <c r="J135" s="123">
        <v>2252671.92</v>
      </c>
    </row>
    <row r="136" spans="1:10" s="91" customFormat="1" ht="39.6" x14ac:dyDescent="0.3">
      <c r="A136" s="98" t="s">
        <v>904</v>
      </c>
      <c r="B136" s="98" t="s">
        <v>905</v>
      </c>
      <c r="C136" s="124" t="s">
        <v>452</v>
      </c>
      <c r="D136" s="120" t="s">
        <v>453</v>
      </c>
      <c r="E136" s="689">
        <v>43038</v>
      </c>
      <c r="F136" s="122">
        <v>25</v>
      </c>
      <c r="G136" s="120" t="s">
        <v>441</v>
      </c>
      <c r="H136" s="123">
        <v>476469.15</v>
      </c>
      <c r="I136" s="123">
        <v>86955.6</v>
      </c>
      <c r="J136" s="123">
        <v>389513.55</v>
      </c>
    </row>
    <row r="137" spans="1:10" s="91" customFormat="1" ht="39.6" x14ac:dyDescent="0.3">
      <c r="A137" s="98" t="s">
        <v>904</v>
      </c>
      <c r="B137" s="98" t="s">
        <v>905</v>
      </c>
      <c r="C137" s="124" t="s">
        <v>454</v>
      </c>
      <c r="D137" s="120" t="s">
        <v>455</v>
      </c>
      <c r="E137" s="689">
        <v>44109</v>
      </c>
      <c r="F137" s="122">
        <v>25</v>
      </c>
      <c r="G137" s="120" t="s">
        <v>441</v>
      </c>
      <c r="H137" s="123">
        <v>496473.08</v>
      </c>
      <c r="I137" s="123">
        <v>34339.360000000001</v>
      </c>
      <c r="J137" s="123">
        <v>462133.72</v>
      </c>
    </row>
    <row r="138" spans="1:10" s="91" customFormat="1" ht="39.6" x14ac:dyDescent="0.3">
      <c r="A138" s="98" t="s">
        <v>904</v>
      </c>
      <c r="B138" s="98" t="s">
        <v>905</v>
      </c>
      <c r="C138" s="124" t="s">
        <v>456</v>
      </c>
      <c r="D138" s="120" t="s">
        <v>457</v>
      </c>
      <c r="E138" s="689">
        <v>42642</v>
      </c>
      <c r="F138" s="122">
        <v>25</v>
      </c>
      <c r="G138" s="120" t="s">
        <v>441</v>
      </c>
      <c r="H138" s="123">
        <v>472353.06</v>
      </c>
      <c r="I138" s="123">
        <v>106673.03</v>
      </c>
      <c r="J138" s="123">
        <v>365680.03</v>
      </c>
    </row>
    <row r="139" spans="1:10" s="91" customFormat="1" ht="39.6" x14ac:dyDescent="0.3">
      <c r="A139" s="98" t="s">
        <v>904</v>
      </c>
      <c r="B139" s="98" t="s">
        <v>905</v>
      </c>
      <c r="C139" s="124" t="s">
        <v>458</v>
      </c>
      <c r="D139" s="120" t="s">
        <v>459</v>
      </c>
      <c r="E139" s="689">
        <v>43320</v>
      </c>
      <c r="F139" s="122">
        <v>25</v>
      </c>
      <c r="G139" s="120" t="s">
        <v>441</v>
      </c>
      <c r="H139" s="123">
        <v>494205.4</v>
      </c>
      <c r="I139" s="123">
        <v>77013.600000000006</v>
      </c>
      <c r="J139" s="123">
        <v>417191.8</v>
      </c>
    </row>
    <row r="140" spans="1:10" s="91" customFormat="1" ht="39.6" x14ac:dyDescent="0.3">
      <c r="A140" s="98" t="s">
        <v>904</v>
      </c>
      <c r="B140" s="98" t="s">
        <v>905</v>
      </c>
      <c r="C140" s="124" t="s">
        <v>460</v>
      </c>
      <c r="D140" s="120" t="s">
        <v>461</v>
      </c>
      <c r="E140" s="689">
        <v>43319</v>
      </c>
      <c r="F140" s="122">
        <v>25</v>
      </c>
      <c r="G140" s="120" t="s">
        <v>441</v>
      </c>
      <c r="H140" s="123">
        <v>483593.56</v>
      </c>
      <c r="I140" s="123">
        <v>75360.06</v>
      </c>
      <c r="J140" s="123">
        <v>408233.5</v>
      </c>
    </row>
    <row r="141" spans="1:10" s="91" customFormat="1" ht="39.6" x14ac:dyDescent="0.3">
      <c r="A141" s="98" t="s">
        <v>904</v>
      </c>
      <c r="B141" s="98" t="s">
        <v>905</v>
      </c>
      <c r="C141" s="124" t="s">
        <v>462</v>
      </c>
      <c r="D141" s="120" t="s">
        <v>463</v>
      </c>
      <c r="E141" s="689">
        <v>43342</v>
      </c>
      <c r="F141" s="122">
        <v>25</v>
      </c>
      <c r="G141" s="120" t="s">
        <v>441</v>
      </c>
      <c r="H141" s="123">
        <v>487493.22</v>
      </c>
      <c r="I141" s="123">
        <v>72717.850000000006</v>
      </c>
      <c r="J141" s="123">
        <v>414775.37</v>
      </c>
    </row>
    <row r="142" spans="1:10" s="91" customFormat="1" ht="39.6" x14ac:dyDescent="0.3">
      <c r="A142" s="98" t="s">
        <v>904</v>
      </c>
      <c r="B142" s="98" t="s">
        <v>905</v>
      </c>
      <c r="C142" s="124" t="s">
        <v>464</v>
      </c>
      <c r="D142" s="120" t="s">
        <v>465</v>
      </c>
      <c r="E142" s="689">
        <v>43348</v>
      </c>
      <c r="F142" s="122">
        <v>25</v>
      </c>
      <c r="G142" s="120" t="s">
        <v>441</v>
      </c>
      <c r="H142" s="123">
        <v>493918.07</v>
      </c>
      <c r="I142" s="123">
        <v>75322.34</v>
      </c>
      <c r="J142" s="123">
        <v>418595.73</v>
      </c>
    </row>
    <row r="143" spans="1:10" s="91" customFormat="1" ht="39.6" x14ac:dyDescent="0.3">
      <c r="A143" s="98" t="s">
        <v>904</v>
      </c>
      <c r="B143" s="98" t="s">
        <v>905</v>
      </c>
      <c r="C143" s="124" t="s">
        <v>466</v>
      </c>
      <c r="D143" s="120" t="s">
        <v>467</v>
      </c>
      <c r="E143" s="689">
        <v>42670</v>
      </c>
      <c r="F143" s="122">
        <v>25</v>
      </c>
      <c r="G143" s="120" t="s">
        <v>441</v>
      </c>
      <c r="H143" s="123">
        <v>462096.17</v>
      </c>
      <c r="I143" s="123">
        <v>102816.34</v>
      </c>
      <c r="J143" s="123">
        <v>359279.83</v>
      </c>
    </row>
    <row r="144" spans="1:10" s="91" customFormat="1" ht="39.6" x14ac:dyDescent="0.3">
      <c r="A144" s="98" t="s">
        <v>904</v>
      </c>
      <c r="B144" s="98" t="s">
        <v>905</v>
      </c>
      <c r="C144" s="124" t="s">
        <v>468</v>
      </c>
      <c r="D144" s="120" t="s">
        <v>469</v>
      </c>
      <c r="E144" s="689">
        <v>41880</v>
      </c>
      <c r="F144" s="122">
        <v>25</v>
      </c>
      <c r="G144" s="120" t="s">
        <v>441</v>
      </c>
      <c r="H144" s="123">
        <v>171970.5</v>
      </c>
      <c r="I144" s="123">
        <v>53849.09</v>
      </c>
      <c r="J144" s="123">
        <v>118121.41</v>
      </c>
    </row>
    <row r="145" spans="1:10" s="91" customFormat="1" ht="39.6" x14ac:dyDescent="0.3">
      <c r="A145" s="98" t="s">
        <v>904</v>
      </c>
      <c r="B145" s="98" t="s">
        <v>905</v>
      </c>
      <c r="C145" s="124" t="s">
        <v>470</v>
      </c>
      <c r="D145" s="120" t="s">
        <v>471</v>
      </c>
      <c r="E145" s="689">
        <v>43410</v>
      </c>
      <c r="F145" s="122">
        <v>25</v>
      </c>
      <c r="G145" s="120" t="s">
        <v>441</v>
      </c>
      <c r="H145" s="123">
        <v>478490.24</v>
      </c>
      <c r="I145" s="123">
        <v>69779.929999999993</v>
      </c>
      <c r="J145" s="123">
        <v>408710.31</v>
      </c>
    </row>
    <row r="146" spans="1:10" s="91" customFormat="1" ht="39.6" x14ac:dyDescent="0.3">
      <c r="A146" s="98" t="s">
        <v>904</v>
      </c>
      <c r="B146" s="98" t="s">
        <v>905</v>
      </c>
      <c r="C146" s="124" t="s">
        <v>472</v>
      </c>
      <c r="D146" s="120" t="s">
        <v>473</v>
      </c>
      <c r="E146" s="689">
        <v>42647</v>
      </c>
      <c r="F146" s="122">
        <v>25</v>
      </c>
      <c r="G146" s="120" t="s">
        <v>441</v>
      </c>
      <c r="H146" s="123">
        <v>481233.96</v>
      </c>
      <c r="I146" s="123">
        <v>110282.59</v>
      </c>
      <c r="J146" s="123">
        <v>370951.37</v>
      </c>
    </row>
    <row r="147" spans="1:10" s="91" customFormat="1" ht="39.6" x14ac:dyDescent="0.3">
      <c r="A147" s="98" t="s">
        <v>904</v>
      </c>
      <c r="B147" s="98" t="s">
        <v>905</v>
      </c>
      <c r="C147" s="124" t="s">
        <v>474</v>
      </c>
      <c r="D147" s="120" t="s">
        <v>475</v>
      </c>
      <c r="E147" s="689">
        <v>43319</v>
      </c>
      <c r="F147" s="122">
        <v>25</v>
      </c>
      <c r="G147" s="120" t="s">
        <v>441</v>
      </c>
      <c r="H147" s="123">
        <v>56716</v>
      </c>
      <c r="I147" s="123">
        <v>8838.1</v>
      </c>
      <c r="J147" s="123">
        <v>47877.9</v>
      </c>
    </row>
    <row r="148" spans="1:10" s="91" customFormat="1" ht="39.6" x14ac:dyDescent="0.3">
      <c r="A148" s="98" t="s">
        <v>904</v>
      </c>
      <c r="B148" s="98" t="s">
        <v>905</v>
      </c>
      <c r="C148" s="124" t="s">
        <v>476</v>
      </c>
      <c r="D148" s="120" t="s">
        <v>477</v>
      </c>
      <c r="E148" s="689">
        <v>43157</v>
      </c>
      <c r="F148" s="122">
        <v>25</v>
      </c>
      <c r="G148" s="120" t="s">
        <v>441</v>
      </c>
      <c r="H148" s="123">
        <v>489995.66</v>
      </c>
      <c r="I148" s="123">
        <v>82890.97</v>
      </c>
      <c r="J148" s="123">
        <v>407104.69</v>
      </c>
    </row>
    <row r="149" spans="1:10" s="91" customFormat="1" ht="39.6" x14ac:dyDescent="0.3">
      <c r="A149" s="98" t="s">
        <v>904</v>
      </c>
      <c r="B149" s="98" t="s">
        <v>905</v>
      </c>
      <c r="C149" s="124" t="s">
        <v>478</v>
      </c>
      <c r="D149" s="120" t="s">
        <v>479</v>
      </c>
      <c r="E149" s="689">
        <v>44096</v>
      </c>
      <c r="F149" s="122">
        <v>25</v>
      </c>
      <c r="G149" s="120" t="s">
        <v>441</v>
      </c>
      <c r="H149" s="123">
        <v>544873.19999999995</v>
      </c>
      <c r="I149" s="123">
        <v>35870.75</v>
      </c>
      <c r="J149" s="123">
        <v>509002.45</v>
      </c>
    </row>
    <row r="150" spans="1:10" s="91" customFormat="1" ht="39.6" x14ac:dyDescent="0.3">
      <c r="A150" s="98" t="s">
        <v>904</v>
      </c>
      <c r="B150" s="98" t="s">
        <v>905</v>
      </c>
      <c r="C150" s="124" t="s">
        <v>480</v>
      </c>
      <c r="D150" s="120" t="s">
        <v>481</v>
      </c>
      <c r="E150" s="689">
        <v>44109</v>
      </c>
      <c r="F150" s="122">
        <v>25</v>
      </c>
      <c r="G150" s="120" t="s">
        <v>441</v>
      </c>
      <c r="H150" s="123">
        <v>493785.12</v>
      </c>
      <c r="I150" s="123">
        <v>34153.449999999997</v>
      </c>
      <c r="J150" s="123">
        <v>459631.67</v>
      </c>
    </row>
    <row r="151" spans="1:10" s="91" customFormat="1" ht="39.6" x14ac:dyDescent="0.3">
      <c r="A151" s="98" t="s">
        <v>904</v>
      </c>
      <c r="B151" s="98" t="s">
        <v>905</v>
      </c>
      <c r="C151" s="124" t="s">
        <v>482</v>
      </c>
      <c r="D151" s="120" t="s">
        <v>483</v>
      </c>
      <c r="E151" s="689">
        <v>44095</v>
      </c>
      <c r="F151" s="122">
        <v>25</v>
      </c>
      <c r="G151" s="120" t="s">
        <v>441</v>
      </c>
      <c r="H151" s="123">
        <v>492668.96</v>
      </c>
      <c r="I151" s="123">
        <v>32605.05</v>
      </c>
      <c r="J151" s="123">
        <v>460063.91</v>
      </c>
    </row>
    <row r="152" spans="1:10" s="91" customFormat="1" ht="39.6" x14ac:dyDescent="0.3">
      <c r="A152" s="98" t="s">
        <v>904</v>
      </c>
      <c r="B152" s="98" t="s">
        <v>905</v>
      </c>
      <c r="C152" s="124" t="s">
        <v>484</v>
      </c>
      <c r="D152" s="120" t="s">
        <v>485</v>
      </c>
      <c r="E152" s="689">
        <v>44095</v>
      </c>
      <c r="F152" s="122">
        <v>25</v>
      </c>
      <c r="G152" s="120" t="s">
        <v>441</v>
      </c>
      <c r="H152" s="123">
        <v>469256.35</v>
      </c>
      <c r="I152" s="123">
        <v>30892.75</v>
      </c>
      <c r="J152" s="123">
        <v>438363.6</v>
      </c>
    </row>
    <row r="153" spans="1:10" s="91" customFormat="1" ht="39.6" x14ac:dyDescent="0.3">
      <c r="A153" s="98" t="s">
        <v>904</v>
      </c>
      <c r="B153" s="98" t="s">
        <v>905</v>
      </c>
      <c r="C153" s="124" t="s">
        <v>486</v>
      </c>
      <c r="D153" s="120" t="s">
        <v>487</v>
      </c>
      <c r="E153" s="689">
        <v>43843</v>
      </c>
      <c r="F153" s="122">
        <v>25</v>
      </c>
      <c r="G153" s="120" t="s">
        <v>441</v>
      </c>
      <c r="H153" s="123">
        <v>450464.42</v>
      </c>
      <c r="I153" s="123">
        <v>43169.55</v>
      </c>
      <c r="J153" s="123">
        <v>407294.87</v>
      </c>
    </row>
    <row r="154" spans="1:10" s="91" customFormat="1" x14ac:dyDescent="0.3">
      <c r="A154" s="97"/>
      <c r="B154" s="98"/>
      <c r="C154" s="119"/>
      <c r="D154" s="98"/>
      <c r="E154" s="690"/>
      <c r="F154" s="97"/>
      <c r="G154" s="691" t="s">
        <v>914</v>
      </c>
      <c r="H154" s="692">
        <f>SUM(H134:H153)</f>
        <v>12257040.6</v>
      </c>
      <c r="I154" s="692">
        <f t="shared" ref="I154:J154" si="3">SUM(I134:I153)</f>
        <v>2135314.6600000006</v>
      </c>
      <c r="J154" s="692">
        <f t="shared" si="3"/>
        <v>10121725.939999999</v>
      </c>
    </row>
    <row r="155" spans="1:10" s="91" customFormat="1" ht="13.8" x14ac:dyDescent="0.3">
      <c r="A155" s="99" t="s">
        <v>948</v>
      </c>
      <c r="B155" s="100"/>
      <c r="C155" s="693"/>
      <c r="D155" s="100"/>
      <c r="E155" s="693"/>
      <c r="F155" s="100"/>
      <c r="G155" s="100"/>
      <c r="H155" s="100"/>
      <c r="I155" s="100"/>
      <c r="J155" s="100"/>
    </row>
    <row r="156" spans="1:10" s="91" customFormat="1" ht="39.6" x14ac:dyDescent="0.3">
      <c r="A156" s="98" t="s">
        <v>904</v>
      </c>
      <c r="B156" s="98" t="s">
        <v>579</v>
      </c>
      <c r="C156" s="124" t="s">
        <v>586</v>
      </c>
      <c r="D156" s="120" t="s">
        <v>587</v>
      </c>
      <c r="E156" s="689">
        <v>42894</v>
      </c>
      <c r="F156" s="122">
        <v>10</v>
      </c>
      <c r="G156" s="120" t="s">
        <v>66</v>
      </c>
      <c r="H156" s="123">
        <v>474159.93</v>
      </c>
      <c r="I156" s="123">
        <v>247748.6</v>
      </c>
      <c r="J156" s="123">
        <v>226411.33</v>
      </c>
    </row>
    <row r="157" spans="1:10" s="91" customFormat="1" x14ac:dyDescent="0.3">
      <c r="A157" s="97"/>
      <c r="B157" s="98"/>
      <c r="C157" s="119"/>
      <c r="D157" s="98"/>
      <c r="E157" s="690"/>
      <c r="F157" s="97"/>
      <c r="G157" s="691" t="s">
        <v>914</v>
      </c>
      <c r="H157" s="692">
        <f>H156</f>
        <v>474159.93</v>
      </c>
      <c r="I157" s="692">
        <f t="shared" ref="I157:J157" si="4">I156</f>
        <v>247748.6</v>
      </c>
      <c r="J157" s="692">
        <f t="shared" si="4"/>
        <v>226411.33</v>
      </c>
    </row>
    <row r="158" spans="1:10" s="91" customFormat="1" ht="13.8" x14ac:dyDescent="0.3">
      <c r="A158" s="101" t="s">
        <v>949</v>
      </c>
      <c r="B158" s="100"/>
      <c r="C158" s="693"/>
      <c r="D158" s="100"/>
      <c r="E158" s="693"/>
      <c r="F158" s="100"/>
      <c r="G158" s="100"/>
      <c r="H158" s="100"/>
      <c r="I158" s="100"/>
      <c r="J158" s="100"/>
    </row>
    <row r="159" spans="1:10" s="91" customFormat="1" ht="26.4" x14ac:dyDescent="0.3">
      <c r="A159" s="97" t="s">
        <v>906</v>
      </c>
      <c r="B159" s="98" t="s">
        <v>938</v>
      </c>
      <c r="C159" s="124" t="s">
        <v>950</v>
      </c>
      <c r="D159" s="120" t="s">
        <v>951</v>
      </c>
      <c r="E159" s="689">
        <v>44821</v>
      </c>
      <c r="F159" s="122">
        <v>5</v>
      </c>
      <c r="G159" s="120" t="s">
        <v>66</v>
      </c>
      <c r="H159" s="123">
        <v>2999753.58</v>
      </c>
      <c r="I159" s="123">
        <v>47496.1</v>
      </c>
      <c r="J159" s="123">
        <v>2952257.48</v>
      </c>
    </row>
    <row r="160" spans="1:10" s="91" customFormat="1" ht="26.4" x14ac:dyDescent="0.3">
      <c r="A160" s="97" t="s">
        <v>906</v>
      </c>
      <c r="B160" s="98" t="s">
        <v>938</v>
      </c>
      <c r="C160" s="124" t="s">
        <v>952</v>
      </c>
      <c r="D160" s="120" t="s">
        <v>953</v>
      </c>
      <c r="E160" s="689">
        <v>44897</v>
      </c>
      <c r="F160" s="122">
        <v>5</v>
      </c>
      <c r="G160" s="120" t="s">
        <v>66</v>
      </c>
      <c r="H160" s="123">
        <v>2597892.0299999998</v>
      </c>
      <c r="I160" s="123">
        <v>41133.29</v>
      </c>
      <c r="J160" s="123">
        <v>2556758.7400000002</v>
      </c>
    </row>
    <row r="161" spans="1:10" s="91" customFormat="1" x14ac:dyDescent="0.3">
      <c r="A161" s="97"/>
      <c r="B161" s="98"/>
      <c r="C161" s="119"/>
      <c r="D161" s="98"/>
      <c r="E161" s="690"/>
      <c r="F161" s="97"/>
      <c r="G161" s="691" t="s">
        <v>914</v>
      </c>
      <c r="H161" s="692">
        <f>SUM(H159:H160)</f>
        <v>5597645.6099999994</v>
      </c>
      <c r="I161" s="692">
        <f t="shared" ref="I161:J161" si="5">SUM(I159:I160)</f>
        <v>88629.39</v>
      </c>
      <c r="J161" s="692">
        <f t="shared" si="5"/>
        <v>5509016.2200000007</v>
      </c>
    </row>
    <row r="162" spans="1:10" s="91" customFormat="1" ht="13.8" x14ac:dyDescent="0.3">
      <c r="A162" s="101" t="s">
        <v>954</v>
      </c>
      <c r="B162" s="100"/>
      <c r="C162" s="693"/>
      <c r="D162" s="100"/>
      <c r="E162" s="693"/>
      <c r="F162" s="100"/>
      <c r="G162" s="100"/>
      <c r="H162" s="100"/>
      <c r="I162" s="100"/>
      <c r="J162" s="100"/>
    </row>
    <row r="163" spans="1:10" s="91" customFormat="1" ht="26.4" x14ac:dyDescent="0.3">
      <c r="A163" s="97" t="s">
        <v>860</v>
      </c>
      <c r="B163" s="98" t="s">
        <v>861</v>
      </c>
      <c r="C163" s="124" t="s">
        <v>69</v>
      </c>
      <c r="D163" s="98" t="s">
        <v>70</v>
      </c>
      <c r="E163" s="689">
        <v>42565</v>
      </c>
      <c r="F163" s="122">
        <v>25</v>
      </c>
      <c r="G163" s="120" t="s">
        <v>66</v>
      </c>
      <c r="H163" s="123">
        <v>592152.67000000004</v>
      </c>
      <c r="I163" s="123">
        <v>139649.19</v>
      </c>
      <c r="J163" s="123">
        <v>452503.48</v>
      </c>
    </row>
    <row r="164" spans="1:10" s="91" customFormat="1" ht="26.4" x14ac:dyDescent="0.3">
      <c r="A164" s="97" t="s">
        <v>860</v>
      </c>
      <c r="B164" s="98" t="s">
        <v>861</v>
      </c>
      <c r="C164" s="124" t="s">
        <v>146</v>
      </c>
      <c r="D164" s="98" t="s">
        <v>147</v>
      </c>
      <c r="E164" s="689">
        <v>41743</v>
      </c>
      <c r="F164" s="122">
        <v>25</v>
      </c>
      <c r="G164" s="120" t="s">
        <v>66</v>
      </c>
      <c r="H164" s="123">
        <v>495923.84</v>
      </c>
      <c r="I164" s="123">
        <v>152213.6</v>
      </c>
      <c r="J164" s="123">
        <v>343710.24</v>
      </c>
    </row>
    <row r="165" spans="1:10" s="91" customFormat="1" ht="26.4" x14ac:dyDescent="0.3">
      <c r="A165" s="97" t="s">
        <v>860</v>
      </c>
      <c r="B165" s="98" t="s">
        <v>861</v>
      </c>
      <c r="C165" s="124" t="s">
        <v>151</v>
      </c>
      <c r="D165" s="98" t="s">
        <v>152</v>
      </c>
      <c r="E165" s="689">
        <v>42384</v>
      </c>
      <c r="F165" s="122">
        <v>25</v>
      </c>
      <c r="G165" s="120" t="s">
        <v>66</v>
      </c>
      <c r="H165" s="123">
        <v>143698.29999999999</v>
      </c>
      <c r="I165" s="123">
        <v>36762.480000000003</v>
      </c>
      <c r="J165" s="123">
        <v>106935.82</v>
      </c>
    </row>
    <row r="166" spans="1:10" s="91" customFormat="1" ht="26.4" x14ac:dyDescent="0.3">
      <c r="A166" s="97" t="s">
        <v>860</v>
      </c>
      <c r="B166" s="98" t="s">
        <v>861</v>
      </c>
      <c r="C166" s="124" t="s">
        <v>157</v>
      </c>
      <c r="D166" s="98" t="s">
        <v>158</v>
      </c>
      <c r="E166" s="689">
        <v>43307</v>
      </c>
      <c r="F166" s="122">
        <v>25</v>
      </c>
      <c r="G166" s="120" t="s">
        <v>66</v>
      </c>
      <c r="H166" s="123">
        <v>680257.24</v>
      </c>
      <c r="I166" s="123">
        <v>103739.07</v>
      </c>
      <c r="J166" s="123">
        <v>576518.17000000004</v>
      </c>
    </row>
    <row r="167" spans="1:10" s="91" customFormat="1" ht="26.4" x14ac:dyDescent="0.3">
      <c r="A167" s="97" t="s">
        <v>860</v>
      </c>
      <c r="B167" s="98" t="s">
        <v>861</v>
      </c>
      <c r="C167" s="124" t="s">
        <v>160</v>
      </c>
      <c r="D167" s="98" t="s">
        <v>161</v>
      </c>
      <c r="E167" s="689">
        <v>43644</v>
      </c>
      <c r="F167" s="122">
        <v>25</v>
      </c>
      <c r="G167" s="120" t="s">
        <v>66</v>
      </c>
      <c r="H167" s="123">
        <v>344230.32</v>
      </c>
      <c r="I167" s="123">
        <v>39873.199999999997</v>
      </c>
      <c r="J167" s="123">
        <v>304357.12</v>
      </c>
    </row>
    <row r="168" spans="1:10" s="91" customFormat="1" ht="39.6" x14ac:dyDescent="0.3">
      <c r="A168" s="97" t="s">
        <v>860</v>
      </c>
      <c r="B168" s="98" t="s">
        <v>168</v>
      </c>
      <c r="C168" s="124" t="s">
        <v>207</v>
      </c>
      <c r="D168" s="98" t="s">
        <v>208</v>
      </c>
      <c r="E168" s="689">
        <v>43251</v>
      </c>
      <c r="F168" s="122">
        <v>25</v>
      </c>
      <c r="G168" s="120" t="s">
        <v>66</v>
      </c>
      <c r="H168" s="123">
        <v>993225.09</v>
      </c>
      <c r="I168" s="123">
        <v>176959.56</v>
      </c>
      <c r="J168" s="123">
        <v>816265.53</v>
      </c>
    </row>
    <row r="169" spans="1:10" s="91" customFormat="1" x14ac:dyDescent="0.3">
      <c r="A169" s="97"/>
      <c r="B169" s="98"/>
      <c r="C169" s="119"/>
      <c r="D169" s="98"/>
      <c r="E169" s="690"/>
      <c r="F169" s="97"/>
      <c r="G169" s="691" t="s">
        <v>914</v>
      </c>
      <c r="H169" s="692">
        <f>SUM(H163:H168)</f>
        <v>3249487.46</v>
      </c>
      <c r="I169" s="692">
        <f t="shared" ref="I169:J169" si="6">SUM(I163:I168)</f>
        <v>649197.10000000009</v>
      </c>
      <c r="J169" s="692">
        <f t="shared" si="6"/>
        <v>2600290.3600000003</v>
      </c>
    </row>
    <row r="170" spans="1:10" s="91" customFormat="1" x14ac:dyDescent="0.3">
      <c r="A170" s="610"/>
      <c r="B170" s="610"/>
      <c r="C170" s="695"/>
      <c r="D170" s="610"/>
      <c r="E170" s="695"/>
      <c r="F170" s="610"/>
      <c r="G170" s="696" t="s">
        <v>955</v>
      </c>
      <c r="H170" s="697">
        <f>SUM(H169,H161,H157,H154,H132,H118,H115)</f>
        <v>247296051.67000002</v>
      </c>
      <c r="I170" s="697">
        <f>SUM(I169,I161,I157,I154,I132,I118,I115)</f>
        <v>44845423.520000003</v>
      </c>
      <c r="J170" s="697">
        <f>SUM(J169,J161,J157,J154,J132,J118,J115)</f>
        <v>202450628.15000004</v>
      </c>
    </row>
  </sheetData>
  <sheetProtection algorithmName="SHA-512" hashValue="dcndO/EM98yj1gQfQVlduTJzqhLMyqBX5WUd24DDJCmzaFiIzpKe1AVzQioK4BFLyDsfRGEWCj4mbYqvDSL84g==" saltValue="E+Mw+LHn+EEEZ3D4MrRn2A==" spinCount="100000" sheet="1" objects="1" scenarios="1" selectLockedCells="1" selectUnlockedCells="1"/>
  <printOptions horizontalCentered="1"/>
  <pageMargins left="0.70866141732283472" right="0.70866141732283472" top="1.4960629921259843" bottom="0.74803149606299213" header="0.31496062992125984" footer="0.31496062992125984"/>
  <pageSetup scale="69" fitToHeight="0" orientation="landscape" r:id="rId1"/>
  <headerFooter>
    <oddHeader>&amp;R&amp;"Times New Roman,Regular"&amp;12
Annex F
AAR Page 114</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36"/>
  <sheetViews>
    <sheetView zoomScaleNormal="100" zoomScaleSheetLayoutView="80" workbookViewId="0"/>
  </sheetViews>
  <sheetFormatPr defaultColWidth="8.88671875" defaultRowHeight="13.2" x14ac:dyDescent="0.25"/>
  <cols>
    <col min="1" max="1" width="10.33203125" style="93" customWidth="1"/>
    <col min="2" max="2" width="11.44140625" style="91" bestFit="1" customWidth="1"/>
    <col min="3" max="3" width="18.109375" style="91" bestFit="1" customWidth="1"/>
    <col min="4" max="4" width="19.33203125" style="102" bestFit="1" customWidth="1"/>
    <col min="5" max="5" width="12.44140625" style="103" bestFit="1" customWidth="1"/>
    <col min="6" max="6" width="61.33203125" style="93" bestFit="1" customWidth="1"/>
    <col min="7" max="7" width="12" style="92" bestFit="1" customWidth="1"/>
    <col min="8" max="8" width="4.44140625" style="93" bestFit="1" customWidth="1"/>
    <col min="9" max="9" width="21.33203125" style="93" bestFit="1" customWidth="1"/>
    <col min="10" max="10" width="11.33203125" style="93" bestFit="1" customWidth="1"/>
    <col min="11" max="11" width="11.88671875" style="93" bestFit="1" customWidth="1"/>
    <col min="12" max="12" width="11.33203125" style="93" bestFit="1" customWidth="1"/>
    <col min="13" max="16384" width="8.88671875" style="93"/>
  </cols>
  <sheetData>
    <row r="1" spans="1:12" x14ac:dyDescent="0.25">
      <c r="A1" s="4" t="s">
        <v>0</v>
      </c>
    </row>
    <row r="2" spans="1:12" x14ac:dyDescent="0.25">
      <c r="A2" s="4" t="s">
        <v>3</v>
      </c>
    </row>
    <row r="3" spans="1:12" x14ac:dyDescent="0.25">
      <c r="A3" s="7" t="s">
        <v>956</v>
      </c>
    </row>
    <row r="4" spans="1:12" x14ac:dyDescent="0.25">
      <c r="A4" s="4" t="s">
        <v>5</v>
      </c>
    </row>
    <row r="6" spans="1:12" ht="26.4" x14ac:dyDescent="0.25">
      <c r="A6" s="104" t="s">
        <v>957</v>
      </c>
      <c r="B6" s="105" t="s">
        <v>855</v>
      </c>
      <c r="C6" s="8" t="s">
        <v>958</v>
      </c>
      <c r="D6" s="8" t="s">
        <v>6</v>
      </c>
      <c r="E6" s="8" t="s">
        <v>7</v>
      </c>
      <c r="F6" s="8" t="s">
        <v>8</v>
      </c>
      <c r="G6" s="8" t="s">
        <v>856</v>
      </c>
      <c r="H6" s="8" t="s">
        <v>10</v>
      </c>
      <c r="I6" s="8" t="s">
        <v>857</v>
      </c>
      <c r="J6" s="8" t="s">
        <v>13</v>
      </c>
      <c r="K6" s="8" t="s">
        <v>858</v>
      </c>
      <c r="L6" s="8" t="s">
        <v>15</v>
      </c>
    </row>
    <row r="7" spans="1:12" s="91" customFormat="1" ht="26.4" x14ac:dyDescent="0.3">
      <c r="A7" s="790" t="s">
        <v>959</v>
      </c>
      <c r="B7" s="97" t="s">
        <v>860</v>
      </c>
      <c r="C7" s="106" t="s">
        <v>960</v>
      </c>
      <c r="D7" s="107" t="s">
        <v>961</v>
      </c>
      <c r="E7" s="108" t="s">
        <v>962</v>
      </c>
      <c r="F7" s="120" t="s">
        <v>963</v>
      </c>
      <c r="G7" s="689">
        <v>44070</v>
      </c>
      <c r="H7" s="122">
        <v>10</v>
      </c>
      <c r="I7" s="120" t="s">
        <v>964</v>
      </c>
      <c r="J7" s="123">
        <v>80000</v>
      </c>
      <c r="K7" s="123">
        <v>17099.96</v>
      </c>
      <c r="L7" s="123">
        <v>62900.04</v>
      </c>
    </row>
    <row r="8" spans="1:12" s="91" customFormat="1" ht="26.4" x14ac:dyDescent="0.3">
      <c r="A8" s="790"/>
      <c r="B8" s="97" t="s">
        <v>860</v>
      </c>
      <c r="C8" s="106" t="s">
        <v>960</v>
      </c>
      <c r="D8" s="107" t="s">
        <v>961</v>
      </c>
      <c r="E8" s="108" t="s">
        <v>965</v>
      </c>
      <c r="F8" s="120" t="s">
        <v>966</v>
      </c>
      <c r="G8" s="689">
        <v>44070</v>
      </c>
      <c r="H8" s="122">
        <v>10</v>
      </c>
      <c r="I8" s="120" t="s">
        <v>964</v>
      </c>
      <c r="J8" s="123">
        <v>80000</v>
      </c>
      <c r="K8" s="123">
        <v>17099.96</v>
      </c>
      <c r="L8" s="123">
        <v>62900.04</v>
      </c>
    </row>
    <row r="9" spans="1:12" s="91" customFormat="1" ht="26.4" x14ac:dyDescent="0.3">
      <c r="A9" s="790"/>
      <c r="B9" s="97" t="s">
        <v>860</v>
      </c>
      <c r="C9" s="106" t="s">
        <v>960</v>
      </c>
      <c r="D9" s="107" t="s">
        <v>961</v>
      </c>
      <c r="E9" s="108" t="s">
        <v>967</v>
      </c>
      <c r="F9" s="120" t="s">
        <v>968</v>
      </c>
      <c r="G9" s="689">
        <v>44070</v>
      </c>
      <c r="H9" s="122">
        <v>10</v>
      </c>
      <c r="I9" s="120" t="s">
        <v>964</v>
      </c>
      <c r="J9" s="123">
        <v>80000</v>
      </c>
      <c r="K9" s="123">
        <v>17099.96</v>
      </c>
      <c r="L9" s="123">
        <v>62900.04</v>
      </c>
    </row>
    <row r="10" spans="1:12" s="91" customFormat="1" ht="26.4" x14ac:dyDescent="0.3">
      <c r="A10" s="790"/>
      <c r="B10" s="97" t="s">
        <v>860</v>
      </c>
      <c r="C10" s="106" t="s">
        <v>960</v>
      </c>
      <c r="D10" s="107" t="s">
        <v>961</v>
      </c>
      <c r="E10" s="108" t="s">
        <v>969</v>
      </c>
      <c r="F10" s="120" t="s">
        <v>970</v>
      </c>
      <c r="G10" s="689">
        <v>44070</v>
      </c>
      <c r="H10" s="122">
        <v>10</v>
      </c>
      <c r="I10" s="120" t="s">
        <v>964</v>
      </c>
      <c r="J10" s="123">
        <v>80000</v>
      </c>
      <c r="K10" s="123">
        <v>17099.96</v>
      </c>
      <c r="L10" s="123">
        <v>62900.04</v>
      </c>
    </row>
    <row r="11" spans="1:12" s="91" customFormat="1" ht="26.4" x14ac:dyDescent="0.3">
      <c r="A11" s="790"/>
      <c r="B11" s="97" t="s">
        <v>860</v>
      </c>
      <c r="C11" s="106" t="s">
        <v>960</v>
      </c>
      <c r="D11" s="107" t="s">
        <v>971</v>
      </c>
      <c r="E11" s="108" t="s">
        <v>972</v>
      </c>
      <c r="F11" s="120" t="s">
        <v>973</v>
      </c>
      <c r="G11" s="689">
        <v>40883</v>
      </c>
      <c r="H11" s="122">
        <v>5</v>
      </c>
      <c r="I11" s="120" t="s">
        <v>974</v>
      </c>
      <c r="J11" s="123">
        <v>94000</v>
      </c>
      <c r="K11" s="123">
        <v>91908.5</v>
      </c>
      <c r="L11" s="123">
        <v>2091.5</v>
      </c>
    </row>
    <row r="12" spans="1:12" s="91" customFormat="1" ht="26.4" x14ac:dyDescent="0.3">
      <c r="A12" s="790"/>
      <c r="B12" s="97" t="s">
        <v>860</v>
      </c>
      <c r="C12" s="106" t="s">
        <v>960</v>
      </c>
      <c r="D12" s="107" t="s">
        <v>971</v>
      </c>
      <c r="E12" s="108" t="s">
        <v>975</v>
      </c>
      <c r="F12" s="120" t="s">
        <v>976</v>
      </c>
      <c r="G12" s="689">
        <v>38924</v>
      </c>
      <c r="H12" s="122">
        <v>4</v>
      </c>
      <c r="I12" s="120" t="s">
        <v>66</v>
      </c>
      <c r="J12" s="123">
        <v>85260</v>
      </c>
      <c r="K12" s="123">
        <v>76734</v>
      </c>
      <c r="L12" s="123">
        <v>8526</v>
      </c>
    </row>
    <row r="13" spans="1:12" s="91" customFormat="1" ht="39.6" x14ac:dyDescent="0.3">
      <c r="A13" s="790"/>
      <c r="B13" s="97" t="s">
        <v>860</v>
      </c>
      <c r="C13" s="106" t="s">
        <v>960</v>
      </c>
      <c r="D13" s="107" t="s">
        <v>971</v>
      </c>
      <c r="E13" s="108" t="s">
        <v>977</v>
      </c>
      <c r="F13" s="120" t="s">
        <v>978</v>
      </c>
      <c r="G13" s="689">
        <v>40639</v>
      </c>
      <c r="H13" s="122">
        <v>5</v>
      </c>
      <c r="I13" s="120" t="s">
        <v>66</v>
      </c>
      <c r="J13" s="123">
        <v>1150000</v>
      </c>
      <c r="K13" s="123">
        <v>1131312.5</v>
      </c>
      <c r="L13" s="123">
        <v>18687.5</v>
      </c>
    </row>
    <row r="14" spans="1:12" s="91" customFormat="1" ht="39.6" x14ac:dyDescent="0.3">
      <c r="A14" s="790"/>
      <c r="B14" s="97" t="s">
        <v>860</v>
      </c>
      <c r="C14" s="109" t="s">
        <v>574</v>
      </c>
      <c r="D14" s="107" t="s">
        <v>979</v>
      </c>
      <c r="E14" s="108" t="s">
        <v>980</v>
      </c>
      <c r="F14" s="120" t="s">
        <v>981</v>
      </c>
      <c r="G14" s="689">
        <v>40472</v>
      </c>
      <c r="H14" s="122">
        <v>5</v>
      </c>
      <c r="I14" s="120" t="s">
        <v>66</v>
      </c>
      <c r="J14" s="123">
        <v>2480000</v>
      </c>
      <c r="K14" s="123">
        <v>2461400</v>
      </c>
      <c r="L14" s="123">
        <v>18600</v>
      </c>
    </row>
    <row r="15" spans="1:12" s="91" customFormat="1" ht="39.6" x14ac:dyDescent="0.3">
      <c r="A15" s="790"/>
      <c r="B15" s="97" t="s">
        <v>860</v>
      </c>
      <c r="C15" s="109" t="s">
        <v>574</v>
      </c>
      <c r="D15" s="107" t="s">
        <v>979</v>
      </c>
      <c r="E15" s="108" t="s">
        <v>982</v>
      </c>
      <c r="F15" s="120" t="s">
        <v>983</v>
      </c>
      <c r="G15" s="689">
        <v>42783</v>
      </c>
      <c r="H15" s="122">
        <v>5</v>
      </c>
      <c r="I15" s="120" t="s">
        <v>984</v>
      </c>
      <c r="J15" s="123">
        <v>591750</v>
      </c>
      <c r="K15" s="123">
        <v>532575.18000000005</v>
      </c>
      <c r="L15" s="123">
        <v>59174.82</v>
      </c>
    </row>
    <row r="16" spans="1:12" s="91" customFormat="1" ht="39.6" x14ac:dyDescent="0.3">
      <c r="A16" s="790"/>
      <c r="B16" s="97" t="s">
        <v>860</v>
      </c>
      <c r="C16" s="109" t="s">
        <v>574</v>
      </c>
      <c r="D16" s="107" t="s">
        <v>985</v>
      </c>
      <c r="E16" s="108" t="s">
        <v>986</v>
      </c>
      <c r="F16" s="120" t="s">
        <v>987</v>
      </c>
      <c r="G16" s="689">
        <v>41984</v>
      </c>
      <c r="H16" s="122">
        <v>5</v>
      </c>
      <c r="I16" s="120" t="s">
        <v>964</v>
      </c>
      <c r="J16" s="123">
        <v>54000</v>
      </c>
      <c r="K16" s="123">
        <v>56478.48</v>
      </c>
      <c r="L16" s="123">
        <v>-2478.48</v>
      </c>
    </row>
    <row r="17" spans="1:12" s="91" customFormat="1" x14ac:dyDescent="0.3">
      <c r="A17" s="111"/>
      <c r="B17" s="111"/>
      <c r="C17" s="112"/>
      <c r="D17" s="113"/>
      <c r="E17" s="114"/>
      <c r="F17" s="126"/>
      <c r="G17" s="698"/>
      <c r="H17" s="128"/>
      <c r="I17" s="129" t="s">
        <v>914</v>
      </c>
      <c r="J17" s="130">
        <f>SUM(J7:J16)</f>
        <v>4775010</v>
      </c>
      <c r="K17" s="130">
        <f t="shared" ref="K17:L17" si="0">SUM(K7:K16)</f>
        <v>4418808.5</v>
      </c>
      <c r="L17" s="130">
        <f t="shared" si="0"/>
        <v>356201.50000000006</v>
      </c>
    </row>
    <row r="18" spans="1:12" s="91" customFormat="1" ht="39.6" x14ac:dyDescent="0.3">
      <c r="A18" s="791" t="s">
        <v>988</v>
      </c>
      <c r="B18" s="97" t="s">
        <v>860</v>
      </c>
      <c r="C18" s="116" t="s">
        <v>960</v>
      </c>
      <c r="D18" s="107" t="s">
        <v>989</v>
      </c>
      <c r="E18" s="108" t="s">
        <v>990</v>
      </c>
      <c r="F18" s="120" t="s">
        <v>991</v>
      </c>
      <c r="G18" s="689">
        <v>40031</v>
      </c>
      <c r="H18" s="122">
        <v>5</v>
      </c>
      <c r="I18" s="120" t="s">
        <v>66</v>
      </c>
      <c r="J18" s="123">
        <v>52500</v>
      </c>
      <c r="K18" s="123">
        <v>47250</v>
      </c>
      <c r="L18" s="123">
        <v>5250</v>
      </c>
    </row>
    <row r="19" spans="1:12" s="91" customFormat="1" ht="26.4" x14ac:dyDescent="0.3">
      <c r="A19" s="791"/>
      <c r="B19" s="97" t="s">
        <v>860</v>
      </c>
      <c r="C19" s="116" t="s">
        <v>960</v>
      </c>
      <c r="D19" s="107" t="s">
        <v>989</v>
      </c>
      <c r="E19" s="108" t="s">
        <v>992</v>
      </c>
      <c r="F19" s="120" t="s">
        <v>993</v>
      </c>
      <c r="G19" s="689">
        <v>43448</v>
      </c>
      <c r="H19" s="122">
        <v>10</v>
      </c>
      <c r="I19" s="120" t="s">
        <v>66</v>
      </c>
      <c r="J19" s="123">
        <v>159998</v>
      </c>
      <c r="K19" s="123">
        <v>62065.85</v>
      </c>
      <c r="L19" s="123">
        <v>97932.15</v>
      </c>
    </row>
    <row r="20" spans="1:12" s="91" customFormat="1" ht="26.4" x14ac:dyDescent="0.3">
      <c r="A20" s="791"/>
      <c r="B20" s="97" t="s">
        <v>860</v>
      </c>
      <c r="C20" s="116" t="s">
        <v>960</v>
      </c>
      <c r="D20" s="107" t="s">
        <v>989</v>
      </c>
      <c r="E20" s="108" t="s">
        <v>994</v>
      </c>
      <c r="F20" s="120" t="s">
        <v>995</v>
      </c>
      <c r="G20" s="689">
        <v>43262</v>
      </c>
      <c r="H20" s="122">
        <v>10</v>
      </c>
      <c r="I20" s="120" t="s">
        <v>66</v>
      </c>
      <c r="J20" s="123">
        <v>149900</v>
      </c>
      <c r="K20" s="123">
        <v>65269.05</v>
      </c>
      <c r="L20" s="123">
        <v>84630.95</v>
      </c>
    </row>
    <row r="21" spans="1:12" s="91" customFormat="1" ht="39.6" x14ac:dyDescent="0.3">
      <c r="A21" s="791"/>
      <c r="B21" s="97" t="s">
        <v>860</v>
      </c>
      <c r="C21" s="116" t="s">
        <v>960</v>
      </c>
      <c r="D21" s="107" t="s">
        <v>989</v>
      </c>
      <c r="E21" s="108" t="s">
        <v>996</v>
      </c>
      <c r="F21" s="120" t="s">
        <v>997</v>
      </c>
      <c r="G21" s="689">
        <v>44120</v>
      </c>
      <c r="H21" s="122">
        <v>10</v>
      </c>
      <c r="I21" s="120" t="s">
        <v>66</v>
      </c>
      <c r="J21" s="123">
        <v>892030</v>
      </c>
      <c r="K21" s="123">
        <v>155361.79999999999</v>
      </c>
      <c r="L21" s="123">
        <v>736668.2</v>
      </c>
    </row>
    <row r="22" spans="1:12" s="91" customFormat="1" ht="52.8" x14ac:dyDescent="0.3">
      <c r="A22" s="791"/>
      <c r="B22" s="97" t="s">
        <v>860</v>
      </c>
      <c r="C22" s="116" t="s">
        <v>960</v>
      </c>
      <c r="D22" s="107" t="s">
        <v>989</v>
      </c>
      <c r="E22" s="108" t="s">
        <v>998</v>
      </c>
      <c r="F22" s="120" t="s">
        <v>999</v>
      </c>
      <c r="G22" s="689">
        <v>43054</v>
      </c>
      <c r="H22" s="122">
        <v>10</v>
      </c>
      <c r="I22" s="120" t="s">
        <v>1000</v>
      </c>
      <c r="J22" s="123">
        <v>159800</v>
      </c>
      <c r="K22" s="123">
        <v>76304.34</v>
      </c>
      <c r="L22" s="123">
        <v>83495.66</v>
      </c>
    </row>
    <row r="23" spans="1:12" s="91" customFormat="1" ht="26.4" x14ac:dyDescent="0.3">
      <c r="A23" s="791"/>
      <c r="B23" s="97" t="s">
        <v>860</v>
      </c>
      <c r="C23" s="117" t="s">
        <v>574</v>
      </c>
      <c r="D23" s="107" t="s">
        <v>1001</v>
      </c>
      <c r="E23" s="108" t="s">
        <v>1002</v>
      </c>
      <c r="F23" s="120" t="s">
        <v>1003</v>
      </c>
      <c r="G23" s="689">
        <v>41627</v>
      </c>
      <c r="H23" s="122">
        <v>5</v>
      </c>
      <c r="I23" s="120" t="s">
        <v>21</v>
      </c>
      <c r="J23" s="123">
        <v>79500</v>
      </c>
      <c r="K23" s="123">
        <v>76638</v>
      </c>
      <c r="L23" s="123">
        <v>2862</v>
      </c>
    </row>
    <row r="24" spans="1:12" s="91" customFormat="1" ht="26.4" x14ac:dyDescent="0.3">
      <c r="A24" s="791"/>
      <c r="B24" s="97" t="s">
        <v>860</v>
      </c>
      <c r="C24" s="117" t="s">
        <v>574</v>
      </c>
      <c r="D24" s="107" t="s">
        <v>1001</v>
      </c>
      <c r="E24" s="108" t="s">
        <v>1004</v>
      </c>
      <c r="F24" s="120" t="s">
        <v>1005</v>
      </c>
      <c r="G24" s="689">
        <v>40884</v>
      </c>
      <c r="H24" s="122">
        <v>5</v>
      </c>
      <c r="I24" s="120" t="s">
        <v>1006</v>
      </c>
      <c r="J24" s="123">
        <v>25869</v>
      </c>
      <c r="K24" s="123">
        <v>25422.77</v>
      </c>
      <c r="L24" s="123">
        <v>446.23</v>
      </c>
    </row>
    <row r="25" spans="1:12" s="91" customFormat="1" ht="26.4" x14ac:dyDescent="0.3">
      <c r="A25" s="791"/>
      <c r="B25" s="97" t="s">
        <v>860</v>
      </c>
      <c r="C25" s="117" t="s">
        <v>574</v>
      </c>
      <c r="D25" s="107" t="s">
        <v>1001</v>
      </c>
      <c r="E25" s="108" t="s">
        <v>1007</v>
      </c>
      <c r="F25" s="120" t="s">
        <v>1008</v>
      </c>
      <c r="G25" s="689">
        <v>44466</v>
      </c>
      <c r="H25" s="122">
        <v>5</v>
      </c>
      <c r="I25" s="120" t="s">
        <v>66</v>
      </c>
      <c r="J25" s="123">
        <v>109900</v>
      </c>
      <c r="K25" s="123">
        <v>20880.96</v>
      </c>
      <c r="L25" s="123">
        <v>89019.04</v>
      </c>
    </row>
    <row r="26" spans="1:12" s="91" customFormat="1" ht="26.4" x14ac:dyDescent="0.3">
      <c r="A26" s="791"/>
      <c r="B26" s="97" t="s">
        <v>860</v>
      </c>
      <c r="C26" s="117" t="s">
        <v>574</v>
      </c>
      <c r="D26" s="107" t="s">
        <v>1001</v>
      </c>
      <c r="E26" s="108" t="s">
        <v>1009</v>
      </c>
      <c r="F26" s="120" t="s">
        <v>1010</v>
      </c>
      <c r="G26" s="689">
        <v>44466</v>
      </c>
      <c r="H26" s="122">
        <v>5</v>
      </c>
      <c r="I26" s="120" t="s">
        <v>66</v>
      </c>
      <c r="J26" s="123">
        <v>109900</v>
      </c>
      <c r="K26" s="123">
        <v>20880.96</v>
      </c>
      <c r="L26" s="123">
        <v>89019.04</v>
      </c>
    </row>
    <row r="27" spans="1:12" s="91" customFormat="1" ht="26.4" x14ac:dyDescent="0.3">
      <c r="A27" s="791"/>
      <c r="B27" s="97" t="s">
        <v>860</v>
      </c>
      <c r="C27" s="117" t="s">
        <v>574</v>
      </c>
      <c r="D27" s="107" t="s">
        <v>1001</v>
      </c>
      <c r="E27" s="108" t="s">
        <v>1011</v>
      </c>
      <c r="F27" s="120" t="s">
        <v>1012</v>
      </c>
      <c r="G27" s="689">
        <v>44466</v>
      </c>
      <c r="H27" s="122">
        <v>5</v>
      </c>
      <c r="I27" s="120" t="s">
        <v>66</v>
      </c>
      <c r="J27" s="123">
        <v>109900</v>
      </c>
      <c r="K27" s="123">
        <v>20880.96</v>
      </c>
      <c r="L27" s="123">
        <v>89019.04</v>
      </c>
    </row>
    <row r="28" spans="1:12" s="91" customFormat="1" ht="39.6" x14ac:dyDescent="0.3">
      <c r="A28" s="791"/>
      <c r="B28" s="97" t="s">
        <v>860</v>
      </c>
      <c r="C28" s="117" t="s">
        <v>574</v>
      </c>
      <c r="D28" s="107" t="s">
        <v>1001</v>
      </c>
      <c r="E28" s="108" t="s">
        <v>1013</v>
      </c>
      <c r="F28" s="120" t="s">
        <v>1014</v>
      </c>
      <c r="G28" s="689">
        <v>44553</v>
      </c>
      <c r="H28" s="122">
        <v>5</v>
      </c>
      <c r="I28" s="120" t="s">
        <v>66</v>
      </c>
      <c r="J28" s="123">
        <v>248500</v>
      </c>
      <c r="K28" s="123">
        <v>47214.96</v>
      </c>
      <c r="L28" s="123">
        <v>201285.04</v>
      </c>
    </row>
    <row r="29" spans="1:12" s="91" customFormat="1" ht="39.6" x14ac:dyDescent="0.3">
      <c r="A29" s="791"/>
      <c r="B29" s="97" t="s">
        <v>860</v>
      </c>
      <c r="C29" s="117" t="s">
        <v>574</v>
      </c>
      <c r="D29" s="107" t="s">
        <v>1001</v>
      </c>
      <c r="E29" s="108" t="s">
        <v>1015</v>
      </c>
      <c r="F29" s="120" t="s">
        <v>1016</v>
      </c>
      <c r="G29" s="689">
        <v>44553</v>
      </c>
      <c r="H29" s="122">
        <v>5</v>
      </c>
      <c r="I29" s="120" t="s">
        <v>66</v>
      </c>
      <c r="J29" s="123">
        <v>1198900</v>
      </c>
      <c r="K29" s="123">
        <v>227790.96</v>
      </c>
      <c r="L29" s="123">
        <v>971109.04</v>
      </c>
    </row>
    <row r="30" spans="1:12" s="91" customFormat="1" ht="26.4" x14ac:dyDescent="0.3">
      <c r="A30" s="791"/>
      <c r="B30" s="97" t="s">
        <v>860</v>
      </c>
      <c r="C30" s="117" t="s">
        <v>574</v>
      </c>
      <c r="D30" s="107" t="s">
        <v>1001</v>
      </c>
      <c r="E30" s="108" t="s">
        <v>1017</v>
      </c>
      <c r="F30" s="120" t="s">
        <v>1018</v>
      </c>
      <c r="G30" s="689">
        <v>44553</v>
      </c>
      <c r="H30" s="122">
        <v>5</v>
      </c>
      <c r="I30" s="120" t="s">
        <v>66</v>
      </c>
      <c r="J30" s="123">
        <v>259148</v>
      </c>
      <c r="K30" s="123">
        <v>49238.16</v>
      </c>
      <c r="L30" s="123">
        <v>209909.84</v>
      </c>
    </row>
    <row r="31" spans="1:12" s="91" customFormat="1" ht="39.6" x14ac:dyDescent="0.3">
      <c r="A31" s="791"/>
      <c r="B31" s="97" t="s">
        <v>860</v>
      </c>
      <c r="C31" s="117" t="s">
        <v>574</v>
      </c>
      <c r="D31" s="107" t="s">
        <v>1019</v>
      </c>
      <c r="E31" s="108" t="s">
        <v>1020</v>
      </c>
      <c r="F31" s="120" t="s">
        <v>1021</v>
      </c>
      <c r="G31" s="689">
        <v>43455</v>
      </c>
      <c r="H31" s="122">
        <v>5</v>
      </c>
      <c r="I31" s="120" t="s">
        <v>66</v>
      </c>
      <c r="J31" s="123">
        <v>98000</v>
      </c>
      <c r="K31" s="123">
        <v>74480.160000000003</v>
      </c>
      <c r="L31" s="123">
        <v>23519.84</v>
      </c>
    </row>
    <row r="32" spans="1:12" s="91" customFormat="1" ht="39.6" x14ac:dyDescent="0.3">
      <c r="A32" s="791"/>
      <c r="B32" s="97" t="s">
        <v>860</v>
      </c>
      <c r="C32" s="117" t="s">
        <v>574</v>
      </c>
      <c r="D32" s="107" t="s">
        <v>1019</v>
      </c>
      <c r="E32" s="108" t="s">
        <v>1022</v>
      </c>
      <c r="F32" s="120" t="s">
        <v>1023</v>
      </c>
      <c r="G32" s="689">
        <v>42506</v>
      </c>
      <c r="H32" s="122">
        <v>5</v>
      </c>
      <c r="I32" s="120" t="s">
        <v>66</v>
      </c>
      <c r="J32" s="123">
        <v>98000</v>
      </c>
      <c r="K32" s="123">
        <v>93100</v>
      </c>
      <c r="L32" s="123">
        <v>4900</v>
      </c>
    </row>
    <row r="33" spans="1:12" s="91" customFormat="1" x14ac:dyDescent="0.3">
      <c r="A33" s="111"/>
      <c r="B33" s="111"/>
      <c r="C33" s="112"/>
      <c r="D33" s="113"/>
      <c r="E33" s="112"/>
      <c r="F33" s="111"/>
      <c r="G33" s="699"/>
      <c r="H33" s="111"/>
      <c r="I33" s="700" t="s">
        <v>914</v>
      </c>
      <c r="J33" s="701">
        <f>SUM(J18:J32)</f>
        <v>3751845</v>
      </c>
      <c r="K33" s="701">
        <f t="shared" ref="K33:L33" si="1">SUM(K18:K32)</f>
        <v>1062778.93</v>
      </c>
      <c r="L33" s="701">
        <f t="shared" si="1"/>
        <v>2689066.07</v>
      </c>
    </row>
    <row r="34" spans="1:12" s="91" customFormat="1" x14ac:dyDescent="0.3">
      <c r="A34" s="610"/>
      <c r="B34" s="610"/>
      <c r="C34" s="611"/>
      <c r="D34" s="612"/>
      <c r="E34" s="611"/>
      <c r="F34" s="610"/>
      <c r="G34" s="695"/>
      <c r="H34" s="610"/>
      <c r="I34" s="696" t="s">
        <v>1024</v>
      </c>
      <c r="J34" s="702">
        <f>J17+J33</f>
        <v>8526855</v>
      </c>
      <c r="K34" s="702">
        <f>K17+K33</f>
        <v>5481587.4299999997</v>
      </c>
      <c r="L34" s="702">
        <f>L17+L33</f>
        <v>3045267.57</v>
      </c>
    </row>
    <row r="35" spans="1:12" s="91" customFormat="1" x14ac:dyDescent="0.3">
      <c r="D35" s="102"/>
      <c r="E35" s="103"/>
      <c r="G35" s="703"/>
    </row>
    <row r="36" spans="1:12" s="91" customFormat="1" x14ac:dyDescent="0.3">
      <c r="D36" s="102"/>
      <c r="E36" s="103"/>
      <c r="G36" s="703"/>
    </row>
  </sheetData>
  <sheetProtection algorithmName="SHA-512" hashValue="yk38V2f0pofu9uXl++wMU7Myb3RsWkpy3MkhIhn9kCGZy5N40QXepWvJSqTbCSF1DGNxl8Jtx/E29xvmu/BnSA==" saltValue="3wZHKC5D0TDxt1rRIW64bA==" spinCount="100000" sheet="1" objects="1" scenarios="1" selectLockedCells="1" selectUnlockedCells="1"/>
  <mergeCells count="2">
    <mergeCell ref="A7:A16"/>
    <mergeCell ref="A18:A32"/>
  </mergeCells>
  <printOptions horizontalCentered="1"/>
  <pageMargins left="0.70866141732283472" right="0.70866141732283472" top="1.4960629921259843" bottom="0.74803149606299213" header="0.31496062992125984" footer="0.31496062992125984"/>
  <pageSetup scale="59" fitToHeight="0" orientation="landscape" r:id="rId1"/>
  <headerFooter>
    <oddHeader>&amp;R&amp;"Times New Roman,Regular"&amp;12
Annex G
AAR Page 116</oddHeader>
  </headerFooter>
  <rowBreaks count="1" manualBreakCount="1">
    <brk id="22" max="1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175"/>
  <sheetViews>
    <sheetView zoomScaleNormal="100" zoomScaleSheetLayoutView="80" workbookViewId="0"/>
  </sheetViews>
  <sheetFormatPr defaultColWidth="8.88671875" defaultRowHeight="13.2" x14ac:dyDescent="0.25"/>
  <cols>
    <col min="1" max="1" width="14.44140625" style="5" customWidth="1"/>
    <col min="2" max="2" width="15.33203125" style="6" customWidth="1"/>
    <col min="3" max="3" width="14.44140625" style="93" customWidth="1"/>
    <col min="4" max="4" width="46.6640625" style="93" customWidth="1"/>
    <col min="5" max="5" width="13.109375" style="93" customWidth="1"/>
    <col min="6" max="6" width="7" style="93" customWidth="1"/>
    <col min="7" max="7" width="18.5546875" style="93" customWidth="1"/>
    <col min="8" max="8" width="11.88671875" style="93" customWidth="1"/>
    <col min="9" max="9" width="13.33203125" style="93" customWidth="1"/>
    <col min="10" max="10" width="12.88671875" style="93" customWidth="1"/>
    <col min="11" max="16384" width="8.88671875" style="93"/>
  </cols>
  <sheetData>
    <row r="1" spans="1:10" x14ac:dyDescent="0.25">
      <c r="A1" s="4" t="s">
        <v>0</v>
      </c>
    </row>
    <row r="2" spans="1:10" x14ac:dyDescent="0.25">
      <c r="A2" s="4" t="s">
        <v>3</v>
      </c>
    </row>
    <row r="3" spans="1:10" x14ac:dyDescent="0.25">
      <c r="A3" s="7" t="s">
        <v>1025</v>
      </c>
    </row>
    <row r="4" spans="1:10" x14ac:dyDescent="0.25">
      <c r="A4" s="4" t="s">
        <v>5</v>
      </c>
    </row>
    <row r="5" spans="1:10" x14ac:dyDescent="0.25">
      <c r="A5" s="4"/>
    </row>
    <row r="7" spans="1:10" ht="26.4" x14ac:dyDescent="0.25">
      <c r="A7" s="8" t="s">
        <v>855</v>
      </c>
      <c r="B7" s="8" t="s">
        <v>6</v>
      </c>
      <c r="C7" s="8" t="s">
        <v>7</v>
      </c>
      <c r="D7" s="8" t="s">
        <v>8</v>
      </c>
      <c r="E7" s="105" t="s">
        <v>856</v>
      </c>
      <c r="F7" s="8" t="s">
        <v>10</v>
      </c>
      <c r="G7" s="8" t="s">
        <v>857</v>
      </c>
      <c r="H7" s="8" t="s">
        <v>13</v>
      </c>
      <c r="I7" s="8" t="s">
        <v>858</v>
      </c>
      <c r="J7" s="8" t="s">
        <v>15</v>
      </c>
    </row>
    <row r="8" spans="1:10" x14ac:dyDescent="0.25">
      <c r="A8" s="792" t="s">
        <v>254</v>
      </c>
      <c r="B8" s="793"/>
      <c r="C8" s="793"/>
      <c r="D8" s="793"/>
      <c r="E8" s="793"/>
      <c r="F8" s="793"/>
      <c r="G8" s="793"/>
      <c r="H8" s="793"/>
      <c r="I8" s="793"/>
      <c r="J8" s="794"/>
    </row>
    <row r="9" spans="1:10" ht="26.4" x14ac:dyDescent="0.25">
      <c r="A9" s="98" t="s">
        <v>1026</v>
      </c>
      <c r="B9" s="119" t="s">
        <v>1027</v>
      </c>
      <c r="C9" s="108" t="s">
        <v>1028</v>
      </c>
      <c r="D9" s="120" t="s">
        <v>1029</v>
      </c>
      <c r="E9" s="121">
        <v>44785</v>
      </c>
      <c r="F9" s="122">
        <v>10</v>
      </c>
      <c r="G9" s="120" t="s">
        <v>1030</v>
      </c>
      <c r="H9" s="123">
        <v>15000</v>
      </c>
      <c r="I9" s="123">
        <v>118.75</v>
      </c>
      <c r="J9" s="123">
        <v>14881.25</v>
      </c>
    </row>
    <row r="10" spans="1:10" ht="26.4" x14ac:dyDescent="0.25">
      <c r="A10" s="98" t="s">
        <v>904</v>
      </c>
      <c r="B10" s="124" t="s">
        <v>255</v>
      </c>
      <c r="C10" s="108" t="s">
        <v>256</v>
      </c>
      <c r="D10" s="120" t="s">
        <v>257</v>
      </c>
      <c r="E10" s="121">
        <v>44858</v>
      </c>
      <c r="F10" s="122">
        <v>10</v>
      </c>
      <c r="G10" s="120" t="s">
        <v>258</v>
      </c>
      <c r="H10" s="123">
        <v>24980</v>
      </c>
      <c r="I10" s="123">
        <v>197.76</v>
      </c>
      <c r="J10" s="123">
        <v>24782.240000000002</v>
      </c>
    </row>
    <row r="11" spans="1:10" x14ac:dyDescent="0.25">
      <c r="A11" s="112"/>
      <c r="B11" s="125"/>
      <c r="C11" s="114"/>
      <c r="D11" s="126"/>
      <c r="E11" s="127"/>
      <c r="F11" s="128"/>
      <c r="G11" s="129" t="s">
        <v>914</v>
      </c>
      <c r="H11" s="130">
        <f>SUM(H9:H10)</f>
        <v>39980</v>
      </c>
      <c r="I11" s="130">
        <f t="shared" ref="I11:J11" si="0">SUM(I9:I10)</f>
        <v>316.51</v>
      </c>
      <c r="J11" s="130">
        <f t="shared" si="0"/>
        <v>39663.490000000005</v>
      </c>
    </row>
    <row r="12" spans="1:10" x14ac:dyDescent="0.25">
      <c r="A12" s="792" t="s">
        <v>1031</v>
      </c>
      <c r="B12" s="793"/>
      <c r="C12" s="793"/>
      <c r="D12" s="793"/>
      <c r="E12" s="793"/>
      <c r="F12" s="793"/>
      <c r="G12" s="793"/>
      <c r="H12" s="793"/>
      <c r="I12" s="793"/>
      <c r="J12" s="794"/>
    </row>
    <row r="13" spans="1:10" ht="56.4" customHeight="1" x14ac:dyDescent="0.25">
      <c r="A13" s="98" t="s">
        <v>904</v>
      </c>
      <c r="B13" s="124" t="s">
        <v>261</v>
      </c>
      <c r="C13" s="108" t="s">
        <v>296</v>
      </c>
      <c r="D13" s="120" t="s">
        <v>297</v>
      </c>
      <c r="E13" s="121">
        <v>44798</v>
      </c>
      <c r="F13" s="122">
        <v>5</v>
      </c>
      <c r="G13" s="120" t="s">
        <v>258</v>
      </c>
      <c r="H13" s="123">
        <v>47908</v>
      </c>
      <c r="I13" s="123">
        <v>758.54</v>
      </c>
      <c r="J13" s="123">
        <v>47149.46</v>
      </c>
    </row>
    <row r="14" spans="1:10" ht="55.2" customHeight="1" x14ac:dyDescent="0.25">
      <c r="A14" s="98" t="s">
        <v>904</v>
      </c>
      <c r="B14" s="124" t="s">
        <v>261</v>
      </c>
      <c r="C14" s="108" t="s">
        <v>298</v>
      </c>
      <c r="D14" s="120" t="s">
        <v>299</v>
      </c>
      <c r="E14" s="121">
        <v>44797</v>
      </c>
      <c r="F14" s="122">
        <v>5</v>
      </c>
      <c r="G14" s="120" t="s">
        <v>258</v>
      </c>
      <c r="H14" s="123">
        <v>47908</v>
      </c>
      <c r="I14" s="123">
        <v>758.54</v>
      </c>
      <c r="J14" s="123">
        <v>47149.46</v>
      </c>
    </row>
    <row r="15" spans="1:10" ht="57.6" customHeight="1" x14ac:dyDescent="0.25">
      <c r="A15" s="98" t="s">
        <v>904</v>
      </c>
      <c r="B15" s="124" t="s">
        <v>261</v>
      </c>
      <c r="C15" s="108" t="s">
        <v>300</v>
      </c>
      <c r="D15" s="120" t="s">
        <v>301</v>
      </c>
      <c r="E15" s="121">
        <v>44800</v>
      </c>
      <c r="F15" s="122">
        <v>5</v>
      </c>
      <c r="G15" s="120" t="s">
        <v>258</v>
      </c>
      <c r="H15" s="123">
        <v>47908</v>
      </c>
      <c r="I15" s="123">
        <v>758.54</v>
      </c>
      <c r="J15" s="123">
        <v>47149.46</v>
      </c>
    </row>
    <row r="16" spans="1:10" ht="55.2" customHeight="1" x14ac:dyDescent="0.25">
      <c r="A16" s="98" t="s">
        <v>904</v>
      </c>
      <c r="B16" s="124" t="s">
        <v>261</v>
      </c>
      <c r="C16" s="108" t="s">
        <v>302</v>
      </c>
      <c r="D16" s="120" t="s">
        <v>303</v>
      </c>
      <c r="E16" s="121">
        <v>44796</v>
      </c>
      <c r="F16" s="122">
        <v>5</v>
      </c>
      <c r="G16" s="120" t="s">
        <v>258</v>
      </c>
      <c r="H16" s="123">
        <v>47908</v>
      </c>
      <c r="I16" s="123">
        <v>758.54</v>
      </c>
      <c r="J16" s="123">
        <v>47149.46</v>
      </c>
    </row>
    <row r="17" spans="1:10" ht="57" customHeight="1" x14ac:dyDescent="0.25">
      <c r="A17" s="98" t="s">
        <v>904</v>
      </c>
      <c r="B17" s="124" t="s">
        <v>261</v>
      </c>
      <c r="C17" s="108" t="s">
        <v>304</v>
      </c>
      <c r="D17" s="120" t="s">
        <v>305</v>
      </c>
      <c r="E17" s="121">
        <v>44799</v>
      </c>
      <c r="F17" s="122">
        <v>5</v>
      </c>
      <c r="G17" s="120" t="s">
        <v>258</v>
      </c>
      <c r="H17" s="123">
        <v>47908</v>
      </c>
      <c r="I17" s="123">
        <v>758.54</v>
      </c>
      <c r="J17" s="123">
        <v>47149.46</v>
      </c>
    </row>
    <row r="18" spans="1:10" ht="39.6" x14ac:dyDescent="0.25">
      <c r="A18" s="98" t="s">
        <v>904</v>
      </c>
      <c r="B18" s="124" t="s">
        <v>261</v>
      </c>
      <c r="C18" s="108" t="s">
        <v>306</v>
      </c>
      <c r="D18" s="120" t="s">
        <v>307</v>
      </c>
      <c r="E18" s="121">
        <v>44801</v>
      </c>
      <c r="F18" s="122">
        <v>5</v>
      </c>
      <c r="G18" s="120" t="s">
        <v>258</v>
      </c>
      <c r="H18" s="123">
        <v>31270</v>
      </c>
      <c r="I18" s="123">
        <v>495.11</v>
      </c>
      <c r="J18" s="123">
        <v>30774.89</v>
      </c>
    </row>
    <row r="19" spans="1:10" ht="39.6" x14ac:dyDescent="0.25">
      <c r="A19" s="98" t="s">
        <v>904</v>
      </c>
      <c r="B19" s="124" t="s">
        <v>261</v>
      </c>
      <c r="C19" s="108" t="s">
        <v>332</v>
      </c>
      <c r="D19" s="120" t="s">
        <v>333</v>
      </c>
      <c r="E19" s="121">
        <v>44783</v>
      </c>
      <c r="F19" s="122">
        <v>5</v>
      </c>
      <c r="G19" s="120" t="s">
        <v>258</v>
      </c>
      <c r="H19" s="123">
        <v>36998</v>
      </c>
      <c r="I19" s="123">
        <v>1171.5999999999999</v>
      </c>
      <c r="J19" s="123">
        <v>35826.400000000001</v>
      </c>
    </row>
    <row r="20" spans="1:10" ht="39.6" x14ac:dyDescent="0.25">
      <c r="A20" s="98" t="s">
        <v>904</v>
      </c>
      <c r="B20" s="124" t="s">
        <v>261</v>
      </c>
      <c r="C20" s="108" t="s">
        <v>334</v>
      </c>
      <c r="D20" s="120" t="s">
        <v>335</v>
      </c>
      <c r="E20" s="121">
        <v>44783</v>
      </c>
      <c r="F20" s="122">
        <v>5</v>
      </c>
      <c r="G20" s="120" t="s">
        <v>258</v>
      </c>
      <c r="H20" s="123">
        <v>36998</v>
      </c>
      <c r="I20" s="123">
        <v>1171.5999999999999</v>
      </c>
      <c r="J20" s="123">
        <v>35826.400000000001</v>
      </c>
    </row>
    <row r="21" spans="1:10" ht="39.6" x14ac:dyDescent="0.25">
      <c r="A21" s="98" t="s">
        <v>904</v>
      </c>
      <c r="B21" s="124" t="s">
        <v>261</v>
      </c>
      <c r="C21" s="108" t="s">
        <v>336</v>
      </c>
      <c r="D21" s="120" t="s">
        <v>337</v>
      </c>
      <c r="E21" s="121">
        <v>44783</v>
      </c>
      <c r="F21" s="122">
        <v>5</v>
      </c>
      <c r="G21" s="120" t="s">
        <v>258</v>
      </c>
      <c r="H21" s="123">
        <v>36998</v>
      </c>
      <c r="I21" s="123">
        <v>1171.5999999999999</v>
      </c>
      <c r="J21" s="123">
        <v>35826.400000000001</v>
      </c>
    </row>
    <row r="22" spans="1:10" ht="39.6" x14ac:dyDescent="0.25">
      <c r="A22" s="98" t="s">
        <v>904</v>
      </c>
      <c r="B22" s="124" t="s">
        <v>261</v>
      </c>
      <c r="C22" s="108" t="s">
        <v>338</v>
      </c>
      <c r="D22" s="120" t="s">
        <v>339</v>
      </c>
      <c r="E22" s="121">
        <v>44783</v>
      </c>
      <c r="F22" s="122">
        <v>5</v>
      </c>
      <c r="G22" s="120" t="s">
        <v>258</v>
      </c>
      <c r="H22" s="123">
        <v>36998</v>
      </c>
      <c r="I22" s="123">
        <v>1171.5999999999999</v>
      </c>
      <c r="J22" s="123">
        <v>35826.400000000001</v>
      </c>
    </row>
    <row r="23" spans="1:10" ht="39.6" x14ac:dyDescent="0.25">
      <c r="A23" s="98" t="s">
        <v>904</v>
      </c>
      <c r="B23" s="124" t="s">
        <v>261</v>
      </c>
      <c r="C23" s="108" t="s">
        <v>340</v>
      </c>
      <c r="D23" s="120" t="s">
        <v>341</v>
      </c>
      <c r="E23" s="121">
        <v>44783</v>
      </c>
      <c r="F23" s="122">
        <v>5</v>
      </c>
      <c r="G23" s="120" t="s">
        <v>258</v>
      </c>
      <c r="H23" s="123">
        <v>36998</v>
      </c>
      <c r="I23" s="123">
        <v>1171.5999999999999</v>
      </c>
      <c r="J23" s="123">
        <v>35826.400000000001</v>
      </c>
    </row>
    <row r="24" spans="1:10" ht="39.6" x14ac:dyDescent="0.25">
      <c r="A24" s="98" t="s">
        <v>904</v>
      </c>
      <c r="B24" s="124" t="s">
        <v>261</v>
      </c>
      <c r="C24" s="108" t="s">
        <v>342</v>
      </c>
      <c r="D24" s="120" t="s">
        <v>343</v>
      </c>
      <c r="E24" s="121">
        <v>44783</v>
      </c>
      <c r="F24" s="122">
        <v>5</v>
      </c>
      <c r="G24" s="120" t="s">
        <v>258</v>
      </c>
      <c r="H24" s="123">
        <v>36998</v>
      </c>
      <c r="I24" s="123">
        <v>1171.5999999999999</v>
      </c>
      <c r="J24" s="123">
        <v>35826.400000000001</v>
      </c>
    </row>
    <row r="25" spans="1:10" ht="39.6" x14ac:dyDescent="0.25">
      <c r="A25" s="98" t="s">
        <v>904</v>
      </c>
      <c r="B25" s="124" t="s">
        <v>261</v>
      </c>
      <c r="C25" s="108" t="s">
        <v>344</v>
      </c>
      <c r="D25" s="120" t="s">
        <v>345</v>
      </c>
      <c r="E25" s="121">
        <v>44783</v>
      </c>
      <c r="F25" s="122">
        <v>5</v>
      </c>
      <c r="G25" s="120" t="s">
        <v>258</v>
      </c>
      <c r="H25" s="123">
        <v>36998</v>
      </c>
      <c r="I25" s="123">
        <v>1171.5999999999999</v>
      </c>
      <c r="J25" s="123">
        <v>35826.400000000001</v>
      </c>
    </row>
    <row r="26" spans="1:10" ht="39.6" x14ac:dyDescent="0.25">
      <c r="A26" s="98" t="s">
        <v>904</v>
      </c>
      <c r="B26" s="124" t="s">
        <v>261</v>
      </c>
      <c r="C26" s="108" t="s">
        <v>346</v>
      </c>
      <c r="D26" s="120" t="s">
        <v>347</v>
      </c>
      <c r="E26" s="121">
        <v>44783</v>
      </c>
      <c r="F26" s="122">
        <v>5</v>
      </c>
      <c r="G26" s="120" t="s">
        <v>258</v>
      </c>
      <c r="H26" s="123">
        <v>36998</v>
      </c>
      <c r="I26" s="123">
        <v>1171.5999999999999</v>
      </c>
      <c r="J26" s="123">
        <v>35826.400000000001</v>
      </c>
    </row>
    <row r="27" spans="1:10" ht="39.6" x14ac:dyDescent="0.25">
      <c r="A27" s="98" t="s">
        <v>904</v>
      </c>
      <c r="B27" s="124" t="s">
        <v>261</v>
      </c>
      <c r="C27" s="108" t="s">
        <v>348</v>
      </c>
      <c r="D27" s="120" t="s">
        <v>349</v>
      </c>
      <c r="E27" s="121">
        <v>44783</v>
      </c>
      <c r="F27" s="122">
        <v>5</v>
      </c>
      <c r="G27" s="120" t="s">
        <v>258</v>
      </c>
      <c r="H27" s="123">
        <v>36998</v>
      </c>
      <c r="I27" s="123">
        <v>1171.5999999999999</v>
      </c>
      <c r="J27" s="123">
        <v>35826.400000000001</v>
      </c>
    </row>
    <row r="28" spans="1:10" ht="39.6" x14ac:dyDescent="0.25">
      <c r="A28" s="98" t="s">
        <v>904</v>
      </c>
      <c r="B28" s="124" t="s">
        <v>261</v>
      </c>
      <c r="C28" s="108" t="s">
        <v>350</v>
      </c>
      <c r="D28" s="120" t="s">
        <v>351</v>
      </c>
      <c r="E28" s="121">
        <v>44783</v>
      </c>
      <c r="F28" s="122">
        <v>5</v>
      </c>
      <c r="G28" s="120" t="s">
        <v>258</v>
      </c>
      <c r="H28" s="123">
        <v>36998</v>
      </c>
      <c r="I28" s="123">
        <v>1171.5999999999999</v>
      </c>
      <c r="J28" s="123">
        <v>35826.400000000001</v>
      </c>
    </row>
    <row r="29" spans="1:10" ht="39.6" x14ac:dyDescent="0.25">
      <c r="A29" s="98" t="s">
        <v>904</v>
      </c>
      <c r="B29" s="124" t="s">
        <v>261</v>
      </c>
      <c r="C29" s="108" t="s">
        <v>352</v>
      </c>
      <c r="D29" s="120" t="s">
        <v>353</v>
      </c>
      <c r="E29" s="121">
        <v>44783</v>
      </c>
      <c r="F29" s="122">
        <v>5</v>
      </c>
      <c r="G29" s="120" t="s">
        <v>258</v>
      </c>
      <c r="H29" s="123">
        <v>36998</v>
      </c>
      <c r="I29" s="123">
        <v>1171.5999999999999</v>
      </c>
      <c r="J29" s="123">
        <v>35826.400000000001</v>
      </c>
    </row>
    <row r="30" spans="1:10" ht="39.6" x14ac:dyDescent="0.25">
      <c r="A30" s="98" t="s">
        <v>904</v>
      </c>
      <c r="B30" s="124" t="s">
        <v>261</v>
      </c>
      <c r="C30" s="108" t="s">
        <v>354</v>
      </c>
      <c r="D30" s="120" t="s">
        <v>355</v>
      </c>
      <c r="E30" s="121">
        <v>44783</v>
      </c>
      <c r="F30" s="122">
        <v>5</v>
      </c>
      <c r="G30" s="120" t="s">
        <v>258</v>
      </c>
      <c r="H30" s="123">
        <v>36998</v>
      </c>
      <c r="I30" s="123">
        <v>1171.5999999999999</v>
      </c>
      <c r="J30" s="123">
        <v>35826.400000000001</v>
      </c>
    </row>
    <row r="31" spans="1:10" ht="39.6" x14ac:dyDescent="0.25">
      <c r="A31" s="98" t="s">
        <v>904</v>
      </c>
      <c r="B31" s="124" t="s">
        <v>261</v>
      </c>
      <c r="C31" s="108" t="s">
        <v>356</v>
      </c>
      <c r="D31" s="120" t="s">
        <v>357</v>
      </c>
      <c r="E31" s="121">
        <v>44783</v>
      </c>
      <c r="F31" s="122">
        <v>5</v>
      </c>
      <c r="G31" s="120" t="s">
        <v>258</v>
      </c>
      <c r="H31" s="123">
        <v>36998</v>
      </c>
      <c r="I31" s="123">
        <v>1171.5999999999999</v>
      </c>
      <c r="J31" s="123">
        <v>35826.400000000001</v>
      </c>
    </row>
    <row r="32" spans="1:10" ht="39.6" x14ac:dyDescent="0.25">
      <c r="A32" s="98" t="s">
        <v>904</v>
      </c>
      <c r="B32" s="124" t="s">
        <v>261</v>
      </c>
      <c r="C32" s="108" t="s">
        <v>358</v>
      </c>
      <c r="D32" s="120" t="s">
        <v>359</v>
      </c>
      <c r="E32" s="121">
        <v>44783</v>
      </c>
      <c r="F32" s="122">
        <v>5</v>
      </c>
      <c r="G32" s="120" t="s">
        <v>258</v>
      </c>
      <c r="H32" s="123">
        <v>36998</v>
      </c>
      <c r="I32" s="123">
        <v>1171.5999999999999</v>
      </c>
      <c r="J32" s="123">
        <v>35826.400000000001</v>
      </c>
    </row>
    <row r="33" spans="1:10" ht="39.6" x14ac:dyDescent="0.25">
      <c r="A33" s="98" t="s">
        <v>904</v>
      </c>
      <c r="B33" s="124" t="s">
        <v>261</v>
      </c>
      <c r="C33" s="108" t="s">
        <v>360</v>
      </c>
      <c r="D33" s="120" t="s">
        <v>361</v>
      </c>
      <c r="E33" s="121">
        <v>44783</v>
      </c>
      <c r="F33" s="122">
        <v>5</v>
      </c>
      <c r="G33" s="120" t="s">
        <v>258</v>
      </c>
      <c r="H33" s="123">
        <v>36998</v>
      </c>
      <c r="I33" s="123">
        <v>1171.5999999999999</v>
      </c>
      <c r="J33" s="123">
        <v>35826.400000000001</v>
      </c>
    </row>
    <row r="34" spans="1:10" ht="39.6" x14ac:dyDescent="0.25">
      <c r="A34" s="98" t="s">
        <v>904</v>
      </c>
      <c r="B34" s="124" t="s">
        <v>261</v>
      </c>
      <c r="C34" s="108" t="s">
        <v>362</v>
      </c>
      <c r="D34" s="120" t="s">
        <v>363</v>
      </c>
      <c r="E34" s="121">
        <v>44783</v>
      </c>
      <c r="F34" s="122">
        <v>5</v>
      </c>
      <c r="G34" s="120" t="s">
        <v>258</v>
      </c>
      <c r="H34" s="123">
        <v>36998</v>
      </c>
      <c r="I34" s="123">
        <v>1171.5999999999999</v>
      </c>
      <c r="J34" s="123">
        <v>35826.400000000001</v>
      </c>
    </row>
    <row r="35" spans="1:10" ht="39.6" x14ac:dyDescent="0.25">
      <c r="A35" s="98" t="s">
        <v>904</v>
      </c>
      <c r="B35" s="124" t="s">
        <v>261</v>
      </c>
      <c r="C35" s="108" t="s">
        <v>364</v>
      </c>
      <c r="D35" s="120" t="s">
        <v>365</v>
      </c>
      <c r="E35" s="121">
        <v>44783</v>
      </c>
      <c r="F35" s="122">
        <v>5</v>
      </c>
      <c r="G35" s="120" t="s">
        <v>258</v>
      </c>
      <c r="H35" s="123">
        <v>36998</v>
      </c>
      <c r="I35" s="123">
        <v>1171.5999999999999</v>
      </c>
      <c r="J35" s="123">
        <v>35826.400000000001</v>
      </c>
    </row>
    <row r="36" spans="1:10" ht="39.6" x14ac:dyDescent="0.25">
      <c r="A36" s="98" t="s">
        <v>904</v>
      </c>
      <c r="B36" s="124" t="s">
        <v>261</v>
      </c>
      <c r="C36" s="108" t="s">
        <v>366</v>
      </c>
      <c r="D36" s="120" t="s">
        <v>367</v>
      </c>
      <c r="E36" s="121">
        <v>44783</v>
      </c>
      <c r="F36" s="122">
        <v>5</v>
      </c>
      <c r="G36" s="120" t="s">
        <v>258</v>
      </c>
      <c r="H36" s="123">
        <v>36998</v>
      </c>
      <c r="I36" s="123">
        <v>1171.5999999999999</v>
      </c>
      <c r="J36" s="123">
        <v>35826.400000000001</v>
      </c>
    </row>
    <row r="37" spans="1:10" ht="39.6" x14ac:dyDescent="0.25">
      <c r="A37" s="98" t="s">
        <v>904</v>
      </c>
      <c r="B37" s="124" t="s">
        <v>261</v>
      </c>
      <c r="C37" s="108" t="s">
        <v>368</v>
      </c>
      <c r="D37" s="120" t="s">
        <v>369</v>
      </c>
      <c r="E37" s="121">
        <v>44783</v>
      </c>
      <c r="F37" s="122">
        <v>5</v>
      </c>
      <c r="G37" s="120" t="s">
        <v>258</v>
      </c>
      <c r="H37" s="123">
        <v>36998</v>
      </c>
      <c r="I37" s="123">
        <v>1171.5999999999999</v>
      </c>
      <c r="J37" s="123">
        <v>35826.400000000001</v>
      </c>
    </row>
    <row r="38" spans="1:10" ht="39.6" x14ac:dyDescent="0.25">
      <c r="A38" s="98" t="s">
        <v>904</v>
      </c>
      <c r="B38" s="124" t="s">
        <v>261</v>
      </c>
      <c r="C38" s="108" t="s">
        <v>370</v>
      </c>
      <c r="D38" s="120" t="s">
        <v>371</v>
      </c>
      <c r="E38" s="121">
        <v>44783</v>
      </c>
      <c r="F38" s="122">
        <v>5</v>
      </c>
      <c r="G38" s="120" t="s">
        <v>258</v>
      </c>
      <c r="H38" s="123">
        <v>36998</v>
      </c>
      <c r="I38" s="123">
        <v>1171.5999999999999</v>
      </c>
      <c r="J38" s="123">
        <v>35826.400000000001</v>
      </c>
    </row>
    <row r="39" spans="1:10" ht="39.6" x14ac:dyDescent="0.25">
      <c r="A39" s="98" t="s">
        <v>904</v>
      </c>
      <c r="B39" s="124" t="s">
        <v>261</v>
      </c>
      <c r="C39" s="108" t="s">
        <v>372</v>
      </c>
      <c r="D39" s="120" t="s">
        <v>373</v>
      </c>
      <c r="E39" s="121">
        <v>44783</v>
      </c>
      <c r="F39" s="122">
        <v>5</v>
      </c>
      <c r="G39" s="120" t="s">
        <v>258</v>
      </c>
      <c r="H39" s="123">
        <v>36998</v>
      </c>
      <c r="I39" s="123">
        <v>1171.5999999999999</v>
      </c>
      <c r="J39" s="123">
        <v>35826.400000000001</v>
      </c>
    </row>
    <row r="40" spans="1:10" ht="39.6" x14ac:dyDescent="0.25">
      <c r="A40" s="98" t="s">
        <v>904</v>
      </c>
      <c r="B40" s="124" t="s">
        <v>261</v>
      </c>
      <c r="C40" s="108" t="s">
        <v>374</v>
      </c>
      <c r="D40" s="120" t="s">
        <v>375</v>
      </c>
      <c r="E40" s="121">
        <v>44783</v>
      </c>
      <c r="F40" s="122">
        <v>5</v>
      </c>
      <c r="G40" s="120" t="s">
        <v>258</v>
      </c>
      <c r="H40" s="123">
        <v>36998</v>
      </c>
      <c r="I40" s="123">
        <v>1171.5999999999999</v>
      </c>
      <c r="J40" s="123">
        <v>35826.400000000001</v>
      </c>
    </row>
    <row r="41" spans="1:10" ht="39.6" x14ac:dyDescent="0.25">
      <c r="A41" s="98" t="s">
        <v>904</v>
      </c>
      <c r="B41" s="124" t="s">
        <v>261</v>
      </c>
      <c r="C41" s="108" t="s">
        <v>376</v>
      </c>
      <c r="D41" s="120" t="s">
        <v>377</v>
      </c>
      <c r="E41" s="121">
        <v>44783</v>
      </c>
      <c r="F41" s="122">
        <v>5</v>
      </c>
      <c r="G41" s="120" t="s">
        <v>258</v>
      </c>
      <c r="H41" s="123">
        <v>36998</v>
      </c>
      <c r="I41" s="123">
        <v>1171.5999999999999</v>
      </c>
      <c r="J41" s="123">
        <v>35826.400000000001</v>
      </c>
    </row>
    <row r="42" spans="1:10" ht="39.6" x14ac:dyDescent="0.25">
      <c r="A42" s="98" t="s">
        <v>904</v>
      </c>
      <c r="B42" s="124" t="s">
        <v>261</v>
      </c>
      <c r="C42" s="108" t="s">
        <v>378</v>
      </c>
      <c r="D42" s="120" t="s">
        <v>379</v>
      </c>
      <c r="E42" s="121">
        <v>44783</v>
      </c>
      <c r="F42" s="122">
        <v>5</v>
      </c>
      <c r="G42" s="120" t="s">
        <v>258</v>
      </c>
      <c r="H42" s="123">
        <v>36998</v>
      </c>
      <c r="I42" s="123">
        <v>1171.5999999999999</v>
      </c>
      <c r="J42" s="123">
        <v>35826.400000000001</v>
      </c>
    </row>
    <row r="43" spans="1:10" ht="39.6" x14ac:dyDescent="0.25">
      <c r="A43" s="98" t="s">
        <v>904</v>
      </c>
      <c r="B43" s="124" t="s">
        <v>261</v>
      </c>
      <c r="C43" s="108" t="s">
        <v>380</v>
      </c>
      <c r="D43" s="120" t="s">
        <v>381</v>
      </c>
      <c r="E43" s="121">
        <v>44783</v>
      </c>
      <c r="F43" s="122">
        <v>5</v>
      </c>
      <c r="G43" s="120" t="s">
        <v>258</v>
      </c>
      <c r="H43" s="123">
        <v>36998</v>
      </c>
      <c r="I43" s="123">
        <v>1171.5999999999999</v>
      </c>
      <c r="J43" s="123">
        <v>35826.400000000001</v>
      </c>
    </row>
    <row r="44" spans="1:10" ht="39.6" x14ac:dyDescent="0.25">
      <c r="A44" s="98" t="s">
        <v>904</v>
      </c>
      <c r="B44" s="124" t="s">
        <v>261</v>
      </c>
      <c r="C44" s="108" t="s">
        <v>382</v>
      </c>
      <c r="D44" s="120" t="s">
        <v>383</v>
      </c>
      <c r="E44" s="121">
        <v>44783</v>
      </c>
      <c r="F44" s="122">
        <v>5</v>
      </c>
      <c r="G44" s="120" t="s">
        <v>258</v>
      </c>
      <c r="H44" s="123">
        <v>36998</v>
      </c>
      <c r="I44" s="123">
        <v>1171.5999999999999</v>
      </c>
      <c r="J44" s="123">
        <v>35826.400000000001</v>
      </c>
    </row>
    <row r="45" spans="1:10" ht="39.6" x14ac:dyDescent="0.25">
      <c r="A45" s="98" t="s">
        <v>904</v>
      </c>
      <c r="B45" s="124" t="s">
        <v>261</v>
      </c>
      <c r="C45" s="108" t="s">
        <v>384</v>
      </c>
      <c r="D45" s="120" t="s">
        <v>385</v>
      </c>
      <c r="E45" s="121">
        <v>44783</v>
      </c>
      <c r="F45" s="122">
        <v>5</v>
      </c>
      <c r="G45" s="120" t="s">
        <v>258</v>
      </c>
      <c r="H45" s="123">
        <v>36998</v>
      </c>
      <c r="I45" s="123">
        <v>1171.5999999999999</v>
      </c>
      <c r="J45" s="123">
        <v>35826.400000000001</v>
      </c>
    </row>
    <row r="46" spans="1:10" ht="39.6" x14ac:dyDescent="0.25">
      <c r="A46" s="98" t="s">
        <v>904</v>
      </c>
      <c r="B46" s="124" t="s">
        <v>261</v>
      </c>
      <c r="C46" s="108" t="s">
        <v>386</v>
      </c>
      <c r="D46" s="120" t="s">
        <v>387</v>
      </c>
      <c r="E46" s="121">
        <v>44783</v>
      </c>
      <c r="F46" s="122">
        <v>5</v>
      </c>
      <c r="G46" s="120" t="s">
        <v>258</v>
      </c>
      <c r="H46" s="123">
        <v>36998</v>
      </c>
      <c r="I46" s="123">
        <v>1171.5999999999999</v>
      </c>
      <c r="J46" s="123">
        <v>35826.400000000001</v>
      </c>
    </row>
    <row r="47" spans="1:10" x14ac:dyDescent="0.25">
      <c r="A47" s="112"/>
      <c r="B47" s="125"/>
      <c r="C47" s="114"/>
      <c r="D47" s="126"/>
      <c r="E47" s="127"/>
      <c r="F47" s="128"/>
      <c r="G47" s="129" t="s">
        <v>914</v>
      </c>
      <c r="H47" s="130">
        <f>SUM(H13:H46)</f>
        <v>1306754</v>
      </c>
      <c r="I47" s="130">
        <f t="shared" ref="I47:J47" si="1">SUM(I13:I46)</f>
        <v>37092.609999999979</v>
      </c>
      <c r="J47" s="130">
        <f t="shared" si="1"/>
        <v>1269661.3899999999</v>
      </c>
    </row>
    <row r="48" spans="1:10" x14ac:dyDescent="0.25">
      <c r="A48" s="792" t="s">
        <v>1032</v>
      </c>
      <c r="B48" s="793"/>
      <c r="C48" s="793"/>
      <c r="D48" s="793"/>
      <c r="E48" s="793"/>
      <c r="F48" s="793"/>
      <c r="G48" s="793"/>
      <c r="H48" s="793"/>
      <c r="I48" s="793"/>
      <c r="J48" s="794"/>
    </row>
    <row r="49" spans="1:10" ht="44.4" customHeight="1" x14ac:dyDescent="0.25">
      <c r="A49" s="98" t="s">
        <v>1026</v>
      </c>
      <c r="B49" s="124" t="s">
        <v>1033</v>
      </c>
      <c r="C49" s="108" t="s">
        <v>1034</v>
      </c>
      <c r="D49" s="120" t="s">
        <v>1035</v>
      </c>
      <c r="E49" s="121">
        <v>40158</v>
      </c>
      <c r="F49" s="122">
        <v>5</v>
      </c>
      <c r="G49" s="120" t="s">
        <v>1036</v>
      </c>
      <c r="H49" s="123">
        <v>35000</v>
      </c>
      <c r="I49" s="123">
        <v>31500</v>
      </c>
      <c r="J49" s="123">
        <v>3500</v>
      </c>
    </row>
    <row r="50" spans="1:10" ht="39.6" x14ac:dyDescent="0.25">
      <c r="A50" s="98" t="s">
        <v>1026</v>
      </c>
      <c r="B50" s="124" t="s">
        <v>1033</v>
      </c>
      <c r="C50" s="108" t="s">
        <v>1037</v>
      </c>
      <c r="D50" s="120" t="s">
        <v>1038</v>
      </c>
      <c r="E50" s="121">
        <v>32993</v>
      </c>
      <c r="F50" s="122">
        <v>7</v>
      </c>
      <c r="G50" s="120" t="s">
        <v>964</v>
      </c>
      <c r="H50" s="123">
        <v>30300</v>
      </c>
      <c r="I50" s="123">
        <v>27270</v>
      </c>
      <c r="J50" s="123">
        <v>3030</v>
      </c>
    </row>
    <row r="51" spans="1:10" ht="26.4" x14ac:dyDescent="0.25">
      <c r="A51" s="98" t="s">
        <v>1026</v>
      </c>
      <c r="B51" s="124" t="s">
        <v>1033</v>
      </c>
      <c r="C51" s="108" t="s">
        <v>1039</v>
      </c>
      <c r="D51" s="120" t="s">
        <v>1040</v>
      </c>
      <c r="E51" s="121">
        <v>34911</v>
      </c>
      <c r="F51" s="122">
        <v>7</v>
      </c>
      <c r="G51" s="120" t="s">
        <v>1041</v>
      </c>
      <c r="H51" s="123">
        <v>48500</v>
      </c>
      <c r="I51" s="123">
        <v>43650</v>
      </c>
      <c r="J51" s="123">
        <v>4850</v>
      </c>
    </row>
    <row r="52" spans="1:10" ht="39.6" x14ac:dyDescent="0.25">
      <c r="A52" s="98" t="s">
        <v>1026</v>
      </c>
      <c r="B52" s="124" t="s">
        <v>1033</v>
      </c>
      <c r="C52" s="108" t="s">
        <v>1042</v>
      </c>
      <c r="D52" s="120" t="s">
        <v>1043</v>
      </c>
      <c r="E52" s="121">
        <v>33177</v>
      </c>
      <c r="F52" s="122">
        <v>7</v>
      </c>
      <c r="G52" s="120" t="s">
        <v>964</v>
      </c>
      <c r="H52" s="123">
        <v>40485</v>
      </c>
      <c r="I52" s="123">
        <v>36436.5</v>
      </c>
      <c r="J52" s="123">
        <v>4048.5</v>
      </c>
    </row>
    <row r="53" spans="1:10" ht="26.4" x14ac:dyDescent="0.25">
      <c r="A53" s="98" t="s">
        <v>1026</v>
      </c>
      <c r="B53" s="124" t="s">
        <v>1033</v>
      </c>
      <c r="C53" s="108" t="s">
        <v>1044</v>
      </c>
      <c r="D53" s="120" t="s">
        <v>1045</v>
      </c>
      <c r="E53" s="121">
        <v>38017</v>
      </c>
      <c r="F53" s="122">
        <v>7</v>
      </c>
      <c r="G53" s="120" t="s">
        <v>21</v>
      </c>
      <c r="H53" s="123">
        <v>47537</v>
      </c>
      <c r="I53" s="123">
        <v>42783.3</v>
      </c>
      <c r="J53" s="123">
        <v>4753.7</v>
      </c>
    </row>
    <row r="54" spans="1:10" x14ac:dyDescent="0.25">
      <c r="A54" s="112"/>
      <c r="B54" s="125"/>
      <c r="C54" s="114"/>
      <c r="D54" s="126"/>
      <c r="E54" s="127"/>
      <c r="F54" s="128"/>
      <c r="G54" s="129" t="s">
        <v>914</v>
      </c>
      <c r="H54" s="130">
        <f>SUM(H49:H53)</f>
        <v>201822</v>
      </c>
      <c r="I54" s="130">
        <f t="shared" ref="I54:J54" si="2">SUM(I49:I53)</f>
        <v>181639.8</v>
      </c>
      <c r="J54" s="130">
        <f t="shared" si="2"/>
        <v>20182.2</v>
      </c>
    </row>
    <row r="55" spans="1:10" x14ac:dyDescent="0.25">
      <c r="A55" s="792" t="s">
        <v>395</v>
      </c>
      <c r="B55" s="793"/>
      <c r="C55" s="793"/>
      <c r="D55" s="793"/>
      <c r="E55" s="793"/>
      <c r="F55" s="793"/>
      <c r="G55" s="793"/>
      <c r="H55" s="793"/>
      <c r="I55" s="793"/>
      <c r="J55" s="794"/>
    </row>
    <row r="56" spans="1:10" ht="52.8" x14ac:dyDescent="0.25">
      <c r="A56" s="98" t="s">
        <v>1026</v>
      </c>
      <c r="B56" s="124" t="s">
        <v>1046</v>
      </c>
      <c r="C56" s="108" t="s">
        <v>1047</v>
      </c>
      <c r="D56" s="120" t="s">
        <v>1048</v>
      </c>
      <c r="E56" s="121">
        <v>44881</v>
      </c>
      <c r="F56" s="122">
        <v>5</v>
      </c>
      <c r="G56" s="120" t="s">
        <v>1049</v>
      </c>
      <c r="H56" s="123">
        <v>49500</v>
      </c>
      <c r="I56" s="123">
        <v>783.75</v>
      </c>
      <c r="J56" s="123">
        <v>48716.25</v>
      </c>
    </row>
    <row r="57" spans="1:10" x14ac:dyDescent="0.25">
      <c r="A57" s="112"/>
      <c r="B57" s="125"/>
      <c r="C57" s="114"/>
      <c r="D57" s="126"/>
      <c r="E57" s="127"/>
      <c r="F57" s="128"/>
      <c r="G57" s="129" t="s">
        <v>914</v>
      </c>
      <c r="H57" s="130">
        <f>H56</f>
        <v>49500</v>
      </c>
      <c r="I57" s="130">
        <f t="shared" ref="I57:J57" si="3">I56</f>
        <v>783.75</v>
      </c>
      <c r="J57" s="130">
        <f t="shared" si="3"/>
        <v>48716.25</v>
      </c>
    </row>
    <row r="58" spans="1:10" x14ac:dyDescent="0.25">
      <c r="A58" s="792" t="s">
        <v>511</v>
      </c>
      <c r="B58" s="793"/>
      <c r="C58" s="793"/>
      <c r="D58" s="793"/>
      <c r="E58" s="793"/>
      <c r="F58" s="793"/>
      <c r="G58" s="793"/>
      <c r="H58" s="793"/>
      <c r="I58" s="793"/>
      <c r="J58" s="794"/>
    </row>
    <row r="59" spans="1:10" ht="26.4" x14ac:dyDescent="0.25">
      <c r="A59" s="98" t="s">
        <v>1026</v>
      </c>
      <c r="B59" s="124" t="s">
        <v>1050</v>
      </c>
      <c r="C59" s="108" t="s">
        <v>1051</v>
      </c>
      <c r="D59" s="120" t="s">
        <v>1052</v>
      </c>
      <c r="E59" s="121">
        <v>40378</v>
      </c>
      <c r="F59" s="122">
        <v>10</v>
      </c>
      <c r="G59" s="120" t="s">
        <v>21</v>
      </c>
      <c r="H59" s="123">
        <v>45361.34</v>
      </c>
      <c r="I59" s="123">
        <v>12732.6</v>
      </c>
      <c r="J59" s="123">
        <v>32628.74</v>
      </c>
    </row>
    <row r="60" spans="1:10" x14ac:dyDescent="0.25">
      <c r="A60" s="112"/>
      <c r="B60" s="125"/>
      <c r="C60" s="114"/>
      <c r="D60" s="126"/>
      <c r="E60" s="127"/>
      <c r="F60" s="128"/>
      <c r="G60" s="129" t="s">
        <v>914</v>
      </c>
      <c r="H60" s="130">
        <f>H59</f>
        <v>45361.34</v>
      </c>
      <c r="I60" s="130">
        <f t="shared" ref="I60:J60" si="4">I59</f>
        <v>12732.6</v>
      </c>
      <c r="J60" s="131">
        <f t="shared" si="4"/>
        <v>32628.74</v>
      </c>
    </row>
    <row r="61" spans="1:10" x14ac:dyDescent="0.25">
      <c r="A61" s="792" t="s">
        <v>574</v>
      </c>
      <c r="B61" s="793"/>
      <c r="C61" s="793"/>
      <c r="D61" s="793"/>
      <c r="E61" s="793"/>
      <c r="F61" s="793"/>
      <c r="G61" s="793"/>
      <c r="H61" s="793"/>
      <c r="I61" s="793"/>
      <c r="J61" s="794"/>
    </row>
    <row r="62" spans="1:10" ht="39.6" x14ac:dyDescent="0.25">
      <c r="A62" s="98" t="s">
        <v>1026</v>
      </c>
      <c r="B62" s="124" t="s">
        <v>1053</v>
      </c>
      <c r="C62" s="108" t="s">
        <v>1054</v>
      </c>
      <c r="D62" s="120" t="s">
        <v>1055</v>
      </c>
      <c r="E62" s="121">
        <v>39989</v>
      </c>
      <c r="F62" s="122">
        <v>5</v>
      </c>
      <c r="G62" s="120" t="s">
        <v>1041</v>
      </c>
      <c r="H62" s="123">
        <v>17930</v>
      </c>
      <c r="I62" s="123">
        <v>16137</v>
      </c>
      <c r="J62" s="123">
        <v>1793</v>
      </c>
    </row>
    <row r="63" spans="1:10" ht="26.4" x14ac:dyDescent="0.25">
      <c r="A63" s="98" t="s">
        <v>1026</v>
      </c>
      <c r="B63" s="124" t="s">
        <v>1053</v>
      </c>
      <c r="C63" s="108" t="s">
        <v>1056</v>
      </c>
      <c r="D63" s="120" t="s">
        <v>1057</v>
      </c>
      <c r="E63" s="121">
        <v>41621</v>
      </c>
      <c r="F63" s="122">
        <v>5</v>
      </c>
      <c r="G63" s="120" t="s">
        <v>1000</v>
      </c>
      <c r="H63" s="123">
        <v>35000</v>
      </c>
      <c r="I63" s="123">
        <v>33766.25</v>
      </c>
      <c r="J63" s="123">
        <v>1233.75</v>
      </c>
    </row>
    <row r="64" spans="1:10" ht="39.6" x14ac:dyDescent="0.25">
      <c r="A64" s="98" t="s">
        <v>1026</v>
      </c>
      <c r="B64" s="124" t="s">
        <v>1053</v>
      </c>
      <c r="C64" s="108" t="s">
        <v>1058</v>
      </c>
      <c r="D64" s="120" t="s">
        <v>1059</v>
      </c>
      <c r="E64" s="121">
        <v>41757</v>
      </c>
      <c r="F64" s="122">
        <v>5</v>
      </c>
      <c r="G64" s="120" t="s">
        <v>21</v>
      </c>
      <c r="H64" s="123">
        <v>44800</v>
      </c>
      <c r="I64" s="123">
        <v>43052.800000000003</v>
      </c>
      <c r="J64" s="123">
        <v>1747.2</v>
      </c>
    </row>
    <row r="65" spans="1:10" ht="39.6" x14ac:dyDescent="0.25">
      <c r="A65" s="98" t="s">
        <v>1026</v>
      </c>
      <c r="B65" s="124" t="s">
        <v>1053</v>
      </c>
      <c r="C65" s="108" t="s">
        <v>1060</v>
      </c>
      <c r="D65" s="120" t="s">
        <v>1061</v>
      </c>
      <c r="E65" s="121">
        <v>42620</v>
      </c>
      <c r="F65" s="122">
        <v>5</v>
      </c>
      <c r="G65" s="120" t="s">
        <v>66</v>
      </c>
      <c r="H65" s="123">
        <v>29500</v>
      </c>
      <c r="I65" s="123">
        <v>26894.06</v>
      </c>
      <c r="J65" s="123">
        <v>2605.94</v>
      </c>
    </row>
    <row r="66" spans="1:10" ht="39.6" x14ac:dyDescent="0.25">
      <c r="A66" s="98" t="s">
        <v>1026</v>
      </c>
      <c r="B66" s="124" t="s">
        <v>1053</v>
      </c>
      <c r="C66" s="108" t="s">
        <v>1062</v>
      </c>
      <c r="D66" s="120" t="s">
        <v>1063</v>
      </c>
      <c r="E66" s="121">
        <v>42139</v>
      </c>
      <c r="F66" s="122">
        <v>5</v>
      </c>
      <c r="G66" s="120" t="s">
        <v>1064</v>
      </c>
      <c r="H66" s="123">
        <v>20000</v>
      </c>
      <c r="I66" s="123">
        <v>19000</v>
      </c>
      <c r="J66" s="123">
        <v>1000</v>
      </c>
    </row>
    <row r="67" spans="1:10" ht="26.4" x14ac:dyDescent="0.25">
      <c r="A67" s="98" t="s">
        <v>1026</v>
      </c>
      <c r="B67" s="124" t="s">
        <v>1053</v>
      </c>
      <c r="C67" s="108" t="s">
        <v>1065</v>
      </c>
      <c r="D67" s="120" t="s">
        <v>1066</v>
      </c>
      <c r="E67" s="121">
        <v>43047</v>
      </c>
      <c r="F67" s="122">
        <v>5</v>
      </c>
      <c r="G67" s="120" t="s">
        <v>1000</v>
      </c>
      <c r="H67" s="123">
        <v>17950</v>
      </c>
      <c r="I67" s="123">
        <v>14868.65</v>
      </c>
      <c r="J67" s="123">
        <v>3081.35</v>
      </c>
    </row>
    <row r="68" spans="1:10" ht="39.6" x14ac:dyDescent="0.25">
      <c r="A68" s="98" t="s">
        <v>1026</v>
      </c>
      <c r="B68" s="124" t="s">
        <v>1053</v>
      </c>
      <c r="C68" s="108" t="s">
        <v>1067</v>
      </c>
      <c r="D68" s="120" t="s">
        <v>1068</v>
      </c>
      <c r="E68" s="121">
        <v>40149</v>
      </c>
      <c r="F68" s="122">
        <v>5</v>
      </c>
      <c r="G68" s="120" t="s">
        <v>1064</v>
      </c>
      <c r="H68" s="123">
        <v>16111</v>
      </c>
      <c r="I68" s="123">
        <v>14499.9</v>
      </c>
      <c r="J68" s="123">
        <v>1611.1</v>
      </c>
    </row>
    <row r="69" spans="1:10" ht="28.2" customHeight="1" x14ac:dyDescent="0.25">
      <c r="A69" s="98" t="s">
        <v>1026</v>
      </c>
      <c r="B69" s="124" t="s">
        <v>1053</v>
      </c>
      <c r="C69" s="108" t="s">
        <v>1069</v>
      </c>
      <c r="D69" s="120" t="s">
        <v>1070</v>
      </c>
      <c r="E69" s="121">
        <v>40781</v>
      </c>
      <c r="F69" s="122">
        <v>5</v>
      </c>
      <c r="G69" s="120" t="s">
        <v>1071</v>
      </c>
      <c r="H69" s="123">
        <v>19200</v>
      </c>
      <c r="I69" s="123">
        <v>18912</v>
      </c>
      <c r="J69" s="123">
        <v>288</v>
      </c>
    </row>
    <row r="70" spans="1:10" ht="46.2" customHeight="1" x14ac:dyDescent="0.25">
      <c r="A70" s="98" t="s">
        <v>1026</v>
      </c>
      <c r="B70" s="124" t="s">
        <v>1053</v>
      </c>
      <c r="C70" s="108" t="s">
        <v>1072</v>
      </c>
      <c r="D70" s="120" t="s">
        <v>1073</v>
      </c>
      <c r="E70" s="121">
        <v>42961</v>
      </c>
      <c r="F70" s="122">
        <v>5</v>
      </c>
      <c r="G70" s="120" t="s">
        <v>1000</v>
      </c>
      <c r="H70" s="123">
        <v>49950</v>
      </c>
      <c r="I70" s="123">
        <v>41250.559999999998</v>
      </c>
      <c r="J70" s="123">
        <v>8699.44</v>
      </c>
    </row>
    <row r="71" spans="1:10" ht="45" customHeight="1" x14ac:dyDescent="0.25">
      <c r="A71" s="98" t="s">
        <v>1026</v>
      </c>
      <c r="B71" s="124" t="s">
        <v>1053</v>
      </c>
      <c r="C71" s="108" t="s">
        <v>1074</v>
      </c>
      <c r="D71" s="120" t="s">
        <v>1075</v>
      </c>
      <c r="E71" s="121">
        <v>42965</v>
      </c>
      <c r="F71" s="122">
        <v>5</v>
      </c>
      <c r="G71" s="120" t="s">
        <v>1000</v>
      </c>
      <c r="H71" s="123">
        <v>49950</v>
      </c>
      <c r="I71" s="123">
        <v>41250.559999999998</v>
      </c>
      <c r="J71" s="123">
        <v>8699.44</v>
      </c>
    </row>
    <row r="72" spans="1:10" ht="26.4" x14ac:dyDescent="0.25">
      <c r="A72" s="98" t="s">
        <v>1026</v>
      </c>
      <c r="B72" s="124" t="s">
        <v>1053</v>
      </c>
      <c r="C72" s="108" t="s">
        <v>1076</v>
      </c>
      <c r="D72" s="120" t="s">
        <v>1077</v>
      </c>
      <c r="E72" s="121">
        <v>39745</v>
      </c>
      <c r="F72" s="122">
        <v>5</v>
      </c>
      <c r="G72" s="120" t="s">
        <v>21</v>
      </c>
      <c r="H72" s="123">
        <v>20000</v>
      </c>
      <c r="I72" s="123">
        <v>18000</v>
      </c>
      <c r="J72" s="123">
        <v>2000</v>
      </c>
    </row>
    <row r="73" spans="1:10" ht="26.4" x14ac:dyDescent="0.25">
      <c r="A73" s="98" t="s">
        <v>1026</v>
      </c>
      <c r="B73" s="124" t="s">
        <v>1053</v>
      </c>
      <c r="C73" s="108" t="s">
        <v>1078</v>
      </c>
      <c r="D73" s="120" t="s">
        <v>1079</v>
      </c>
      <c r="E73" s="121">
        <v>40697</v>
      </c>
      <c r="F73" s="122">
        <v>5</v>
      </c>
      <c r="G73" s="120" t="s">
        <v>682</v>
      </c>
      <c r="H73" s="123">
        <v>32050</v>
      </c>
      <c r="I73" s="123">
        <v>31641.360000000001</v>
      </c>
      <c r="J73" s="123">
        <v>408.64</v>
      </c>
    </row>
    <row r="74" spans="1:10" ht="26.4" x14ac:dyDescent="0.25">
      <c r="A74" s="98" t="s">
        <v>1026</v>
      </c>
      <c r="B74" s="124" t="s">
        <v>1053</v>
      </c>
      <c r="C74" s="108" t="s">
        <v>1004</v>
      </c>
      <c r="D74" s="120" t="s">
        <v>1005</v>
      </c>
      <c r="E74" s="121">
        <v>40884</v>
      </c>
      <c r="F74" s="122">
        <v>5</v>
      </c>
      <c r="G74" s="120" t="s">
        <v>1006</v>
      </c>
      <c r="H74" s="123">
        <v>25869</v>
      </c>
      <c r="I74" s="123">
        <v>25422.77</v>
      </c>
      <c r="J74" s="123">
        <v>446.23</v>
      </c>
    </row>
    <row r="75" spans="1:10" ht="26.4" x14ac:dyDescent="0.25">
      <c r="A75" s="98" t="s">
        <v>1026</v>
      </c>
      <c r="B75" s="124" t="s">
        <v>1053</v>
      </c>
      <c r="C75" s="108" t="s">
        <v>1080</v>
      </c>
      <c r="D75" s="120" t="s">
        <v>1081</v>
      </c>
      <c r="E75" s="121">
        <v>42360</v>
      </c>
      <c r="F75" s="122">
        <v>5</v>
      </c>
      <c r="G75" s="120" t="s">
        <v>248</v>
      </c>
      <c r="H75" s="123">
        <v>24000</v>
      </c>
      <c r="I75" s="123">
        <v>22800</v>
      </c>
      <c r="J75" s="123">
        <v>1200</v>
      </c>
    </row>
    <row r="76" spans="1:10" ht="39.6" x14ac:dyDescent="0.25">
      <c r="A76" s="98" t="s">
        <v>1026</v>
      </c>
      <c r="B76" s="124" t="s">
        <v>1053</v>
      </c>
      <c r="C76" s="108" t="s">
        <v>1082</v>
      </c>
      <c r="D76" s="120" t="s">
        <v>1083</v>
      </c>
      <c r="E76" s="121">
        <v>41542</v>
      </c>
      <c r="F76" s="122">
        <v>5</v>
      </c>
      <c r="G76" s="120" t="s">
        <v>1064</v>
      </c>
      <c r="H76" s="123">
        <v>38290</v>
      </c>
      <c r="I76" s="123">
        <v>36997.71</v>
      </c>
      <c r="J76" s="123">
        <v>1292.29</v>
      </c>
    </row>
    <row r="77" spans="1:10" ht="26.4" x14ac:dyDescent="0.25">
      <c r="A77" s="98" t="s">
        <v>1026</v>
      </c>
      <c r="B77" s="124" t="s">
        <v>1053</v>
      </c>
      <c r="C77" s="108" t="s">
        <v>1084</v>
      </c>
      <c r="D77" s="120" t="s">
        <v>1085</v>
      </c>
      <c r="E77" s="121">
        <v>40154</v>
      </c>
      <c r="F77" s="122">
        <v>5</v>
      </c>
      <c r="G77" s="120" t="s">
        <v>1000</v>
      </c>
      <c r="H77" s="123">
        <v>32000</v>
      </c>
      <c r="I77" s="123">
        <v>28800</v>
      </c>
      <c r="J77" s="123">
        <v>3200</v>
      </c>
    </row>
    <row r="78" spans="1:10" ht="52.8" x14ac:dyDescent="0.25">
      <c r="A78" s="98" t="s">
        <v>1026</v>
      </c>
      <c r="B78" s="124" t="s">
        <v>1053</v>
      </c>
      <c r="C78" s="108" t="s">
        <v>1086</v>
      </c>
      <c r="D78" s="120" t="s">
        <v>1087</v>
      </c>
      <c r="E78" s="121">
        <v>40574</v>
      </c>
      <c r="F78" s="122">
        <v>5</v>
      </c>
      <c r="G78" s="120" t="s">
        <v>1088</v>
      </c>
      <c r="H78" s="123">
        <v>32445</v>
      </c>
      <c r="I78" s="123">
        <v>32128.67</v>
      </c>
      <c r="J78" s="123">
        <v>316.33</v>
      </c>
    </row>
    <row r="79" spans="1:10" ht="39.6" x14ac:dyDescent="0.25">
      <c r="A79" s="98" t="s">
        <v>1026</v>
      </c>
      <c r="B79" s="124" t="s">
        <v>1053</v>
      </c>
      <c r="C79" s="108" t="s">
        <v>1089</v>
      </c>
      <c r="D79" s="120" t="s">
        <v>1090</v>
      </c>
      <c r="E79" s="121">
        <v>42139</v>
      </c>
      <c r="F79" s="122">
        <v>5</v>
      </c>
      <c r="G79" s="120" t="s">
        <v>1064</v>
      </c>
      <c r="H79" s="123">
        <v>40000</v>
      </c>
      <c r="I79" s="123">
        <v>38000</v>
      </c>
      <c r="J79" s="123">
        <v>2000</v>
      </c>
    </row>
    <row r="80" spans="1:10" ht="30.6" customHeight="1" x14ac:dyDescent="0.25">
      <c r="A80" s="98" t="s">
        <v>1026</v>
      </c>
      <c r="B80" s="124" t="s">
        <v>1053</v>
      </c>
      <c r="C80" s="108" t="s">
        <v>1091</v>
      </c>
      <c r="D80" s="120" t="s">
        <v>1092</v>
      </c>
      <c r="E80" s="121">
        <v>43066</v>
      </c>
      <c r="F80" s="122">
        <v>5</v>
      </c>
      <c r="G80" s="120" t="s">
        <v>1000</v>
      </c>
      <c r="H80" s="123">
        <v>40000</v>
      </c>
      <c r="I80" s="123">
        <v>33133.199999999997</v>
      </c>
      <c r="J80" s="123">
        <v>6866.8</v>
      </c>
    </row>
    <row r="81" spans="1:10" ht="39.6" x14ac:dyDescent="0.25">
      <c r="A81" s="98" t="s">
        <v>1026</v>
      </c>
      <c r="B81" s="124" t="s">
        <v>1053</v>
      </c>
      <c r="C81" s="108" t="s">
        <v>1093</v>
      </c>
      <c r="D81" s="120" t="s">
        <v>1094</v>
      </c>
      <c r="E81" s="121">
        <v>40914</v>
      </c>
      <c r="F81" s="122">
        <v>5</v>
      </c>
      <c r="G81" s="120" t="s">
        <v>21</v>
      </c>
      <c r="H81" s="123">
        <v>15000</v>
      </c>
      <c r="I81" s="123">
        <v>14730</v>
      </c>
      <c r="J81" s="123">
        <v>270</v>
      </c>
    </row>
    <row r="82" spans="1:10" ht="39.6" x14ac:dyDescent="0.25">
      <c r="A82" s="98" t="s">
        <v>1026</v>
      </c>
      <c r="B82" s="124" t="s">
        <v>1053</v>
      </c>
      <c r="C82" s="108" t="s">
        <v>1095</v>
      </c>
      <c r="D82" s="120" t="s">
        <v>1096</v>
      </c>
      <c r="E82" s="121">
        <v>42626</v>
      </c>
      <c r="F82" s="122">
        <v>5</v>
      </c>
      <c r="G82" s="120" t="s">
        <v>66</v>
      </c>
      <c r="H82" s="123">
        <v>41110</v>
      </c>
      <c r="I82" s="123">
        <v>37478.67</v>
      </c>
      <c r="J82" s="123">
        <v>3631.33</v>
      </c>
    </row>
    <row r="83" spans="1:10" ht="39.6" x14ac:dyDescent="0.25">
      <c r="A83" s="98" t="s">
        <v>1026</v>
      </c>
      <c r="B83" s="124" t="s">
        <v>1053</v>
      </c>
      <c r="C83" s="108" t="s">
        <v>1097</v>
      </c>
      <c r="D83" s="120" t="s">
        <v>1098</v>
      </c>
      <c r="E83" s="121">
        <v>40521</v>
      </c>
      <c r="F83" s="122">
        <v>5</v>
      </c>
      <c r="G83" s="120" t="s">
        <v>984</v>
      </c>
      <c r="H83" s="123">
        <v>27000</v>
      </c>
      <c r="I83" s="123">
        <v>26777.25</v>
      </c>
      <c r="J83" s="123">
        <v>222.75</v>
      </c>
    </row>
    <row r="84" spans="1:10" ht="26.4" x14ac:dyDescent="0.25">
      <c r="A84" s="98" t="s">
        <v>1026</v>
      </c>
      <c r="B84" s="124" t="s">
        <v>1053</v>
      </c>
      <c r="C84" s="108" t="s">
        <v>1099</v>
      </c>
      <c r="D84" s="120" t="s">
        <v>1100</v>
      </c>
      <c r="E84" s="121">
        <v>41423</v>
      </c>
      <c r="F84" s="122">
        <v>5</v>
      </c>
      <c r="G84" s="120" t="s">
        <v>21</v>
      </c>
      <c r="H84" s="123">
        <v>18860</v>
      </c>
      <c r="I84" s="123">
        <v>18280.05</v>
      </c>
      <c r="J84" s="123">
        <v>579.95000000000005</v>
      </c>
    </row>
    <row r="85" spans="1:10" ht="26.4" x14ac:dyDescent="0.25">
      <c r="A85" s="98" t="s">
        <v>1026</v>
      </c>
      <c r="B85" s="124" t="s">
        <v>1053</v>
      </c>
      <c r="C85" s="108" t="s">
        <v>1101</v>
      </c>
      <c r="D85" s="120" t="s">
        <v>1102</v>
      </c>
      <c r="E85" s="121">
        <v>38930</v>
      </c>
      <c r="F85" s="122">
        <v>5</v>
      </c>
      <c r="G85" s="120" t="s">
        <v>1000</v>
      </c>
      <c r="H85" s="123">
        <v>15000</v>
      </c>
      <c r="I85" s="123">
        <v>13500</v>
      </c>
      <c r="J85" s="123">
        <v>1500</v>
      </c>
    </row>
    <row r="86" spans="1:10" ht="26.4" x14ac:dyDescent="0.25">
      <c r="A86" s="98" t="s">
        <v>1026</v>
      </c>
      <c r="B86" s="124" t="s">
        <v>1053</v>
      </c>
      <c r="C86" s="108" t="s">
        <v>1103</v>
      </c>
      <c r="D86" s="120" t="s">
        <v>1104</v>
      </c>
      <c r="E86" s="121">
        <v>43826</v>
      </c>
      <c r="F86" s="122">
        <v>5</v>
      </c>
      <c r="G86" s="120" t="s">
        <v>1000</v>
      </c>
      <c r="H86" s="123">
        <v>24940</v>
      </c>
      <c r="I86" s="123">
        <v>10661.76</v>
      </c>
      <c r="J86" s="123">
        <v>14278.24</v>
      </c>
    </row>
    <row r="87" spans="1:10" ht="26.4" x14ac:dyDescent="0.25">
      <c r="A87" s="98" t="s">
        <v>1026</v>
      </c>
      <c r="B87" s="124" t="s">
        <v>1053</v>
      </c>
      <c r="C87" s="108" t="s">
        <v>1105</v>
      </c>
      <c r="D87" s="120" t="s">
        <v>1106</v>
      </c>
      <c r="E87" s="121">
        <v>43864</v>
      </c>
      <c r="F87" s="122">
        <v>5</v>
      </c>
      <c r="G87" s="120" t="s">
        <v>21</v>
      </c>
      <c r="H87" s="123">
        <v>24500</v>
      </c>
      <c r="I87" s="123">
        <v>9698</v>
      </c>
      <c r="J87" s="123">
        <v>14802</v>
      </c>
    </row>
    <row r="88" spans="1:10" ht="52.8" x14ac:dyDescent="0.25">
      <c r="A88" s="98" t="s">
        <v>1026</v>
      </c>
      <c r="B88" s="124" t="s">
        <v>1053</v>
      </c>
      <c r="C88" s="108" t="s">
        <v>1107</v>
      </c>
      <c r="D88" s="120" t="s">
        <v>1108</v>
      </c>
      <c r="E88" s="121">
        <v>43334</v>
      </c>
      <c r="F88" s="122">
        <v>5</v>
      </c>
      <c r="G88" s="120" t="s">
        <v>1000</v>
      </c>
      <c r="H88" s="123">
        <v>49420</v>
      </c>
      <c r="I88" s="123">
        <v>39782.94</v>
      </c>
      <c r="J88" s="123">
        <v>9637.06</v>
      </c>
    </row>
    <row r="89" spans="1:10" ht="52.8" x14ac:dyDescent="0.25">
      <c r="A89" s="98" t="s">
        <v>1026</v>
      </c>
      <c r="B89" s="124" t="s">
        <v>1053</v>
      </c>
      <c r="C89" s="108" t="s">
        <v>1109</v>
      </c>
      <c r="D89" s="120" t="s">
        <v>1110</v>
      </c>
      <c r="E89" s="121">
        <v>43241</v>
      </c>
      <c r="F89" s="122">
        <v>5</v>
      </c>
      <c r="G89" s="120" t="s">
        <v>1000</v>
      </c>
      <c r="H89" s="123">
        <v>27200</v>
      </c>
      <c r="I89" s="123">
        <v>21896.16</v>
      </c>
      <c r="J89" s="123">
        <v>5303.84</v>
      </c>
    </row>
    <row r="90" spans="1:10" ht="52.8" x14ac:dyDescent="0.25">
      <c r="A90" s="98" t="s">
        <v>1026</v>
      </c>
      <c r="B90" s="124" t="s">
        <v>1053</v>
      </c>
      <c r="C90" s="108" t="s">
        <v>1111</v>
      </c>
      <c r="D90" s="120" t="s">
        <v>1112</v>
      </c>
      <c r="E90" s="121">
        <v>43374</v>
      </c>
      <c r="F90" s="122">
        <v>5</v>
      </c>
      <c r="G90" s="120" t="s">
        <v>1036</v>
      </c>
      <c r="H90" s="123">
        <v>29400</v>
      </c>
      <c r="I90" s="123">
        <v>22785</v>
      </c>
      <c r="J90" s="123">
        <v>6615</v>
      </c>
    </row>
    <row r="91" spans="1:10" ht="57" customHeight="1" x14ac:dyDescent="0.25">
      <c r="A91" s="98" t="s">
        <v>1026</v>
      </c>
      <c r="B91" s="124" t="s">
        <v>1053</v>
      </c>
      <c r="C91" s="108" t="s">
        <v>1113</v>
      </c>
      <c r="D91" s="120" t="s">
        <v>1114</v>
      </c>
      <c r="E91" s="121">
        <v>43423</v>
      </c>
      <c r="F91" s="122">
        <v>5</v>
      </c>
      <c r="G91" s="120" t="s">
        <v>1000</v>
      </c>
      <c r="H91" s="123">
        <v>47850</v>
      </c>
      <c r="I91" s="123">
        <v>37083.99</v>
      </c>
      <c r="J91" s="123">
        <v>10766.01</v>
      </c>
    </row>
    <row r="92" spans="1:10" ht="30" customHeight="1" x14ac:dyDescent="0.25">
      <c r="A92" s="98" t="s">
        <v>1026</v>
      </c>
      <c r="B92" s="124" t="s">
        <v>1053</v>
      </c>
      <c r="C92" s="108" t="s">
        <v>1115</v>
      </c>
      <c r="D92" s="120" t="s">
        <v>1116</v>
      </c>
      <c r="E92" s="121">
        <v>43500</v>
      </c>
      <c r="F92" s="122">
        <v>5</v>
      </c>
      <c r="G92" s="120" t="s">
        <v>21</v>
      </c>
      <c r="H92" s="123">
        <v>27980</v>
      </c>
      <c r="I92" s="123">
        <v>15505.7</v>
      </c>
      <c r="J92" s="123">
        <v>12474.3</v>
      </c>
    </row>
    <row r="93" spans="1:10" ht="30" customHeight="1" x14ac:dyDescent="0.25">
      <c r="A93" s="98" t="s">
        <v>1026</v>
      </c>
      <c r="B93" s="124" t="s">
        <v>1053</v>
      </c>
      <c r="C93" s="108" t="s">
        <v>1117</v>
      </c>
      <c r="D93" s="120" t="s">
        <v>1118</v>
      </c>
      <c r="E93" s="121">
        <v>43500</v>
      </c>
      <c r="F93" s="122">
        <v>5</v>
      </c>
      <c r="G93" s="120" t="s">
        <v>21</v>
      </c>
      <c r="H93" s="123">
        <v>31980</v>
      </c>
      <c r="I93" s="123">
        <v>17722.25</v>
      </c>
      <c r="J93" s="123">
        <v>14257.75</v>
      </c>
    </row>
    <row r="94" spans="1:10" ht="26.4" x14ac:dyDescent="0.25">
      <c r="A94" s="98" t="s">
        <v>1026</v>
      </c>
      <c r="B94" s="124" t="s">
        <v>1053</v>
      </c>
      <c r="C94" s="108" t="s">
        <v>1119</v>
      </c>
      <c r="D94" s="120" t="s">
        <v>1120</v>
      </c>
      <c r="E94" s="121">
        <v>43605</v>
      </c>
      <c r="F94" s="122">
        <v>5</v>
      </c>
      <c r="G94" s="120" t="s">
        <v>1000</v>
      </c>
      <c r="H94" s="123">
        <v>27998</v>
      </c>
      <c r="I94" s="123">
        <v>16402.099999999999</v>
      </c>
      <c r="J94" s="123">
        <v>11595.9</v>
      </c>
    </row>
    <row r="95" spans="1:10" ht="26.4" x14ac:dyDescent="0.25">
      <c r="A95" s="98" t="s">
        <v>1026</v>
      </c>
      <c r="B95" s="124" t="s">
        <v>1053</v>
      </c>
      <c r="C95" s="108" t="s">
        <v>1121</v>
      </c>
      <c r="D95" s="120" t="s">
        <v>1122</v>
      </c>
      <c r="E95" s="121">
        <v>43706</v>
      </c>
      <c r="F95" s="122">
        <v>5</v>
      </c>
      <c r="G95" s="120" t="s">
        <v>1000</v>
      </c>
      <c r="H95" s="123">
        <v>17850</v>
      </c>
      <c r="I95" s="123">
        <v>8761.5300000000007</v>
      </c>
      <c r="J95" s="123">
        <v>9088.4699999999993</v>
      </c>
    </row>
    <row r="96" spans="1:10" ht="28.2" customHeight="1" x14ac:dyDescent="0.25">
      <c r="A96" s="98" t="s">
        <v>1026</v>
      </c>
      <c r="B96" s="124" t="s">
        <v>1053</v>
      </c>
      <c r="C96" s="108" t="s">
        <v>1123</v>
      </c>
      <c r="D96" s="120" t="s">
        <v>1124</v>
      </c>
      <c r="E96" s="121">
        <v>43696</v>
      </c>
      <c r="F96" s="122">
        <v>5</v>
      </c>
      <c r="G96" s="120" t="s">
        <v>1000</v>
      </c>
      <c r="H96" s="123">
        <v>39975</v>
      </c>
      <c r="I96" s="123">
        <v>19621.14</v>
      </c>
      <c r="J96" s="123">
        <v>20353.86</v>
      </c>
    </row>
    <row r="97" spans="1:10" ht="39.6" x14ac:dyDescent="0.25">
      <c r="A97" s="98" t="s">
        <v>1026</v>
      </c>
      <c r="B97" s="124" t="s">
        <v>1053</v>
      </c>
      <c r="C97" s="108" t="s">
        <v>1125</v>
      </c>
      <c r="D97" s="120" t="s">
        <v>1126</v>
      </c>
      <c r="E97" s="121">
        <v>43725</v>
      </c>
      <c r="F97" s="122">
        <v>5</v>
      </c>
      <c r="G97" s="120" t="s">
        <v>21</v>
      </c>
      <c r="H97" s="123">
        <v>31995</v>
      </c>
      <c r="I97" s="123">
        <v>15704.29</v>
      </c>
      <c r="J97" s="123">
        <v>16290.71</v>
      </c>
    </row>
    <row r="98" spans="1:10" ht="39.6" x14ac:dyDescent="0.25">
      <c r="A98" s="98" t="s">
        <v>1026</v>
      </c>
      <c r="B98" s="124" t="s">
        <v>1053</v>
      </c>
      <c r="C98" s="108" t="s">
        <v>1127</v>
      </c>
      <c r="D98" s="120" t="s">
        <v>1128</v>
      </c>
      <c r="E98" s="121">
        <v>43725</v>
      </c>
      <c r="F98" s="122">
        <v>5</v>
      </c>
      <c r="G98" s="120" t="s">
        <v>21</v>
      </c>
      <c r="H98" s="123">
        <v>31995</v>
      </c>
      <c r="I98" s="123">
        <v>15704.29</v>
      </c>
      <c r="J98" s="123">
        <v>16290.71</v>
      </c>
    </row>
    <row r="99" spans="1:10" ht="39.6" x14ac:dyDescent="0.25">
      <c r="A99" s="98" t="s">
        <v>1026</v>
      </c>
      <c r="B99" s="124" t="s">
        <v>1053</v>
      </c>
      <c r="C99" s="108" t="s">
        <v>1129</v>
      </c>
      <c r="D99" s="120" t="s">
        <v>1130</v>
      </c>
      <c r="E99" s="121">
        <v>43725</v>
      </c>
      <c r="F99" s="122">
        <v>5</v>
      </c>
      <c r="G99" s="120" t="s">
        <v>21</v>
      </c>
      <c r="H99" s="123">
        <v>31995</v>
      </c>
      <c r="I99" s="123">
        <v>15704.29</v>
      </c>
      <c r="J99" s="123">
        <v>16290.71</v>
      </c>
    </row>
    <row r="100" spans="1:10" ht="39.6" x14ac:dyDescent="0.25">
      <c r="A100" s="98" t="s">
        <v>1026</v>
      </c>
      <c r="B100" s="124" t="s">
        <v>1053</v>
      </c>
      <c r="C100" s="108" t="s">
        <v>1131</v>
      </c>
      <c r="D100" s="120" t="s">
        <v>1132</v>
      </c>
      <c r="E100" s="121">
        <v>43725</v>
      </c>
      <c r="F100" s="122">
        <v>5</v>
      </c>
      <c r="G100" s="120" t="s">
        <v>21</v>
      </c>
      <c r="H100" s="123">
        <v>31995</v>
      </c>
      <c r="I100" s="123">
        <v>15704.29</v>
      </c>
      <c r="J100" s="123">
        <v>16290.71</v>
      </c>
    </row>
    <row r="101" spans="1:10" ht="39.6" x14ac:dyDescent="0.25">
      <c r="A101" s="98" t="s">
        <v>1026</v>
      </c>
      <c r="B101" s="124" t="s">
        <v>1053</v>
      </c>
      <c r="C101" s="108" t="s">
        <v>1133</v>
      </c>
      <c r="D101" s="120" t="s">
        <v>1134</v>
      </c>
      <c r="E101" s="121">
        <v>43725</v>
      </c>
      <c r="F101" s="122">
        <v>5</v>
      </c>
      <c r="G101" s="120" t="s">
        <v>21</v>
      </c>
      <c r="H101" s="123">
        <v>31995</v>
      </c>
      <c r="I101" s="123">
        <v>15704.29</v>
      </c>
      <c r="J101" s="123">
        <v>16290.71</v>
      </c>
    </row>
    <row r="102" spans="1:10" ht="39.6" x14ac:dyDescent="0.25">
      <c r="A102" s="98" t="s">
        <v>1026</v>
      </c>
      <c r="B102" s="124" t="s">
        <v>1053</v>
      </c>
      <c r="C102" s="108" t="s">
        <v>1135</v>
      </c>
      <c r="D102" s="120" t="s">
        <v>1136</v>
      </c>
      <c r="E102" s="121">
        <v>43725</v>
      </c>
      <c r="F102" s="122">
        <v>5</v>
      </c>
      <c r="G102" s="120" t="s">
        <v>21</v>
      </c>
      <c r="H102" s="123">
        <v>31995</v>
      </c>
      <c r="I102" s="123">
        <v>15704.29</v>
      </c>
      <c r="J102" s="123">
        <v>16290.71</v>
      </c>
    </row>
    <row r="103" spans="1:10" ht="39.6" x14ac:dyDescent="0.25">
      <c r="A103" s="98" t="s">
        <v>1026</v>
      </c>
      <c r="B103" s="124" t="s">
        <v>1053</v>
      </c>
      <c r="C103" s="108" t="s">
        <v>1137</v>
      </c>
      <c r="D103" s="120" t="s">
        <v>1138</v>
      </c>
      <c r="E103" s="121">
        <v>43725</v>
      </c>
      <c r="F103" s="122">
        <v>5</v>
      </c>
      <c r="G103" s="120" t="s">
        <v>21</v>
      </c>
      <c r="H103" s="123">
        <v>31995</v>
      </c>
      <c r="I103" s="123">
        <v>15704.29</v>
      </c>
      <c r="J103" s="123">
        <v>16290.71</v>
      </c>
    </row>
    <row r="104" spans="1:10" ht="39.6" x14ac:dyDescent="0.25">
      <c r="A104" s="98" t="s">
        <v>1026</v>
      </c>
      <c r="B104" s="124" t="s">
        <v>1053</v>
      </c>
      <c r="C104" s="108" t="s">
        <v>1139</v>
      </c>
      <c r="D104" s="120" t="s">
        <v>1140</v>
      </c>
      <c r="E104" s="121">
        <v>43725</v>
      </c>
      <c r="F104" s="122">
        <v>5</v>
      </c>
      <c r="G104" s="120" t="s">
        <v>21</v>
      </c>
      <c r="H104" s="123">
        <v>31995</v>
      </c>
      <c r="I104" s="123">
        <v>15704.29</v>
      </c>
      <c r="J104" s="123">
        <v>16290.71</v>
      </c>
    </row>
    <row r="105" spans="1:10" ht="41.4" customHeight="1" x14ac:dyDescent="0.25">
      <c r="A105" s="98" t="s">
        <v>1026</v>
      </c>
      <c r="B105" s="124" t="s">
        <v>1053</v>
      </c>
      <c r="C105" s="108" t="s">
        <v>1141</v>
      </c>
      <c r="D105" s="120" t="s">
        <v>1142</v>
      </c>
      <c r="E105" s="121">
        <v>43735</v>
      </c>
      <c r="F105" s="122">
        <v>5</v>
      </c>
      <c r="G105" s="120" t="s">
        <v>21</v>
      </c>
      <c r="H105" s="123">
        <v>17400</v>
      </c>
      <c r="I105" s="123">
        <v>7438.5</v>
      </c>
      <c r="J105" s="123">
        <v>9961.5</v>
      </c>
    </row>
    <row r="106" spans="1:10" ht="26.4" x14ac:dyDescent="0.25">
      <c r="A106" s="98" t="s">
        <v>1026</v>
      </c>
      <c r="B106" s="124" t="s">
        <v>1053</v>
      </c>
      <c r="C106" s="108" t="s">
        <v>1143</v>
      </c>
      <c r="D106" s="120" t="s">
        <v>1144</v>
      </c>
      <c r="E106" s="121">
        <v>43753</v>
      </c>
      <c r="F106" s="122">
        <v>5</v>
      </c>
      <c r="G106" s="120" t="s">
        <v>1000</v>
      </c>
      <c r="H106" s="123">
        <v>23890</v>
      </c>
      <c r="I106" s="123">
        <v>10213.02</v>
      </c>
      <c r="J106" s="123">
        <v>13676.98</v>
      </c>
    </row>
    <row r="107" spans="1:10" ht="39.6" x14ac:dyDescent="0.25">
      <c r="A107" s="98" t="s">
        <v>1026</v>
      </c>
      <c r="B107" s="124" t="s">
        <v>1053</v>
      </c>
      <c r="C107" s="108" t="s">
        <v>1145</v>
      </c>
      <c r="D107" s="120" t="s">
        <v>1146</v>
      </c>
      <c r="E107" s="121">
        <v>43753</v>
      </c>
      <c r="F107" s="122">
        <v>5</v>
      </c>
      <c r="G107" s="120" t="s">
        <v>21</v>
      </c>
      <c r="H107" s="123">
        <v>19995</v>
      </c>
      <c r="I107" s="123">
        <v>9181.11</v>
      </c>
      <c r="J107" s="123">
        <v>10813.89</v>
      </c>
    </row>
    <row r="108" spans="1:10" ht="39.6" x14ac:dyDescent="0.25">
      <c r="A108" s="98" t="s">
        <v>1026</v>
      </c>
      <c r="B108" s="124" t="s">
        <v>1053</v>
      </c>
      <c r="C108" s="108" t="s">
        <v>1147</v>
      </c>
      <c r="D108" s="120" t="s">
        <v>1148</v>
      </c>
      <c r="E108" s="121">
        <v>43802</v>
      </c>
      <c r="F108" s="122">
        <v>5</v>
      </c>
      <c r="G108" s="120" t="s">
        <v>1000</v>
      </c>
      <c r="H108" s="123">
        <v>29999</v>
      </c>
      <c r="I108" s="123">
        <v>12824.46</v>
      </c>
      <c r="J108" s="123">
        <v>17174.54</v>
      </c>
    </row>
    <row r="109" spans="1:10" ht="41.4" customHeight="1" x14ac:dyDescent="0.25">
      <c r="A109" s="98" t="s">
        <v>1026</v>
      </c>
      <c r="B109" s="124" t="s">
        <v>1053</v>
      </c>
      <c r="C109" s="108" t="s">
        <v>1149</v>
      </c>
      <c r="D109" s="120" t="s">
        <v>1150</v>
      </c>
      <c r="E109" s="121">
        <v>43804</v>
      </c>
      <c r="F109" s="122">
        <v>5</v>
      </c>
      <c r="G109" s="120" t="s">
        <v>21</v>
      </c>
      <c r="H109" s="123">
        <v>18800</v>
      </c>
      <c r="I109" s="123">
        <v>10418.450000000001</v>
      </c>
      <c r="J109" s="123">
        <v>8381.5499999999993</v>
      </c>
    </row>
    <row r="110" spans="1:10" ht="41.4" customHeight="1" x14ac:dyDescent="0.25">
      <c r="A110" s="98" t="s">
        <v>1026</v>
      </c>
      <c r="B110" s="124" t="s">
        <v>1053</v>
      </c>
      <c r="C110" s="108" t="s">
        <v>1151</v>
      </c>
      <c r="D110" s="120" t="s">
        <v>1152</v>
      </c>
      <c r="E110" s="121">
        <v>43804</v>
      </c>
      <c r="F110" s="122">
        <v>5</v>
      </c>
      <c r="G110" s="120" t="s">
        <v>21</v>
      </c>
      <c r="H110" s="123">
        <v>18800</v>
      </c>
      <c r="I110" s="123">
        <v>10418.450000000001</v>
      </c>
      <c r="J110" s="123">
        <v>8381.5499999999993</v>
      </c>
    </row>
    <row r="111" spans="1:10" ht="30.6" customHeight="1" x14ac:dyDescent="0.25">
      <c r="A111" s="98" t="s">
        <v>1026</v>
      </c>
      <c r="B111" s="124" t="s">
        <v>1053</v>
      </c>
      <c r="C111" s="108" t="s">
        <v>1153</v>
      </c>
      <c r="D111" s="120" t="s">
        <v>1154</v>
      </c>
      <c r="E111" s="121">
        <v>43804</v>
      </c>
      <c r="F111" s="122">
        <v>5</v>
      </c>
      <c r="G111" s="120" t="s">
        <v>21</v>
      </c>
      <c r="H111" s="123">
        <v>18800</v>
      </c>
      <c r="I111" s="123">
        <v>10418.450000000001</v>
      </c>
      <c r="J111" s="123">
        <v>8381.5499999999993</v>
      </c>
    </row>
    <row r="112" spans="1:10" ht="31.2" customHeight="1" x14ac:dyDescent="0.25">
      <c r="A112" s="98" t="s">
        <v>1026</v>
      </c>
      <c r="B112" s="124" t="s">
        <v>1053</v>
      </c>
      <c r="C112" s="108" t="s">
        <v>1155</v>
      </c>
      <c r="D112" s="120" t="s">
        <v>1156</v>
      </c>
      <c r="E112" s="121">
        <v>43879</v>
      </c>
      <c r="F112" s="122">
        <v>5</v>
      </c>
      <c r="G112" s="120" t="s">
        <v>66</v>
      </c>
      <c r="H112" s="123">
        <v>18000</v>
      </c>
      <c r="I112" s="123">
        <v>9405</v>
      </c>
      <c r="J112" s="123">
        <v>8595</v>
      </c>
    </row>
    <row r="113" spans="1:10" ht="39.6" x14ac:dyDescent="0.25">
      <c r="A113" s="98" t="s">
        <v>1026</v>
      </c>
      <c r="B113" s="124" t="s">
        <v>1053</v>
      </c>
      <c r="C113" s="108" t="s">
        <v>1157</v>
      </c>
      <c r="D113" s="120" t="s">
        <v>1158</v>
      </c>
      <c r="E113" s="121">
        <v>44169</v>
      </c>
      <c r="F113" s="122">
        <v>10</v>
      </c>
      <c r="G113" s="120" t="s">
        <v>682</v>
      </c>
      <c r="H113" s="123">
        <v>34400</v>
      </c>
      <c r="I113" s="123">
        <v>10348.67</v>
      </c>
      <c r="J113" s="123">
        <v>24051.33</v>
      </c>
    </row>
    <row r="114" spans="1:10" ht="39.6" x14ac:dyDescent="0.25">
      <c r="A114" s="98" t="s">
        <v>1026</v>
      </c>
      <c r="B114" s="124" t="s">
        <v>1053</v>
      </c>
      <c r="C114" s="108" t="s">
        <v>1159</v>
      </c>
      <c r="D114" s="120" t="s">
        <v>1160</v>
      </c>
      <c r="E114" s="121">
        <v>44077</v>
      </c>
      <c r="F114" s="122">
        <v>5</v>
      </c>
      <c r="G114" s="120" t="s">
        <v>21</v>
      </c>
      <c r="H114" s="123">
        <v>19995</v>
      </c>
      <c r="I114" s="123">
        <v>8864.52</v>
      </c>
      <c r="J114" s="123">
        <v>11130.48</v>
      </c>
    </row>
    <row r="115" spans="1:10" ht="39.6" x14ac:dyDescent="0.25">
      <c r="A115" s="98" t="s">
        <v>1026</v>
      </c>
      <c r="B115" s="124" t="s">
        <v>1053</v>
      </c>
      <c r="C115" s="108" t="s">
        <v>1161</v>
      </c>
      <c r="D115" s="120" t="s">
        <v>1162</v>
      </c>
      <c r="E115" s="121">
        <v>44004</v>
      </c>
      <c r="F115" s="122">
        <v>5</v>
      </c>
      <c r="G115" s="120" t="s">
        <v>1000</v>
      </c>
      <c r="H115" s="123">
        <v>16875</v>
      </c>
      <c r="I115" s="123">
        <v>8015.7</v>
      </c>
      <c r="J115" s="123">
        <v>8859.2999999999993</v>
      </c>
    </row>
    <row r="116" spans="1:10" ht="26.4" x14ac:dyDescent="0.25">
      <c r="A116" s="98" t="s">
        <v>1026</v>
      </c>
      <c r="B116" s="124" t="s">
        <v>1053</v>
      </c>
      <c r="C116" s="108" t="s">
        <v>1163</v>
      </c>
      <c r="D116" s="120" t="s">
        <v>1164</v>
      </c>
      <c r="E116" s="121">
        <v>44166</v>
      </c>
      <c r="F116" s="122">
        <v>5</v>
      </c>
      <c r="G116" s="120" t="s">
        <v>1165</v>
      </c>
      <c r="H116" s="123">
        <v>19950</v>
      </c>
      <c r="I116" s="123">
        <v>3790.56</v>
      </c>
      <c r="J116" s="123">
        <v>16159.44</v>
      </c>
    </row>
    <row r="117" spans="1:10" ht="43.95" customHeight="1" x14ac:dyDescent="0.25">
      <c r="A117" s="98" t="s">
        <v>1026</v>
      </c>
      <c r="B117" s="124" t="s">
        <v>1053</v>
      </c>
      <c r="C117" s="108" t="s">
        <v>1166</v>
      </c>
      <c r="D117" s="120" t="s">
        <v>1167</v>
      </c>
      <c r="E117" s="121">
        <v>44251</v>
      </c>
      <c r="F117" s="122">
        <v>5</v>
      </c>
      <c r="G117" s="120" t="s">
        <v>21</v>
      </c>
      <c r="H117" s="123">
        <v>24980</v>
      </c>
      <c r="I117" s="123">
        <v>8701.44</v>
      </c>
      <c r="J117" s="123">
        <v>16278.56</v>
      </c>
    </row>
    <row r="118" spans="1:10" ht="26.4" x14ac:dyDescent="0.25">
      <c r="A118" s="98" t="s">
        <v>1026</v>
      </c>
      <c r="B118" s="124" t="s">
        <v>1053</v>
      </c>
      <c r="C118" s="108" t="s">
        <v>1168</v>
      </c>
      <c r="D118" s="120" t="s">
        <v>1169</v>
      </c>
      <c r="E118" s="121">
        <v>37894</v>
      </c>
      <c r="F118" s="122">
        <v>5</v>
      </c>
      <c r="G118" s="120" t="s">
        <v>941</v>
      </c>
      <c r="H118" s="123">
        <v>21000</v>
      </c>
      <c r="I118" s="123">
        <v>18900</v>
      </c>
      <c r="J118" s="123">
        <v>2100</v>
      </c>
    </row>
    <row r="119" spans="1:10" ht="26.4" x14ac:dyDescent="0.25">
      <c r="A119" s="98" t="s">
        <v>1026</v>
      </c>
      <c r="B119" s="124" t="s">
        <v>1053</v>
      </c>
      <c r="C119" s="108" t="s">
        <v>1170</v>
      </c>
      <c r="D119" s="120" t="s">
        <v>1171</v>
      </c>
      <c r="E119" s="121">
        <v>37986</v>
      </c>
      <c r="F119" s="122">
        <v>5</v>
      </c>
      <c r="G119" s="120" t="s">
        <v>248</v>
      </c>
      <c r="H119" s="123">
        <v>20000</v>
      </c>
      <c r="I119" s="123">
        <v>18000</v>
      </c>
      <c r="J119" s="123">
        <v>2000</v>
      </c>
    </row>
    <row r="120" spans="1:10" ht="39.6" x14ac:dyDescent="0.25">
      <c r="A120" s="98" t="s">
        <v>1026</v>
      </c>
      <c r="B120" s="124" t="s">
        <v>1053</v>
      </c>
      <c r="C120" s="108" t="s">
        <v>1172</v>
      </c>
      <c r="D120" s="120" t="s">
        <v>1173</v>
      </c>
      <c r="E120" s="121">
        <v>42816</v>
      </c>
      <c r="F120" s="122">
        <v>5</v>
      </c>
      <c r="G120" s="120" t="s">
        <v>1174</v>
      </c>
      <c r="H120" s="123">
        <v>15500</v>
      </c>
      <c r="I120" s="123">
        <v>13252.62</v>
      </c>
      <c r="J120" s="123">
        <v>2247.38</v>
      </c>
    </row>
    <row r="121" spans="1:10" ht="42.6" customHeight="1" x14ac:dyDescent="0.25">
      <c r="A121" s="98" t="s">
        <v>1026</v>
      </c>
      <c r="B121" s="124" t="s">
        <v>1053</v>
      </c>
      <c r="C121" s="108" t="s">
        <v>1175</v>
      </c>
      <c r="D121" s="120" t="s">
        <v>1176</v>
      </c>
      <c r="E121" s="121">
        <v>42906</v>
      </c>
      <c r="F121" s="122">
        <v>5</v>
      </c>
      <c r="G121" s="120" t="s">
        <v>1165</v>
      </c>
      <c r="H121" s="123">
        <v>18999</v>
      </c>
      <c r="I121" s="123">
        <v>15959.34</v>
      </c>
      <c r="J121" s="123">
        <v>3039.66</v>
      </c>
    </row>
    <row r="122" spans="1:10" ht="26.4" x14ac:dyDescent="0.25">
      <c r="A122" s="98" t="s">
        <v>1026</v>
      </c>
      <c r="B122" s="124" t="s">
        <v>1053</v>
      </c>
      <c r="C122" s="108" t="s">
        <v>1177</v>
      </c>
      <c r="D122" s="120" t="s">
        <v>1178</v>
      </c>
      <c r="E122" s="121">
        <v>43080</v>
      </c>
      <c r="F122" s="122">
        <v>6</v>
      </c>
      <c r="G122" s="120" t="s">
        <v>1041</v>
      </c>
      <c r="H122" s="123">
        <v>15995</v>
      </c>
      <c r="I122" s="123">
        <v>12529.68</v>
      </c>
      <c r="J122" s="123">
        <v>3465.32</v>
      </c>
    </row>
    <row r="123" spans="1:10" ht="39.6" x14ac:dyDescent="0.25">
      <c r="A123" s="98" t="s">
        <v>1026</v>
      </c>
      <c r="B123" s="124" t="s">
        <v>1053</v>
      </c>
      <c r="C123" s="108" t="s">
        <v>1179</v>
      </c>
      <c r="D123" s="120" t="s">
        <v>1180</v>
      </c>
      <c r="E123" s="121">
        <v>42804</v>
      </c>
      <c r="F123" s="122">
        <v>5</v>
      </c>
      <c r="G123" s="120" t="s">
        <v>1064</v>
      </c>
      <c r="H123" s="123">
        <v>41200</v>
      </c>
      <c r="I123" s="123">
        <v>23483.88</v>
      </c>
      <c r="J123" s="123">
        <v>17716.12</v>
      </c>
    </row>
    <row r="124" spans="1:10" ht="28.2" customHeight="1" x14ac:dyDescent="0.25">
      <c r="A124" s="98" t="s">
        <v>1026</v>
      </c>
      <c r="B124" s="124" t="s">
        <v>1053</v>
      </c>
      <c r="C124" s="108" t="s">
        <v>1181</v>
      </c>
      <c r="D124" s="120" t="s">
        <v>1182</v>
      </c>
      <c r="E124" s="121">
        <v>42670</v>
      </c>
      <c r="F124" s="122">
        <v>5</v>
      </c>
      <c r="G124" s="120" t="s">
        <v>21</v>
      </c>
      <c r="H124" s="123">
        <v>22000</v>
      </c>
      <c r="I124" s="123">
        <v>20093.22</v>
      </c>
      <c r="J124" s="123">
        <v>1906.78</v>
      </c>
    </row>
    <row r="125" spans="1:10" ht="26.4" x14ac:dyDescent="0.25">
      <c r="A125" s="98" t="s">
        <v>1026</v>
      </c>
      <c r="B125" s="124" t="s">
        <v>1053</v>
      </c>
      <c r="C125" s="108" t="s">
        <v>1183</v>
      </c>
      <c r="D125" s="120" t="s">
        <v>1184</v>
      </c>
      <c r="E125" s="121">
        <v>43228</v>
      </c>
      <c r="F125" s="122">
        <v>5</v>
      </c>
      <c r="G125" s="120" t="s">
        <v>1165</v>
      </c>
      <c r="H125" s="123">
        <v>29980</v>
      </c>
      <c r="I125" s="123">
        <v>26382.240000000002</v>
      </c>
      <c r="J125" s="123">
        <v>3597.76</v>
      </c>
    </row>
    <row r="126" spans="1:10" ht="26.4" x14ac:dyDescent="0.25">
      <c r="A126" s="98" t="s">
        <v>1026</v>
      </c>
      <c r="B126" s="124" t="s">
        <v>1053</v>
      </c>
      <c r="C126" s="108" t="s">
        <v>1185</v>
      </c>
      <c r="D126" s="120" t="s">
        <v>1186</v>
      </c>
      <c r="E126" s="121">
        <v>37894</v>
      </c>
      <c r="F126" s="122">
        <v>5</v>
      </c>
      <c r="G126" s="120" t="s">
        <v>248</v>
      </c>
      <c r="H126" s="123">
        <v>19700</v>
      </c>
      <c r="I126" s="123">
        <v>17730</v>
      </c>
      <c r="J126" s="123">
        <v>1970</v>
      </c>
    </row>
    <row r="127" spans="1:10" ht="26.4" x14ac:dyDescent="0.25">
      <c r="A127" s="98" t="s">
        <v>1026</v>
      </c>
      <c r="B127" s="124" t="s">
        <v>1053</v>
      </c>
      <c r="C127" s="108" t="s">
        <v>1187</v>
      </c>
      <c r="D127" s="120" t="s">
        <v>1188</v>
      </c>
      <c r="E127" s="121">
        <v>39638</v>
      </c>
      <c r="F127" s="122">
        <v>10</v>
      </c>
      <c r="G127" s="120" t="s">
        <v>66</v>
      </c>
      <c r="H127" s="123">
        <v>15000</v>
      </c>
      <c r="I127" s="123">
        <v>14763.75</v>
      </c>
      <c r="J127" s="123">
        <v>236.25</v>
      </c>
    </row>
    <row r="128" spans="1:10" ht="26.4" x14ac:dyDescent="0.25">
      <c r="A128" s="98" t="s">
        <v>1026</v>
      </c>
      <c r="B128" s="124" t="s">
        <v>1053</v>
      </c>
      <c r="C128" s="108" t="s">
        <v>1189</v>
      </c>
      <c r="D128" s="120" t="s">
        <v>1190</v>
      </c>
      <c r="E128" s="121">
        <v>39638</v>
      </c>
      <c r="F128" s="122">
        <v>10</v>
      </c>
      <c r="G128" s="120" t="s">
        <v>66</v>
      </c>
      <c r="H128" s="123">
        <v>15000</v>
      </c>
      <c r="I128" s="123">
        <v>14763.75</v>
      </c>
      <c r="J128" s="123">
        <v>236.25</v>
      </c>
    </row>
    <row r="129" spans="1:10" ht="26.4" x14ac:dyDescent="0.25">
      <c r="A129" s="98" t="s">
        <v>1026</v>
      </c>
      <c r="B129" s="124" t="s">
        <v>1053</v>
      </c>
      <c r="C129" s="108" t="s">
        <v>1191</v>
      </c>
      <c r="D129" s="120" t="s">
        <v>1192</v>
      </c>
      <c r="E129" s="121">
        <v>41254</v>
      </c>
      <c r="F129" s="122">
        <v>5</v>
      </c>
      <c r="G129" s="120" t="s">
        <v>1193</v>
      </c>
      <c r="H129" s="123">
        <v>24950</v>
      </c>
      <c r="I129" s="123">
        <v>24295.06</v>
      </c>
      <c r="J129" s="123">
        <v>654.94000000000005</v>
      </c>
    </row>
    <row r="130" spans="1:10" ht="26.4" x14ac:dyDescent="0.25">
      <c r="A130" s="98" t="s">
        <v>1026</v>
      </c>
      <c r="B130" s="124" t="s">
        <v>1053</v>
      </c>
      <c r="C130" s="108" t="s">
        <v>1194</v>
      </c>
      <c r="D130" s="120" t="s">
        <v>1195</v>
      </c>
      <c r="E130" s="121">
        <v>38503</v>
      </c>
      <c r="F130" s="122">
        <v>5</v>
      </c>
      <c r="G130" s="120" t="s">
        <v>1196</v>
      </c>
      <c r="H130" s="123">
        <v>18000</v>
      </c>
      <c r="I130" s="123">
        <v>16200</v>
      </c>
      <c r="J130" s="123">
        <v>1800</v>
      </c>
    </row>
    <row r="131" spans="1:10" ht="26.4" x14ac:dyDescent="0.25">
      <c r="A131" s="98" t="s">
        <v>1026</v>
      </c>
      <c r="B131" s="124" t="s">
        <v>1053</v>
      </c>
      <c r="C131" s="108" t="s">
        <v>1197</v>
      </c>
      <c r="D131" s="120" t="s">
        <v>1198</v>
      </c>
      <c r="E131" s="121">
        <v>38260</v>
      </c>
      <c r="F131" s="122">
        <v>5</v>
      </c>
      <c r="G131" s="120" t="s">
        <v>21</v>
      </c>
      <c r="H131" s="123">
        <v>18925</v>
      </c>
      <c r="I131" s="123">
        <v>17032.5</v>
      </c>
      <c r="J131" s="123">
        <v>1892.5</v>
      </c>
    </row>
    <row r="132" spans="1:10" ht="39.6" x14ac:dyDescent="0.25">
      <c r="A132" s="98" t="s">
        <v>1026</v>
      </c>
      <c r="B132" s="124" t="s">
        <v>1053</v>
      </c>
      <c r="C132" s="108" t="s">
        <v>1199</v>
      </c>
      <c r="D132" s="120" t="s">
        <v>1200</v>
      </c>
      <c r="E132" s="121">
        <v>44379</v>
      </c>
      <c r="F132" s="122">
        <v>5</v>
      </c>
      <c r="G132" s="120" t="s">
        <v>21</v>
      </c>
      <c r="H132" s="123">
        <v>49980</v>
      </c>
      <c r="I132" s="123">
        <v>14244.3</v>
      </c>
      <c r="J132" s="123">
        <v>35735.699999999997</v>
      </c>
    </row>
    <row r="133" spans="1:10" ht="52.8" x14ac:dyDescent="0.25">
      <c r="A133" s="98" t="s">
        <v>1026</v>
      </c>
      <c r="B133" s="124" t="s">
        <v>1053</v>
      </c>
      <c r="C133" s="108" t="s">
        <v>1201</v>
      </c>
      <c r="D133" s="120" t="s">
        <v>1202</v>
      </c>
      <c r="E133" s="121">
        <v>44407</v>
      </c>
      <c r="F133" s="122">
        <v>5</v>
      </c>
      <c r="G133" s="120" t="s">
        <v>941</v>
      </c>
      <c r="H133" s="123">
        <v>19990</v>
      </c>
      <c r="I133" s="123">
        <v>5380.67</v>
      </c>
      <c r="J133" s="123">
        <v>14609.33</v>
      </c>
    </row>
    <row r="134" spans="1:10" ht="44.4" customHeight="1" x14ac:dyDescent="0.25">
      <c r="A134" s="98" t="s">
        <v>1026</v>
      </c>
      <c r="B134" s="124" t="s">
        <v>1053</v>
      </c>
      <c r="C134" s="108" t="s">
        <v>1203</v>
      </c>
      <c r="D134" s="120" t="s">
        <v>1204</v>
      </c>
      <c r="E134" s="121">
        <v>44407</v>
      </c>
      <c r="F134" s="122">
        <v>5</v>
      </c>
      <c r="G134" s="120" t="s">
        <v>1165</v>
      </c>
      <c r="H134" s="123">
        <v>17500</v>
      </c>
      <c r="I134" s="123">
        <v>4710.3599999999997</v>
      </c>
      <c r="J134" s="123">
        <v>12789.64</v>
      </c>
    </row>
    <row r="135" spans="1:10" ht="26.4" x14ac:dyDescent="0.25">
      <c r="A135" s="98" t="s">
        <v>1026</v>
      </c>
      <c r="B135" s="124" t="s">
        <v>1053</v>
      </c>
      <c r="C135" s="108" t="s">
        <v>1205</v>
      </c>
      <c r="D135" s="120" t="s">
        <v>1206</v>
      </c>
      <c r="E135" s="121">
        <v>38472</v>
      </c>
      <c r="F135" s="122">
        <v>5</v>
      </c>
      <c r="G135" s="120" t="s">
        <v>1036</v>
      </c>
      <c r="H135" s="123">
        <v>41680</v>
      </c>
      <c r="I135" s="123">
        <v>37512</v>
      </c>
      <c r="J135" s="123">
        <v>4168</v>
      </c>
    </row>
    <row r="136" spans="1:10" ht="26.4" x14ac:dyDescent="0.25">
      <c r="A136" s="98" t="s">
        <v>1026</v>
      </c>
      <c r="B136" s="124" t="s">
        <v>1053</v>
      </c>
      <c r="C136" s="108" t="s">
        <v>1207</v>
      </c>
      <c r="D136" s="120" t="s">
        <v>1208</v>
      </c>
      <c r="E136" s="121">
        <v>38472</v>
      </c>
      <c r="F136" s="122">
        <v>5</v>
      </c>
      <c r="G136" s="120" t="s">
        <v>1036</v>
      </c>
      <c r="H136" s="123">
        <v>41680</v>
      </c>
      <c r="I136" s="123">
        <v>37512</v>
      </c>
      <c r="J136" s="123">
        <v>4168</v>
      </c>
    </row>
    <row r="137" spans="1:10" ht="26.4" x14ac:dyDescent="0.25">
      <c r="A137" s="98" t="s">
        <v>1026</v>
      </c>
      <c r="B137" s="124" t="s">
        <v>1053</v>
      </c>
      <c r="C137" s="108" t="s">
        <v>1209</v>
      </c>
      <c r="D137" s="120" t="s">
        <v>1210</v>
      </c>
      <c r="E137" s="121">
        <v>38472</v>
      </c>
      <c r="F137" s="122">
        <v>5</v>
      </c>
      <c r="G137" s="120" t="s">
        <v>1036</v>
      </c>
      <c r="H137" s="123">
        <v>41680</v>
      </c>
      <c r="I137" s="123">
        <v>37512</v>
      </c>
      <c r="J137" s="123">
        <v>4168</v>
      </c>
    </row>
    <row r="138" spans="1:10" ht="39.6" x14ac:dyDescent="0.25">
      <c r="A138" s="98" t="s">
        <v>1026</v>
      </c>
      <c r="B138" s="124" t="s">
        <v>1053</v>
      </c>
      <c r="C138" s="108" t="s">
        <v>1211</v>
      </c>
      <c r="D138" s="120" t="s">
        <v>1212</v>
      </c>
      <c r="E138" s="121">
        <v>43446</v>
      </c>
      <c r="F138" s="122">
        <v>5</v>
      </c>
      <c r="G138" s="120" t="s">
        <v>1088</v>
      </c>
      <c r="H138" s="123">
        <v>35825</v>
      </c>
      <c r="I138" s="123">
        <v>27227.040000000001</v>
      </c>
      <c r="J138" s="123">
        <v>8597.9599999999991</v>
      </c>
    </row>
    <row r="139" spans="1:10" ht="39.6" x14ac:dyDescent="0.25">
      <c r="A139" s="98" t="s">
        <v>1026</v>
      </c>
      <c r="B139" s="124" t="s">
        <v>1053</v>
      </c>
      <c r="C139" s="108" t="s">
        <v>1213</v>
      </c>
      <c r="D139" s="120" t="s">
        <v>1214</v>
      </c>
      <c r="E139" s="121">
        <v>43542</v>
      </c>
      <c r="F139" s="122">
        <v>5</v>
      </c>
      <c r="G139" s="120" t="s">
        <v>21</v>
      </c>
      <c r="H139" s="123">
        <v>24700</v>
      </c>
      <c r="I139" s="123">
        <v>14469.96</v>
      </c>
      <c r="J139" s="123">
        <v>10230.040000000001</v>
      </c>
    </row>
    <row r="140" spans="1:10" ht="28.95" customHeight="1" x14ac:dyDescent="0.25">
      <c r="A140" s="98" t="s">
        <v>1026</v>
      </c>
      <c r="B140" s="124" t="s">
        <v>1053</v>
      </c>
      <c r="C140" s="108" t="s">
        <v>1215</v>
      </c>
      <c r="D140" s="120" t="s">
        <v>1216</v>
      </c>
      <c r="E140" s="121">
        <v>44153</v>
      </c>
      <c r="F140" s="122">
        <v>5</v>
      </c>
      <c r="G140" s="120" t="s">
        <v>682</v>
      </c>
      <c r="H140" s="123">
        <v>22450</v>
      </c>
      <c r="I140" s="123">
        <v>8886.5</v>
      </c>
      <c r="J140" s="123">
        <v>13563.5</v>
      </c>
    </row>
    <row r="141" spans="1:10" ht="39.6" x14ac:dyDescent="0.25">
      <c r="A141" s="98" t="s">
        <v>1026</v>
      </c>
      <c r="B141" s="124" t="s">
        <v>1053</v>
      </c>
      <c r="C141" s="108" t="s">
        <v>1217</v>
      </c>
      <c r="D141" s="120" t="s">
        <v>1218</v>
      </c>
      <c r="E141" s="121">
        <v>42842</v>
      </c>
      <c r="F141" s="122">
        <v>5</v>
      </c>
      <c r="G141" s="120" t="s">
        <v>1088</v>
      </c>
      <c r="H141" s="123">
        <v>49900</v>
      </c>
      <c r="I141" s="123">
        <v>43412.88</v>
      </c>
      <c r="J141" s="123">
        <v>6487.12</v>
      </c>
    </row>
    <row r="142" spans="1:10" ht="39.6" x14ac:dyDescent="0.25">
      <c r="A142" s="98" t="s">
        <v>1026</v>
      </c>
      <c r="B142" s="124" t="s">
        <v>1053</v>
      </c>
      <c r="C142" s="108" t="s">
        <v>1219</v>
      </c>
      <c r="D142" s="120" t="s">
        <v>1220</v>
      </c>
      <c r="E142" s="121">
        <v>42997</v>
      </c>
      <c r="F142" s="122">
        <v>5</v>
      </c>
      <c r="G142" s="120" t="s">
        <v>941</v>
      </c>
      <c r="H142" s="123">
        <v>30999</v>
      </c>
      <c r="I142" s="123">
        <v>22371.08</v>
      </c>
      <c r="J142" s="123">
        <v>8627.92</v>
      </c>
    </row>
    <row r="143" spans="1:10" ht="39.6" x14ac:dyDescent="0.25">
      <c r="A143" s="98" t="s">
        <v>1026</v>
      </c>
      <c r="B143" s="124" t="s">
        <v>1053</v>
      </c>
      <c r="C143" s="108" t="s">
        <v>1221</v>
      </c>
      <c r="D143" s="120" t="s">
        <v>1222</v>
      </c>
      <c r="E143" s="121">
        <v>42997</v>
      </c>
      <c r="F143" s="122">
        <v>5</v>
      </c>
      <c r="G143" s="120" t="s">
        <v>941</v>
      </c>
      <c r="H143" s="123">
        <v>30999</v>
      </c>
      <c r="I143" s="123">
        <v>22371.08</v>
      </c>
      <c r="J143" s="123">
        <v>8627.92</v>
      </c>
    </row>
    <row r="144" spans="1:10" ht="43.2" customHeight="1" x14ac:dyDescent="0.25">
      <c r="A144" s="98" t="s">
        <v>1026</v>
      </c>
      <c r="B144" s="124" t="s">
        <v>1053</v>
      </c>
      <c r="C144" s="108" t="s">
        <v>1223</v>
      </c>
      <c r="D144" s="120" t="s">
        <v>1224</v>
      </c>
      <c r="E144" s="121">
        <v>43986</v>
      </c>
      <c r="F144" s="122">
        <v>5</v>
      </c>
      <c r="G144" s="120" t="s">
        <v>21</v>
      </c>
      <c r="H144" s="123">
        <v>38000</v>
      </c>
      <c r="I144" s="123">
        <v>18651.77</v>
      </c>
      <c r="J144" s="123">
        <v>19348.23</v>
      </c>
    </row>
    <row r="145" spans="1:10" ht="56.4" customHeight="1" x14ac:dyDescent="0.25">
      <c r="A145" s="98" t="s">
        <v>1026</v>
      </c>
      <c r="B145" s="124" t="s">
        <v>1053</v>
      </c>
      <c r="C145" s="108" t="s">
        <v>1225</v>
      </c>
      <c r="D145" s="120" t="s">
        <v>1226</v>
      </c>
      <c r="E145" s="121">
        <v>43825</v>
      </c>
      <c r="F145" s="122">
        <v>5</v>
      </c>
      <c r="G145" s="120" t="s">
        <v>21</v>
      </c>
      <c r="H145" s="123">
        <v>44400</v>
      </c>
      <c r="I145" s="123">
        <v>23199</v>
      </c>
      <c r="J145" s="123">
        <v>21201</v>
      </c>
    </row>
    <row r="146" spans="1:10" ht="39.6" x14ac:dyDescent="0.25">
      <c r="A146" s="98" t="s">
        <v>1026</v>
      </c>
      <c r="B146" s="124" t="s">
        <v>1053</v>
      </c>
      <c r="C146" s="108" t="s">
        <v>1227</v>
      </c>
      <c r="D146" s="120" t="s">
        <v>1228</v>
      </c>
      <c r="E146" s="121">
        <v>39217</v>
      </c>
      <c r="F146" s="122">
        <v>5</v>
      </c>
      <c r="G146" s="120" t="s">
        <v>1064</v>
      </c>
      <c r="H146" s="123">
        <v>15750</v>
      </c>
      <c r="I146" s="123">
        <v>14175</v>
      </c>
      <c r="J146" s="123">
        <v>1575</v>
      </c>
    </row>
    <row r="147" spans="1:10" ht="26.4" x14ac:dyDescent="0.25">
      <c r="A147" s="98" t="s">
        <v>1026</v>
      </c>
      <c r="B147" s="124" t="s">
        <v>1053</v>
      </c>
      <c r="C147" s="108" t="s">
        <v>1229</v>
      </c>
      <c r="D147" s="120" t="s">
        <v>1230</v>
      </c>
      <c r="E147" s="121">
        <v>38260</v>
      </c>
      <c r="F147" s="122">
        <v>5</v>
      </c>
      <c r="G147" s="120" t="s">
        <v>682</v>
      </c>
      <c r="H147" s="123">
        <v>18800</v>
      </c>
      <c r="I147" s="123">
        <v>16920</v>
      </c>
      <c r="J147" s="123">
        <v>1880</v>
      </c>
    </row>
    <row r="148" spans="1:10" ht="52.8" x14ac:dyDescent="0.25">
      <c r="A148" s="98" t="s">
        <v>1026</v>
      </c>
      <c r="B148" s="124" t="s">
        <v>1053</v>
      </c>
      <c r="C148" s="108" t="s">
        <v>1231</v>
      </c>
      <c r="D148" s="120" t="s">
        <v>1232</v>
      </c>
      <c r="E148" s="121">
        <v>40358</v>
      </c>
      <c r="F148" s="122">
        <v>5</v>
      </c>
      <c r="G148" s="120" t="s">
        <v>1064</v>
      </c>
      <c r="H148" s="123">
        <v>47250</v>
      </c>
      <c r="I148" s="123">
        <v>47037.37</v>
      </c>
      <c r="J148" s="123">
        <v>212.63</v>
      </c>
    </row>
    <row r="149" spans="1:10" ht="26.4" x14ac:dyDescent="0.25">
      <c r="A149" s="98" t="s">
        <v>1026</v>
      </c>
      <c r="B149" s="124" t="s">
        <v>1053</v>
      </c>
      <c r="C149" s="108" t="s">
        <v>1233</v>
      </c>
      <c r="D149" s="120" t="s">
        <v>1234</v>
      </c>
      <c r="E149" s="121">
        <v>42646</v>
      </c>
      <c r="F149" s="122">
        <v>5</v>
      </c>
      <c r="G149" s="120" t="s">
        <v>1000</v>
      </c>
      <c r="H149" s="123">
        <v>16000</v>
      </c>
      <c r="I149" s="123">
        <v>14359.89</v>
      </c>
      <c r="J149" s="123">
        <v>1640.11</v>
      </c>
    </row>
    <row r="150" spans="1:10" ht="39.6" x14ac:dyDescent="0.25">
      <c r="A150" s="98" t="s">
        <v>1026</v>
      </c>
      <c r="B150" s="124" t="s">
        <v>1235</v>
      </c>
      <c r="C150" s="108" t="s">
        <v>1236</v>
      </c>
      <c r="D150" s="120" t="s">
        <v>1237</v>
      </c>
      <c r="E150" s="121">
        <v>38808</v>
      </c>
      <c r="F150" s="122">
        <v>5</v>
      </c>
      <c r="G150" s="120" t="s">
        <v>964</v>
      </c>
      <c r="H150" s="123">
        <v>9500</v>
      </c>
      <c r="I150" s="123">
        <v>0</v>
      </c>
      <c r="J150" s="123">
        <v>9500</v>
      </c>
    </row>
    <row r="151" spans="1:10" ht="39.6" x14ac:dyDescent="0.25">
      <c r="A151" s="98" t="s">
        <v>1026</v>
      </c>
      <c r="B151" s="124" t="s">
        <v>1235</v>
      </c>
      <c r="C151" s="108" t="s">
        <v>1238</v>
      </c>
      <c r="D151" s="120" t="s">
        <v>1239</v>
      </c>
      <c r="E151" s="121">
        <v>38808</v>
      </c>
      <c r="F151" s="122">
        <v>5</v>
      </c>
      <c r="G151" s="120" t="s">
        <v>964</v>
      </c>
      <c r="H151" s="123">
        <v>7850</v>
      </c>
      <c r="I151" s="123">
        <v>0</v>
      </c>
      <c r="J151" s="123">
        <v>7850</v>
      </c>
    </row>
    <row r="152" spans="1:10" ht="39.6" x14ac:dyDescent="0.25">
      <c r="A152" s="98" t="s">
        <v>904</v>
      </c>
      <c r="B152" s="124" t="s">
        <v>1240</v>
      </c>
      <c r="C152" s="108" t="s">
        <v>576</v>
      </c>
      <c r="D152" s="132" t="s">
        <v>577</v>
      </c>
      <c r="E152" s="121">
        <v>44774</v>
      </c>
      <c r="F152" s="122">
        <v>5</v>
      </c>
      <c r="G152" s="120" t="s">
        <v>258</v>
      </c>
      <c r="H152" s="123">
        <v>24980</v>
      </c>
      <c r="I152" s="123">
        <v>395.52</v>
      </c>
      <c r="J152" s="123">
        <v>24584.48</v>
      </c>
    </row>
    <row r="153" spans="1:10" x14ac:dyDescent="0.25">
      <c r="A153" s="112"/>
      <c r="B153" s="133"/>
      <c r="C153" s="114"/>
      <c r="D153" s="134"/>
      <c r="E153" s="127"/>
      <c r="F153" s="128"/>
      <c r="G153" s="129" t="s">
        <v>914</v>
      </c>
      <c r="H153" s="130">
        <f>SUM(H62:H152)</f>
        <v>2515114</v>
      </c>
      <c r="I153" s="130">
        <f t="shared" ref="I153:J153" si="5">SUM(I62:I152)</f>
        <v>1776649.1400000004</v>
      </c>
      <c r="J153" s="130">
        <f t="shared" si="5"/>
        <v>738464.86</v>
      </c>
    </row>
    <row r="154" spans="1:10" x14ac:dyDescent="0.25">
      <c r="A154" s="792" t="s">
        <v>235</v>
      </c>
      <c r="B154" s="793"/>
      <c r="C154" s="793"/>
      <c r="D154" s="793"/>
      <c r="E154" s="793"/>
      <c r="F154" s="793"/>
      <c r="G154" s="793"/>
      <c r="H154" s="793"/>
      <c r="I154" s="793"/>
      <c r="J154" s="794"/>
    </row>
    <row r="155" spans="1:10" ht="26.4" x14ac:dyDescent="0.25">
      <c r="A155" s="98" t="s">
        <v>1026</v>
      </c>
      <c r="B155" s="124" t="s">
        <v>1241</v>
      </c>
      <c r="C155" s="108" t="s">
        <v>1242</v>
      </c>
      <c r="D155" s="120" t="s">
        <v>1243</v>
      </c>
      <c r="E155" s="121">
        <v>37376</v>
      </c>
      <c r="F155" s="122">
        <v>20</v>
      </c>
      <c r="G155" s="120" t="s">
        <v>1000</v>
      </c>
      <c r="H155" s="123">
        <v>49556</v>
      </c>
      <c r="I155" s="123">
        <v>39541.279999999999</v>
      </c>
      <c r="J155" s="123">
        <v>10014.719999999999</v>
      </c>
    </row>
    <row r="156" spans="1:10" ht="26.4" x14ac:dyDescent="0.25">
      <c r="A156" s="98" t="s">
        <v>1026</v>
      </c>
      <c r="B156" s="124" t="s">
        <v>1241</v>
      </c>
      <c r="C156" s="108" t="s">
        <v>1244</v>
      </c>
      <c r="D156" s="120" t="s">
        <v>1245</v>
      </c>
      <c r="E156" s="121">
        <v>36524</v>
      </c>
      <c r="F156" s="122">
        <v>20</v>
      </c>
      <c r="G156" s="120" t="s">
        <v>1000</v>
      </c>
      <c r="H156" s="123">
        <v>30000</v>
      </c>
      <c r="I156" s="123">
        <v>20212.560000000001</v>
      </c>
      <c r="J156" s="123">
        <v>9787.44</v>
      </c>
    </row>
    <row r="157" spans="1:10" ht="26.4" x14ac:dyDescent="0.25">
      <c r="A157" s="98" t="s">
        <v>1026</v>
      </c>
      <c r="B157" s="124" t="s">
        <v>1241</v>
      </c>
      <c r="C157" s="108" t="s">
        <v>1246</v>
      </c>
      <c r="D157" s="120" t="s">
        <v>1247</v>
      </c>
      <c r="E157" s="121">
        <v>36524</v>
      </c>
      <c r="F157" s="122">
        <v>20</v>
      </c>
      <c r="G157" s="120" t="s">
        <v>1000</v>
      </c>
      <c r="H157" s="123">
        <v>20000</v>
      </c>
      <c r="I157" s="123">
        <v>13475.04</v>
      </c>
      <c r="J157" s="123">
        <v>6524.96</v>
      </c>
    </row>
    <row r="158" spans="1:10" ht="26.4" x14ac:dyDescent="0.25">
      <c r="A158" s="98" t="s">
        <v>1026</v>
      </c>
      <c r="B158" s="124" t="s">
        <v>1241</v>
      </c>
      <c r="C158" s="108" t="s">
        <v>1248</v>
      </c>
      <c r="D158" s="120" t="s">
        <v>1249</v>
      </c>
      <c r="E158" s="121">
        <v>34758</v>
      </c>
      <c r="F158" s="122">
        <v>20</v>
      </c>
      <c r="G158" s="120" t="s">
        <v>66</v>
      </c>
      <c r="H158" s="123">
        <v>23929.48</v>
      </c>
      <c r="I158" s="123">
        <v>9153.48</v>
      </c>
      <c r="J158" s="123">
        <v>14776</v>
      </c>
    </row>
    <row r="159" spans="1:10" ht="26.4" x14ac:dyDescent="0.25">
      <c r="A159" s="98" t="s">
        <v>1026</v>
      </c>
      <c r="B159" s="124" t="s">
        <v>1241</v>
      </c>
      <c r="C159" s="108" t="s">
        <v>1250</v>
      </c>
      <c r="D159" s="120" t="s">
        <v>1251</v>
      </c>
      <c r="E159" s="121">
        <v>39082</v>
      </c>
      <c r="F159" s="122">
        <v>10</v>
      </c>
      <c r="G159" s="120" t="s">
        <v>66</v>
      </c>
      <c r="H159" s="123">
        <v>7410</v>
      </c>
      <c r="I159" s="123">
        <v>6391.7</v>
      </c>
      <c r="J159" s="123">
        <v>1018.3</v>
      </c>
    </row>
    <row r="160" spans="1:10" ht="26.4" x14ac:dyDescent="0.25">
      <c r="A160" s="98" t="s">
        <v>1026</v>
      </c>
      <c r="B160" s="124" t="s">
        <v>1241</v>
      </c>
      <c r="C160" s="108" t="s">
        <v>930</v>
      </c>
      <c r="D160" s="120" t="s">
        <v>931</v>
      </c>
      <c r="E160" s="121">
        <v>36526</v>
      </c>
      <c r="F160" s="122">
        <v>10</v>
      </c>
      <c r="G160" s="120" t="s">
        <v>66</v>
      </c>
      <c r="H160" s="123">
        <v>3454</v>
      </c>
      <c r="I160" s="123">
        <v>15750</v>
      </c>
      <c r="J160" s="123">
        <v>-12296</v>
      </c>
    </row>
    <row r="161" spans="1:10" ht="26.4" x14ac:dyDescent="0.25">
      <c r="A161" s="98" t="s">
        <v>1026</v>
      </c>
      <c r="B161" s="124" t="s">
        <v>1241</v>
      </c>
      <c r="C161" s="108" t="s">
        <v>1252</v>
      </c>
      <c r="D161" s="120" t="s">
        <v>1253</v>
      </c>
      <c r="E161" s="121">
        <v>28490</v>
      </c>
      <c r="F161" s="122">
        <v>20</v>
      </c>
      <c r="G161" s="120" t="s">
        <v>248</v>
      </c>
      <c r="H161" s="123">
        <v>28227.43</v>
      </c>
      <c r="I161" s="123">
        <v>105.85</v>
      </c>
      <c r="J161" s="123">
        <v>28121.58</v>
      </c>
    </row>
    <row r="162" spans="1:10" ht="26.4" x14ac:dyDescent="0.25">
      <c r="A162" s="98" t="s">
        <v>1026</v>
      </c>
      <c r="B162" s="124" t="s">
        <v>1241</v>
      </c>
      <c r="C162" s="108" t="s">
        <v>1254</v>
      </c>
      <c r="D162" s="120" t="s">
        <v>1255</v>
      </c>
      <c r="E162" s="121">
        <v>37287</v>
      </c>
      <c r="F162" s="122">
        <v>20</v>
      </c>
      <c r="G162" s="120" t="s">
        <v>941</v>
      </c>
      <c r="H162" s="123">
        <v>5881</v>
      </c>
      <c r="I162" s="123">
        <v>4742.28</v>
      </c>
      <c r="J162" s="123">
        <v>1138.72</v>
      </c>
    </row>
    <row r="163" spans="1:10" ht="26.4" x14ac:dyDescent="0.25">
      <c r="A163" s="98" t="s">
        <v>1026</v>
      </c>
      <c r="B163" s="124" t="s">
        <v>1241</v>
      </c>
      <c r="C163" s="108" t="s">
        <v>1256</v>
      </c>
      <c r="D163" s="120" t="s">
        <v>1257</v>
      </c>
      <c r="E163" s="121">
        <v>30010</v>
      </c>
      <c r="F163" s="122">
        <v>20</v>
      </c>
      <c r="G163" s="120" t="s">
        <v>248</v>
      </c>
      <c r="H163" s="123">
        <v>11450</v>
      </c>
      <c r="I163" s="123">
        <v>42.94</v>
      </c>
      <c r="J163" s="123">
        <v>11407.06</v>
      </c>
    </row>
    <row r="164" spans="1:10" ht="26.4" x14ac:dyDescent="0.25">
      <c r="A164" s="98" t="s">
        <v>1026</v>
      </c>
      <c r="B164" s="124" t="s">
        <v>1241</v>
      </c>
      <c r="C164" s="108" t="s">
        <v>932</v>
      </c>
      <c r="D164" s="120" t="s">
        <v>933</v>
      </c>
      <c r="E164" s="121">
        <v>37408</v>
      </c>
      <c r="F164" s="122">
        <v>10</v>
      </c>
      <c r="G164" s="120" t="s">
        <v>66</v>
      </c>
      <c r="H164" s="123">
        <v>32321</v>
      </c>
      <c r="I164" s="123">
        <v>9453.99</v>
      </c>
      <c r="J164" s="123">
        <v>22867.01</v>
      </c>
    </row>
    <row r="165" spans="1:10" ht="26.4" x14ac:dyDescent="0.25">
      <c r="A165" s="98" t="s">
        <v>1026</v>
      </c>
      <c r="B165" s="124" t="s">
        <v>1241</v>
      </c>
      <c r="C165" s="108" t="s">
        <v>1258</v>
      </c>
      <c r="D165" s="120" t="s">
        <v>1259</v>
      </c>
      <c r="E165" s="121">
        <v>40541</v>
      </c>
      <c r="F165" s="122">
        <v>30</v>
      </c>
      <c r="G165" s="120" t="s">
        <v>66</v>
      </c>
      <c r="H165" s="123">
        <v>22525</v>
      </c>
      <c r="I165" s="123">
        <v>8241.81</v>
      </c>
      <c r="J165" s="123">
        <v>14283.19</v>
      </c>
    </row>
    <row r="166" spans="1:10" ht="26.4" x14ac:dyDescent="0.25">
      <c r="A166" s="98" t="s">
        <v>1026</v>
      </c>
      <c r="B166" s="124" t="s">
        <v>1241</v>
      </c>
      <c r="C166" s="108" t="s">
        <v>1260</v>
      </c>
      <c r="D166" s="120" t="s">
        <v>1261</v>
      </c>
      <c r="E166" s="121">
        <v>38564</v>
      </c>
      <c r="F166" s="122">
        <v>20</v>
      </c>
      <c r="G166" s="120" t="s">
        <v>1000</v>
      </c>
      <c r="H166" s="123">
        <v>8312</v>
      </c>
      <c r="I166" s="123">
        <v>6406.92</v>
      </c>
      <c r="J166" s="123">
        <v>1905.08</v>
      </c>
    </row>
    <row r="167" spans="1:10" ht="26.4" x14ac:dyDescent="0.25">
      <c r="A167" s="98" t="s">
        <v>1026</v>
      </c>
      <c r="B167" s="124" t="s">
        <v>1241</v>
      </c>
      <c r="C167" s="108" t="s">
        <v>1262</v>
      </c>
      <c r="D167" s="120" t="s">
        <v>1263</v>
      </c>
      <c r="E167" s="121">
        <v>38411</v>
      </c>
      <c r="F167" s="122">
        <v>20</v>
      </c>
      <c r="G167" s="120" t="s">
        <v>1000</v>
      </c>
      <c r="H167" s="123">
        <v>25000</v>
      </c>
      <c r="I167" s="123">
        <v>19442.64</v>
      </c>
      <c r="J167" s="123">
        <v>5557.36</v>
      </c>
    </row>
    <row r="168" spans="1:10" ht="26.4" x14ac:dyDescent="0.25">
      <c r="A168" s="98" t="s">
        <v>1026</v>
      </c>
      <c r="B168" s="124" t="s">
        <v>1241</v>
      </c>
      <c r="C168" s="108" t="s">
        <v>1264</v>
      </c>
      <c r="D168" s="120" t="s">
        <v>1265</v>
      </c>
      <c r="E168" s="121">
        <v>28125</v>
      </c>
      <c r="F168" s="122">
        <v>20</v>
      </c>
      <c r="G168" s="120" t="s">
        <v>248</v>
      </c>
      <c r="H168" s="123">
        <v>12984.2</v>
      </c>
      <c r="I168" s="123">
        <v>48.69</v>
      </c>
      <c r="J168" s="123">
        <v>12935.51</v>
      </c>
    </row>
    <row r="169" spans="1:10" ht="26.4" x14ac:dyDescent="0.25">
      <c r="A169" s="98" t="s">
        <v>1026</v>
      </c>
      <c r="B169" s="124" t="s">
        <v>1241</v>
      </c>
      <c r="C169" s="108" t="s">
        <v>1266</v>
      </c>
      <c r="D169" s="120" t="s">
        <v>1267</v>
      </c>
      <c r="E169" s="121">
        <v>29402</v>
      </c>
      <c r="F169" s="122">
        <v>20</v>
      </c>
      <c r="G169" s="120" t="s">
        <v>248</v>
      </c>
      <c r="H169" s="123">
        <v>10459.5</v>
      </c>
      <c r="I169" s="123">
        <v>39.22</v>
      </c>
      <c r="J169" s="123">
        <v>10420.280000000001</v>
      </c>
    </row>
    <row r="170" spans="1:10" ht="26.4" x14ac:dyDescent="0.25">
      <c r="A170" s="98" t="s">
        <v>1026</v>
      </c>
      <c r="B170" s="124" t="s">
        <v>1241</v>
      </c>
      <c r="C170" s="108" t="s">
        <v>1268</v>
      </c>
      <c r="D170" s="120" t="s">
        <v>1269</v>
      </c>
      <c r="E170" s="121">
        <v>34273</v>
      </c>
      <c r="F170" s="122">
        <v>20</v>
      </c>
      <c r="G170" s="120" t="s">
        <v>1270</v>
      </c>
      <c r="H170" s="123">
        <v>16063.92</v>
      </c>
      <c r="I170" s="123">
        <v>5301.12</v>
      </c>
      <c r="J170" s="123">
        <v>10762.8</v>
      </c>
    </row>
    <row r="171" spans="1:10" x14ac:dyDescent="0.25">
      <c r="A171" s="112"/>
      <c r="B171" s="125"/>
      <c r="C171" s="114"/>
      <c r="D171" s="126"/>
      <c r="E171" s="127"/>
      <c r="F171" s="128"/>
      <c r="G171" s="129" t="s">
        <v>914</v>
      </c>
      <c r="H171" s="130">
        <f>SUM(H155:H170)</f>
        <v>307573.52999999997</v>
      </c>
      <c r="I171" s="130">
        <f t="shared" ref="I171:J171" si="6">SUM(I155:I170)</f>
        <v>158349.51999999999</v>
      </c>
      <c r="J171" s="130">
        <f t="shared" si="6"/>
        <v>149224.00999999998</v>
      </c>
    </row>
    <row r="172" spans="1:10" x14ac:dyDescent="0.25">
      <c r="A172" s="792" t="s">
        <v>1271</v>
      </c>
      <c r="B172" s="793"/>
      <c r="C172" s="793"/>
      <c r="D172" s="793"/>
      <c r="E172" s="793"/>
      <c r="F172" s="793"/>
      <c r="G172" s="793"/>
      <c r="H172" s="793"/>
      <c r="I172" s="793"/>
      <c r="J172" s="794"/>
    </row>
    <row r="173" spans="1:10" ht="26.4" x14ac:dyDescent="0.25">
      <c r="A173" s="98" t="s">
        <v>1026</v>
      </c>
      <c r="B173" s="124" t="s">
        <v>1272</v>
      </c>
      <c r="C173" s="108" t="s">
        <v>1273</v>
      </c>
      <c r="D173" s="120" t="s">
        <v>1274</v>
      </c>
      <c r="E173" s="121">
        <v>44851</v>
      </c>
      <c r="F173" s="122">
        <v>10</v>
      </c>
      <c r="G173" s="120" t="s">
        <v>1165</v>
      </c>
      <c r="H173" s="123">
        <v>21312</v>
      </c>
      <c r="I173" s="123">
        <v>168.72</v>
      </c>
      <c r="J173" s="123">
        <v>21143.279999999999</v>
      </c>
    </row>
    <row r="174" spans="1:10" x14ac:dyDescent="0.25">
      <c r="A174" s="135"/>
      <c r="B174" s="136"/>
      <c r="C174" s="137"/>
      <c r="D174" s="110"/>
      <c r="E174" s="110"/>
      <c r="F174" s="110"/>
      <c r="G174" s="115" t="s">
        <v>914</v>
      </c>
      <c r="H174" s="118">
        <f>H173</f>
        <v>21312</v>
      </c>
      <c r="I174" s="118">
        <f t="shared" ref="I174:J174" si="7">I173</f>
        <v>168.72</v>
      </c>
      <c r="J174" s="118">
        <f t="shared" si="7"/>
        <v>21143.279999999999</v>
      </c>
    </row>
    <row r="175" spans="1:10" x14ac:dyDescent="0.25">
      <c r="A175" s="604"/>
      <c r="B175" s="605"/>
      <c r="C175" s="606"/>
      <c r="D175" s="607"/>
      <c r="E175" s="607"/>
      <c r="F175" s="607"/>
      <c r="G175" s="608" t="s">
        <v>955</v>
      </c>
      <c r="H175" s="609">
        <f>SUM(H174,H171,H153,H60,H57,H54,H47,H11)</f>
        <v>4487416.8699999992</v>
      </c>
      <c r="I175" s="609">
        <f t="shared" ref="I175:J175" si="8">SUM(I174,I171,I153,I60,I57,I54,I47,I11)</f>
        <v>2167732.65</v>
      </c>
      <c r="J175" s="609">
        <f t="shared" si="8"/>
        <v>2319684.2199999997</v>
      </c>
    </row>
  </sheetData>
  <sheetProtection algorithmName="SHA-512" hashValue="V6c8JVhtfUP4JfZh9Mqf2L5cw5f4lSoqJRhfjJSDoyEadidVTnX2dW0FctD/DsUNi+F4NIU6VOye+jRVuw6fSw==" saltValue="lN3CJ4PCKP5mtGx3I8UZeA==" spinCount="100000" sheet="1" objects="1" scenarios="1" selectLockedCells="1" selectUnlockedCells="1"/>
  <mergeCells count="8">
    <mergeCell ref="A154:J154"/>
    <mergeCell ref="A172:J172"/>
    <mergeCell ref="A8:J8"/>
    <mergeCell ref="A12:J12"/>
    <mergeCell ref="A48:J48"/>
    <mergeCell ref="A55:J55"/>
    <mergeCell ref="A58:J58"/>
    <mergeCell ref="A61:J61"/>
  </mergeCells>
  <printOptions horizontalCentered="1"/>
  <pageMargins left="0.70866141732283472" right="0.70866141732283472" top="1.4960629921259843" bottom="0.74803149606299213" header="0.31496062992125984" footer="0.31496062992125984"/>
  <pageSetup scale="72" fitToHeight="0" orientation="landscape" r:id="rId1"/>
  <headerFooter>
    <oddHeader>&amp;R&amp;"Times New Roman,Regular"&amp;12
Annex H
AAR Page 117</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K355"/>
  <sheetViews>
    <sheetView zoomScaleNormal="100" zoomScaleSheetLayoutView="80" zoomScalePageLayoutView="80" workbookViewId="0"/>
  </sheetViews>
  <sheetFormatPr defaultColWidth="8.88671875" defaultRowHeight="13.2" x14ac:dyDescent="0.3"/>
  <cols>
    <col min="1" max="1" width="28.6640625" style="5" customWidth="1"/>
    <col min="2" max="2" width="26" style="6" bestFit="1" customWidth="1"/>
    <col min="3" max="3" width="56.44140625" style="5" customWidth="1"/>
    <col min="4" max="4" width="13" style="6" bestFit="1" customWidth="1"/>
    <col min="5" max="5" width="8.6640625" style="4" bestFit="1" customWidth="1"/>
    <col min="6" max="6" width="21.33203125" style="4" bestFit="1" customWidth="1"/>
    <col min="7" max="7" width="22.6640625" style="4" bestFit="1" customWidth="1"/>
    <col min="8" max="8" width="17" style="4" bestFit="1" customWidth="1"/>
    <col min="9" max="9" width="14.44140625" style="4" bestFit="1" customWidth="1"/>
    <col min="10" max="10" width="15.5546875" style="4" bestFit="1" customWidth="1"/>
    <col min="11" max="11" width="20.109375" style="6" bestFit="1" customWidth="1"/>
    <col min="12" max="16384" width="8.88671875" style="4"/>
  </cols>
  <sheetData>
    <row r="1" spans="1:11" x14ac:dyDescent="0.3">
      <c r="A1" s="4" t="s">
        <v>0</v>
      </c>
    </row>
    <row r="2" spans="1:11" x14ac:dyDescent="0.3">
      <c r="A2" s="4" t="s">
        <v>3</v>
      </c>
    </row>
    <row r="3" spans="1:11" x14ac:dyDescent="0.3">
      <c r="A3" s="7" t="s">
        <v>4</v>
      </c>
    </row>
    <row r="4" spans="1:11" x14ac:dyDescent="0.3">
      <c r="A4" s="4" t="s">
        <v>5</v>
      </c>
    </row>
    <row r="6" spans="1:11" s="5" customFormat="1" ht="26.4" x14ac:dyDescent="0.3">
      <c r="A6" s="8" t="s">
        <v>6</v>
      </c>
      <c r="B6" s="8" t="s">
        <v>7</v>
      </c>
      <c r="C6" s="8" t="s">
        <v>8</v>
      </c>
      <c r="D6" s="8" t="s">
        <v>9</v>
      </c>
      <c r="E6" s="8" t="s">
        <v>10</v>
      </c>
      <c r="F6" s="8" t="s">
        <v>11</v>
      </c>
      <c r="G6" s="8" t="s">
        <v>12</v>
      </c>
      <c r="H6" s="8" t="s">
        <v>13</v>
      </c>
      <c r="I6" s="8" t="s">
        <v>14</v>
      </c>
      <c r="J6" s="8" t="s">
        <v>15</v>
      </c>
      <c r="K6" s="8" t="s">
        <v>728</v>
      </c>
    </row>
    <row r="7" spans="1:11" s="103" customFormat="1" x14ac:dyDescent="0.3">
      <c r="A7" s="807" t="s">
        <v>16</v>
      </c>
      <c r="B7" s="808"/>
      <c r="C7" s="808"/>
      <c r="D7" s="808"/>
      <c r="E7" s="808"/>
      <c r="F7" s="808"/>
      <c r="G7" s="808"/>
      <c r="H7" s="808"/>
      <c r="I7" s="808"/>
      <c r="J7" s="808"/>
      <c r="K7" s="809"/>
    </row>
    <row r="8" spans="1:11" s="91" customFormat="1" x14ac:dyDescent="0.3">
      <c r="A8" s="801" t="s">
        <v>17</v>
      </c>
      <c r="B8" s="802"/>
      <c r="C8" s="802"/>
      <c r="D8" s="802"/>
      <c r="E8" s="802"/>
      <c r="F8" s="802"/>
      <c r="G8" s="802"/>
      <c r="H8" s="802"/>
      <c r="I8" s="802"/>
      <c r="J8" s="802"/>
      <c r="K8" s="803"/>
    </row>
    <row r="9" spans="1:11" s="91" customFormat="1" ht="26.4" x14ac:dyDescent="0.3">
      <c r="A9" s="98" t="s">
        <v>18</v>
      </c>
      <c r="B9" s="124" t="s">
        <v>19</v>
      </c>
      <c r="C9" s="120" t="s">
        <v>20</v>
      </c>
      <c r="D9" s="689">
        <v>39184</v>
      </c>
      <c r="E9" s="122">
        <v>5</v>
      </c>
      <c r="F9" s="120" t="s">
        <v>21</v>
      </c>
      <c r="G9" s="704" t="s">
        <v>22</v>
      </c>
      <c r="H9" s="123">
        <v>127500</v>
      </c>
      <c r="I9" s="123">
        <v>114750</v>
      </c>
      <c r="J9" s="123">
        <v>12750</v>
      </c>
      <c r="K9" s="705"/>
    </row>
    <row r="10" spans="1:11" s="91" customFormat="1" ht="26.4" x14ac:dyDescent="0.3">
      <c r="A10" s="98" t="s">
        <v>18</v>
      </c>
      <c r="B10" s="124" t="s">
        <v>23</v>
      </c>
      <c r="C10" s="120" t="s">
        <v>24</v>
      </c>
      <c r="D10" s="689">
        <v>39184</v>
      </c>
      <c r="E10" s="122">
        <v>5</v>
      </c>
      <c r="F10" s="120" t="s">
        <v>21</v>
      </c>
      <c r="G10" s="704" t="s">
        <v>22</v>
      </c>
      <c r="H10" s="123">
        <v>127500</v>
      </c>
      <c r="I10" s="123">
        <v>114750</v>
      </c>
      <c r="J10" s="123">
        <v>12750</v>
      </c>
      <c r="K10" s="705"/>
    </row>
    <row r="11" spans="1:11" s="91" customFormat="1" ht="26.4" x14ac:dyDescent="0.3">
      <c r="A11" s="98" t="s">
        <v>18</v>
      </c>
      <c r="B11" s="124" t="s">
        <v>25</v>
      </c>
      <c r="C11" s="120" t="s">
        <v>26</v>
      </c>
      <c r="D11" s="689">
        <v>39184</v>
      </c>
      <c r="E11" s="122">
        <v>5</v>
      </c>
      <c r="F11" s="120" t="s">
        <v>21</v>
      </c>
      <c r="G11" s="704" t="s">
        <v>22</v>
      </c>
      <c r="H11" s="123">
        <v>127500</v>
      </c>
      <c r="I11" s="123">
        <v>114750</v>
      </c>
      <c r="J11" s="123">
        <v>12750</v>
      </c>
      <c r="K11" s="705"/>
    </row>
    <row r="12" spans="1:11" s="91" customFormat="1" ht="26.4" x14ac:dyDescent="0.3">
      <c r="A12" s="98" t="s">
        <v>18</v>
      </c>
      <c r="B12" s="124" t="s">
        <v>27</v>
      </c>
      <c r="C12" s="120" t="s">
        <v>28</v>
      </c>
      <c r="D12" s="689">
        <v>39184</v>
      </c>
      <c r="E12" s="122">
        <v>5</v>
      </c>
      <c r="F12" s="120" t="s">
        <v>21</v>
      </c>
      <c r="G12" s="704" t="s">
        <v>22</v>
      </c>
      <c r="H12" s="123">
        <v>127500</v>
      </c>
      <c r="I12" s="123">
        <v>114750</v>
      </c>
      <c r="J12" s="123">
        <v>12750</v>
      </c>
      <c r="K12" s="705"/>
    </row>
    <row r="13" spans="1:11" s="91" customFormat="1" ht="26.4" x14ac:dyDescent="0.3">
      <c r="A13" s="98" t="s">
        <v>18</v>
      </c>
      <c r="B13" s="124" t="s">
        <v>29</v>
      </c>
      <c r="C13" s="120" t="s">
        <v>30</v>
      </c>
      <c r="D13" s="689">
        <v>39184</v>
      </c>
      <c r="E13" s="122">
        <v>5</v>
      </c>
      <c r="F13" s="120" t="s">
        <v>21</v>
      </c>
      <c r="G13" s="704" t="s">
        <v>22</v>
      </c>
      <c r="H13" s="123">
        <v>127500</v>
      </c>
      <c r="I13" s="123">
        <v>114750</v>
      </c>
      <c r="J13" s="123">
        <v>12750</v>
      </c>
      <c r="K13" s="705"/>
    </row>
    <row r="14" spans="1:11" s="91" customFormat="1" ht="26.4" x14ac:dyDescent="0.3">
      <c r="A14" s="98" t="s">
        <v>18</v>
      </c>
      <c r="B14" s="124" t="s">
        <v>31</v>
      </c>
      <c r="C14" s="120" t="s">
        <v>32</v>
      </c>
      <c r="D14" s="689">
        <v>39184</v>
      </c>
      <c r="E14" s="122">
        <v>5</v>
      </c>
      <c r="F14" s="120" t="s">
        <v>21</v>
      </c>
      <c r="G14" s="704" t="s">
        <v>22</v>
      </c>
      <c r="H14" s="123">
        <v>127500</v>
      </c>
      <c r="I14" s="123">
        <v>114750</v>
      </c>
      <c r="J14" s="123">
        <v>12750</v>
      </c>
      <c r="K14" s="705"/>
    </row>
    <row r="15" spans="1:11" s="91" customFormat="1" ht="26.4" x14ac:dyDescent="0.3">
      <c r="A15" s="98" t="s">
        <v>18</v>
      </c>
      <c r="B15" s="124" t="s">
        <v>33</v>
      </c>
      <c r="C15" s="120" t="s">
        <v>34</v>
      </c>
      <c r="D15" s="689">
        <v>39184</v>
      </c>
      <c r="E15" s="122">
        <v>5</v>
      </c>
      <c r="F15" s="120" t="s">
        <v>21</v>
      </c>
      <c r="G15" s="704" t="s">
        <v>22</v>
      </c>
      <c r="H15" s="123">
        <v>127500</v>
      </c>
      <c r="I15" s="123">
        <v>114750</v>
      </c>
      <c r="J15" s="123">
        <v>12750</v>
      </c>
      <c r="K15" s="705"/>
    </row>
    <row r="16" spans="1:11" s="91" customFormat="1" ht="26.4" x14ac:dyDescent="0.3">
      <c r="A16" s="98" t="s">
        <v>18</v>
      </c>
      <c r="B16" s="124" t="s">
        <v>35</v>
      </c>
      <c r="C16" s="120" t="s">
        <v>36</v>
      </c>
      <c r="D16" s="689">
        <v>39184</v>
      </c>
      <c r="E16" s="122">
        <v>5</v>
      </c>
      <c r="F16" s="120" t="s">
        <v>21</v>
      </c>
      <c r="G16" s="704" t="s">
        <v>22</v>
      </c>
      <c r="H16" s="123">
        <v>127500</v>
      </c>
      <c r="I16" s="123">
        <v>114750</v>
      </c>
      <c r="J16" s="123">
        <v>12750</v>
      </c>
      <c r="K16" s="705"/>
    </row>
    <row r="17" spans="1:11" s="91" customFormat="1" ht="26.4" x14ac:dyDescent="0.3">
      <c r="A17" s="98" t="s">
        <v>18</v>
      </c>
      <c r="B17" s="124" t="s">
        <v>37</v>
      </c>
      <c r="C17" s="120" t="s">
        <v>38</v>
      </c>
      <c r="D17" s="689">
        <v>39184</v>
      </c>
      <c r="E17" s="122">
        <v>5</v>
      </c>
      <c r="F17" s="120" t="s">
        <v>21</v>
      </c>
      <c r="G17" s="704" t="s">
        <v>22</v>
      </c>
      <c r="H17" s="123">
        <v>127500</v>
      </c>
      <c r="I17" s="123">
        <v>114750</v>
      </c>
      <c r="J17" s="123">
        <v>12750</v>
      </c>
      <c r="K17" s="705"/>
    </row>
    <row r="18" spans="1:11" s="91" customFormat="1" ht="26.4" x14ac:dyDescent="0.3">
      <c r="A18" s="98" t="s">
        <v>18</v>
      </c>
      <c r="B18" s="124" t="s">
        <v>39</v>
      </c>
      <c r="C18" s="120" t="s">
        <v>40</v>
      </c>
      <c r="D18" s="689">
        <v>38954</v>
      </c>
      <c r="E18" s="122">
        <v>10</v>
      </c>
      <c r="F18" s="120" t="s">
        <v>21</v>
      </c>
      <c r="G18" s="704" t="s">
        <v>22</v>
      </c>
      <c r="H18" s="123">
        <v>172500</v>
      </c>
      <c r="I18" s="123">
        <v>170343.75</v>
      </c>
      <c r="J18" s="123">
        <v>2156.25</v>
      </c>
      <c r="K18" s="705"/>
    </row>
    <row r="19" spans="1:11" s="91" customFormat="1" ht="26.4" x14ac:dyDescent="0.3">
      <c r="A19" s="98" t="s">
        <v>18</v>
      </c>
      <c r="B19" s="124" t="s">
        <v>41</v>
      </c>
      <c r="C19" s="120" t="s">
        <v>42</v>
      </c>
      <c r="D19" s="689">
        <v>39184</v>
      </c>
      <c r="E19" s="122">
        <v>5</v>
      </c>
      <c r="F19" s="120" t="s">
        <v>21</v>
      </c>
      <c r="G19" s="704" t="s">
        <v>22</v>
      </c>
      <c r="H19" s="123">
        <v>127500</v>
      </c>
      <c r="I19" s="123">
        <v>114750</v>
      </c>
      <c r="J19" s="123">
        <v>12750</v>
      </c>
      <c r="K19" s="705"/>
    </row>
    <row r="20" spans="1:11" s="91" customFormat="1" ht="26.4" x14ac:dyDescent="0.3">
      <c r="A20" s="98" t="s">
        <v>18</v>
      </c>
      <c r="B20" s="124" t="s">
        <v>43</v>
      </c>
      <c r="C20" s="120" t="s">
        <v>44</v>
      </c>
      <c r="D20" s="689">
        <v>38954</v>
      </c>
      <c r="E20" s="122">
        <v>10</v>
      </c>
      <c r="F20" s="120" t="s">
        <v>21</v>
      </c>
      <c r="G20" s="704" t="s">
        <v>22</v>
      </c>
      <c r="H20" s="123">
        <v>172500</v>
      </c>
      <c r="I20" s="123">
        <v>170343.75</v>
      </c>
      <c r="J20" s="123">
        <v>2156.25</v>
      </c>
      <c r="K20" s="705"/>
    </row>
    <row r="21" spans="1:11" s="91" customFormat="1" ht="26.4" x14ac:dyDescent="0.3">
      <c r="A21" s="98" t="s">
        <v>18</v>
      </c>
      <c r="B21" s="124" t="s">
        <v>45</v>
      </c>
      <c r="C21" s="120" t="s">
        <v>46</v>
      </c>
      <c r="D21" s="689">
        <v>38954</v>
      </c>
      <c r="E21" s="122">
        <v>10</v>
      </c>
      <c r="F21" s="120" t="s">
        <v>21</v>
      </c>
      <c r="G21" s="704" t="s">
        <v>22</v>
      </c>
      <c r="H21" s="123">
        <v>172500</v>
      </c>
      <c r="I21" s="123">
        <v>170343.75</v>
      </c>
      <c r="J21" s="123">
        <v>2156.25</v>
      </c>
      <c r="K21" s="705"/>
    </row>
    <row r="22" spans="1:11" s="91" customFormat="1" ht="26.4" x14ac:dyDescent="0.3">
      <c r="A22" s="98" t="s">
        <v>18</v>
      </c>
      <c r="B22" s="124" t="s">
        <v>47</v>
      </c>
      <c r="C22" s="120" t="s">
        <v>48</v>
      </c>
      <c r="D22" s="689">
        <v>38954</v>
      </c>
      <c r="E22" s="122">
        <v>10</v>
      </c>
      <c r="F22" s="120" t="s">
        <v>21</v>
      </c>
      <c r="G22" s="704" t="s">
        <v>22</v>
      </c>
      <c r="H22" s="123">
        <v>172500</v>
      </c>
      <c r="I22" s="123">
        <v>170343.75</v>
      </c>
      <c r="J22" s="123">
        <v>2156.25</v>
      </c>
      <c r="K22" s="705"/>
    </row>
    <row r="23" spans="1:11" s="91" customFormat="1" ht="26.4" x14ac:dyDescent="0.3">
      <c r="A23" s="98" t="s">
        <v>18</v>
      </c>
      <c r="B23" s="124" t="s">
        <v>49</v>
      </c>
      <c r="C23" s="120" t="s">
        <v>50</v>
      </c>
      <c r="D23" s="689">
        <v>38954</v>
      </c>
      <c r="E23" s="122">
        <v>10</v>
      </c>
      <c r="F23" s="120" t="s">
        <v>21</v>
      </c>
      <c r="G23" s="704" t="s">
        <v>22</v>
      </c>
      <c r="H23" s="123">
        <v>172500</v>
      </c>
      <c r="I23" s="123">
        <v>170343.75</v>
      </c>
      <c r="J23" s="123">
        <v>2156.25</v>
      </c>
      <c r="K23" s="705"/>
    </row>
    <row r="24" spans="1:11" s="91" customFormat="1" ht="26.4" x14ac:dyDescent="0.3">
      <c r="A24" s="98" t="s">
        <v>18</v>
      </c>
      <c r="B24" s="124" t="s">
        <v>51</v>
      </c>
      <c r="C24" s="120" t="s">
        <v>52</v>
      </c>
      <c r="D24" s="689">
        <v>38954</v>
      </c>
      <c r="E24" s="122">
        <v>10</v>
      </c>
      <c r="F24" s="120" t="s">
        <v>21</v>
      </c>
      <c r="G24" s="704" t="s">
        <v>22</v>
      </c>
      <c r="H24" s="123">
        <v>172500</v>
      </c>
      <c r="I24" s="123">
        <v>170343.75</v>
      </c>
      <c r="J24" s="123">
        <v>2156.25</v>
      </c>
      <c r="K24" s="705"/>
    </row>
    <row r="25" spans="1:11" s="91" customFormat="1" ht="26.4" x14ac:dyDescent="0.3">
      <c r="A25" s="98" t="s">
        <v>18</v>
      </c>
      <c r="B25" s="124" t="s">
        <v>53</v>
      </c>
      <c r="C25" s="120" t="s">
        <v>54</v>
      </c>
      <c r="D25" s="689">
        <v>38954</v>
      </c>
      <c r="E25" s="122">
        <v>10</v>
      </c>
      <c r="F25" s="120" t="s">
        <v>21</v>
      </c>
      <c r="G25" s="704" t="s">
        <v>22</v>
      </c>
      <c r="H25" s="123">
        <v>172500</v>
      </c>
      <c r="I25" s="123">
        <v>170343.75</v>
      </c>
      <c r="J25" s="123">
        <v>2156.25</v>
      </c>
      <c r="K25" s="705"/>
    </row>
    <row r="26" spans="1:11" s="91" customFormat="1" ht="26.4" x14ac:dyDescent="0.3">
      <c r="A26" s="98" t="s">
        <v>18</v>
      </c>
      <c r="B26" s="124" t="s">
        <v>55</v>
      </c>
      <c r="C26" s="120" t="s">
        <v>56</v>
      </c>
      <c r="D26" s="689">
        <v>38954</v>
      </c>
      <c r="E26" s="122">
        <v>10</v>
      </c>
      <c r="F26" s="120" t="s">
        <v>21</v>
      </c>
      <c r="G26" s="704" t="s">
        <v>22</v>
      </c>
      <c r="H26" s="123">
        <v>172500</v>
      </c>
      <c r="I26" s="123">
        <v>170343.75</v>
      </c>
      <c r="J26" s="123">
        <v>2156.25</v>
      </c>
      <c r="K26" s="705"/>
    </row>
    <row r="27" spans="1:11" s="91" customFormat="1" ht="26.4" x14ac:dyDescent="0.3">
      <c r="A27" s="98" t="s">
        <v>18</v>
      </c>
      <c r="B27" s="124" t="s">
        <v>57</v>
      </c>
      <c r="C27" s="120" t="s">
        <v>58</v>
      </c>
      <c r="D27" s="689">
        <v>38954</v>
      </c>
      <c r="E27" s="122">
        <v>10</v>
      </c>
      <c r="F27" s="120" t="s">
        <v>21</v>
      </c>
      <c r="G27" s="704" t="s">
        <v>22</v>
      </c>
      <c r="H27" s="123">
        <v>172500</v>
      </c>
      <c r="I27" s="123">
        <v>170343.75</v>
      </c>
      <c r="J27" s="123">
        <v>2156.25</v>
      </c>
      <c r="K27" s="705"/>
    </row>
    <row r="28" spans="1:11" s="91" customFormat="1" ht="26.4" x14ac:dyDescent="0.3">
      <c r="A28" s="98" t="s">
        <v>18</v>
      </c>
      <c r="B28" s="124" t="s">
        <v>59</v>
      </c>
      <c r="C28" s="120" t="s">
        <v>60</v>
      </c>
      <c r="D28" s="689">
        <v>38954</v>
      </c>
      <c r="E28" s="122">
        <v>10</v>
      </c>
      <c r="F28" s="120" t="s">
        <v>21</v>
      </c>
      <c r="G28" s="704" t="s">
        <v>22</v>
      </c>
      <c r="H28" s="123">
        <v>172500</v>
      </c>
      <c r="I28" s="123">
        <v>170343.75</v>
      </c>
      <c r="J28" s="123">
        <v>2156.25</v>
      </c>
      <c r="K28" s="705"/>
    </row>
    <row r="29" spans="1:11" s="91" customFormat="1" x14ac:dyDescent="0.3">
      <c r="A29" s="810" t="s">
        <v>61</v>
      </c>
      <c r="B29" s="811"/>
      <c r="C29" s="811"/>
      <c r="D29" s="811"/>
      <c r="E29" s="811"/>
      <c r="F29" s="811"/>
      <c r="G29" s="812"/>
      <c r="H29" s="706">
        <f>SUM(H9:H28)</f>
        <v>3000000</v>
      </c>
      <c r="I29" s="706">
        <f t="shared" ref="I29:J29" si="0">SUM(I9:I28)</f>
        <v>2850937.5</v>
      </c>
      <c r="J29" s="706">
        <f t="shared" si="0"/>
        <v>149062.5</v>
      </c>
      <c r="K29" s="707"/>
    </row>
    <row r="30" spans="1:11" s="91" customFormat="1" x14ac:dyDescent="0.3">
      <c r="A30" s="801" t="s">
        <v>62</v>
      </c>
      <c r="B30" s="802"/>
      <c r="C30" s="802"/>
      <c r="D30" s="802"/>
      <c r="E30" s="802"/>
      <c r="F30" s="802"/>
      <c r="G30" s="802"/>
      <c r="H30" s="802"/>
      <c r="I30" s="802"/>
      <c r="J30" s="802"/>
      <c r="K30" s="803"/>
    </row>
    <row r="31" spans="1:11" s="91" customFormat="1" ht="26.4" x14ac:dyDescent="0.3">
      <c r="A31" s="98" t="s">
        <v>63</v>
      </c>
      <c r="B31" s="124" t="s">
        <v>64</v>
      </c>
      <c r="C31" s="120" t="s">
        <v>65</v>
      </c>
      <c r="D31" s="689">
        <v>42921</v>
      </c>
      <c r="E31" s="122">
        <v>25</v>
      </c>
      <c r="F31" s="120" t="s">
        <v>66</v>
      </c>
      <c r="G31" s="704" t="s">
        <v>67</v>
      </c>
      <c r="H31" s="123">
        <v>1329200.54</v>
      </c>
      <c r="I31" s="123">
        <v>264732.55</v>
      </c>
      <c r="J31" s="123">
        <v>1064467.99</v>
      </c>
      <c r="K31" s="705" t="s">
        <v>68</v>
      </c>
    </row>
    <row r="32" spans="1:11" s="91" customFormat="1" ht="26.4" x14ac:dyDescent="0.3">
      <c r="A32" s="98" t="s">
        <v>63</v>
      </c>
      <c r="B32" s="124" t="s">
        <v>69</v>
      </c>
      <c r="C32" s="120" t="s">
        <v>70</v>
      </c>
      <c r="D32" s="689">
        <v>42565</v>
      </c>
      <c r="E32" s="122">
        <v>25</v>
      </c>
      <c r="F32" s="120" t="s">
        <v>66</v>
      </c>
      <c r="G32" s="704" t="s">
        <v>71</v>
      </c>
      <c r="H32" s="123">
        <v>592152.67000000004</v>
      </c>
      <c r="I32" s="123">
        <v>139649.19</v>
      </c>
      <c r="J32" s="123">
        <v>452503.48</v>
      </c>
      <c r="K32" s="705" t="s">
        <v>68</v>
      </c>
    </row>
    <row r="33" spans="1:11" s="91" customFormat="1" ht="26.4" x14ac:dyDescent="0.3">
      <c r="A33" s="98" t="s">
        <v>63</v>
      </c>
      <c r="B33" s="124" t="s">
        <v>72</v>
      </c>
      <c r="C33" s="120" t="s">
        <v>73</v>
      </c>
      <c r="D33" s="689">
        <v>42495</v>
      </c>
      <c r="E33" s="122">
        <v>25</v>
      </c>
      <c r="F33" s="120" t="s">
        <v>66</v>
      </c>
      <c r="G33" s="704" t="s">
        <v>74</v>
      </c>
      <c r="H33" s="123">
        <v>1483181.69</v>
      </c>
      <c r="I33" s="123">
        <v>364615.56</v>
      </c>
      <c r="J33" s="123">
        <v>1118566.1299999999</v>
      </c>
      <c r="K33" s="705" t="s">
        <v>68</v>
      </c>
    </row>
    <row r="34" spans="1:11" s="91" customFormat="1" ht="26.4" x14ac:dyDescent="0.3">
      <c r="A34" s="98" t="s">
        <v>63</v>
      </c>
      <c r="B34" s="124" t="s">
        <v>75</v>
      </c>
      <c r="C34" s="120" t="s">
        <v>76</v>
      </c>
      <c r="D34" s="689">
        <v>42496</v>
      </c>
      <c r="E34" s="122">
        <v>25</v>
      </c>
      <c r="F34" s="120" t="s">
        <v>66</v>
      </c>
      <c r="G34" s="704" t="s">
        <v>77</v>
      </c>
      <c r="H34" s="123">
        <v>2252261.89</v>
      </c>
      <c r="I34" s="123">
        <v>543334.51</v>
      </c>
      <c r="J34" s="123">
        <v>1708927.38</v>
      </c>
      <c r="K34" s="705" t="s">
        <v>68</v>
      </c>
    </row>
    <row r="35" spans="1:11" s="91" customFormat="1" ht="26.4" x14ac:dyDescent="0.3">
      <c r="A35" s="98" t="s">
        <v>63</v>
      </c>
      <c r="B35" s="124" t="s">
        <v>78</v>
      </c>
      <c r="C35" s="120" t="s">
        <v>79</v>
      </c>
      <c r="D35" s="689">
        <v>39940</v>
      </c>
      <c r="E35" s="122">
        <v>25</v>
      </c>
      <c r="F35" s="120" t="s">
        <v>66</v>
      </c>
      <c r="G35" s="704" t="s">
        <v>80</v>
      </c>
      <c r="H35" s="123">
        <v>1297133.6000000001</v>
      </c>
      <c r="I35" s="123">
        <v>495780.6</v>
      </c>
      <c r="J35" s="123">
        <v>801353</v>
      </c>
      <c r="K35" s="705"/>
    </row>
    <row r="36" spans="1:11" s="91" customFormat="1" ht="26.4" x14ac:dyDescent="0.3">
      <c r="A36" s="98" t="s">
        <v>63</v>
      </c>
      <c r="B36" s="124" t="s">
        <v>81</v>
      </c>
      <c r="C36" s="120" t="s">
        <v>82</v>
      </c>
      <c r="D36" s="689">
        <v>41143</v>
      </c>
      <c r="E36" s="122">
        <v>25</v>
      </c>
      <c r="F36" s="120" t="s">
        <v>66</v>
      </c>
      <c r="G36" s="704" t="s">
        <v>74</v>
      </c>
      <c r="H36" s="123">
        <v>22000</v>
      </c>
      <c r="I36" s="123">
        <v>348.35</v>
      </c>
      <c r="J36" s="123">
        <v>21651.65</v>
      </c>
      <c r="K36" s="705" t="s">
        <v>68</v>
      </c>
    </row>
    <row r="37" spans="1:11" s="91" customFormat="1" ht="26.4" x14ac:dyDescent="0.3">
      <c r="A37" s="98" t="s">
        <v>63</v>
      </c>
      <c r="B37" s="124" t="s">
        <v>83</v>
      </c>
      <c r="C37" s="120" t="s">
        <v>84</v>
      </c>
      <c r="D37" s="689">
        <v>41841</v>
      </c>
      <c r="E37" s="122">
        <v>25</v>
      </c>
      <c r="F37" s="120" t="s">
        <v>66</v>
      </c>
      <c r="G37" s="704" t="s">
        <v>85</v>
      </c>
      <c r="H37" s="123">
        <v>252043</v>
      </c>
      <c r="I37" s="123">
        <v>75758.62</v>
      </c>
      <c r="J37" s="123">
        <v>176284.38</v>
      </c>
      <c r="K37" s="705" t="s">
        <v>68</v>
      </c>
    </row>
    <row r="38" spans="1:11" s="91" customFormat="1" ht="26.4" x14ac:dyDescent="0.3">
      <c r="A38" s="98" t="s">
        <v>63</v>
      </c>
      <c r="B38" s="124" t="s">
        <v>86</v>
      </c>
      <c r="C38" s="120" t="s">
        <v>87</v>
      </c>
      <c r="D38" s="689">
        <v>42992</v>
      </c>
      <c r="E38" s="122">
        <v>25</v>
      </c>
      <c r="F38" s="120" t="s">
        <v>66</v>
      </c>
      <c r="G38" s="704" t="s">
        <v>88</v>
      </c>
      <c r="H38" s="123">
        <v>686862.98</v>
      </c>
      <c r="I38" s="123">
        <v>129931.43</v>
      </c>
      <c r="J38" s="123">
        <v>556931.55000000005</v>
      </c>
      <c r="K38" s="705" t="s">
        <v>68</v>
      </c>
    </row>
    <row r="39" spans="1:11" s="91" customFormat="1" ht="26.4" x14ac:dyDescent="0.3">
      <c r="A39" s="98" t="s">
        <v>63</v>
      </c>
      <c r="B39" s="124" t="s">
        <v>89</v>
      </c>
      <c r="C39" s="120" t="s">
        <v>90</v>
      </c>
      <c r="D39" s="689">
        <v>42982</v>
      </c>
      <c r="E39" s="122">
        <v>25</v>
      </c>
      <c r="F39" s="120" t="s">
        <v>66</v>
      </c>
      <c r="G39" s="704" t="s">
        <v>91</v>
      </c>
      <c r="H39" s="123">
        <v>1436421.19</v>
      </c>
      <c r="I39" s="123">
        <v>276511.06</v>
      </c>
      <c r="J39" s="123">
        <v>1159910.1299999999</v>
      </c>
      <c r="K39" s="705" t="s">
        <v>68</v>
      </c>
    </row>
    <row r="40" spans="1:11" s="91" customFormat="1" ht="26.4" x14ac:dyDescent="0.3">
      <c r="A40" s="98" t="s">
        <v>63</v>
      </c>
      <c r="B40" s="124" t="s">
        <v>92</v>
      </c>
      <c r="C40" s="120" t="s">
        <v>93</v>
      </c>
      <c r="D40" s="689">
        <v>41297</v>
      </c>
      <c r="E40" s="122">
        <v>25</v>
      </c>
      <c r="F40" s="120" t="s">
        <v>66</v>
      </c>
      <c r="G40" s="704" t="s">
        <v>94</v>
      </c>
      <c r="H40" s="123">
        <v>30504.959999999999</v>
      </c>
      <c r="I40" s="123">
        <v>483</v>
      </c>
      <c r="J40" s="123">
        <v>30021.96</v>
      </c>
      <c r="K40" s="705" t="s">
        <v>68</v>
      </c>
    </row>
    <row r="41" spans="1:11" s="91" customFormat="1" ht="26.4" x14ac:dyDescent="0.3">
      <c r="A41" s="98" t="s">
        <v>63</v>
      </c>
      <c r="B41" s="124" t="s">
        <v>95</v>
      </c>
      <c r="C41" s="120" t="s">
        <v>96</v>
      </c>
      <c r="D41" s="689">
        <v>42953</v>
      </c>
      <c r="E41" s="122">
        <v>25</v>
      </c>
      <c r="F41" s="120" t="s">
        <v>66</v>
      </c>
      <c r="G41" s="704" t="s">
        <v>91</v>
      </c>
      <c r="H41" s="123">
        <v>1471044.94</v>
      </c>
      <c r="I41" s="123">
        <v>288079.46999999997</v>
      </c>
      <c r="J41" s="123">
        <v>1182965.47</v>
      </c>
      <c r="K41" s="705" t="s">
        <v>68</v>
      </c>
    </row>
    <row r="42" spans="1:11" s="91" customFormat="1" ht="26.4" x14ac:dyDescent="0.3">
      <c r="A42" s="98" t="s">
        <v>63</v>
      </c>
      <c r="B42" s="124" t="s">
        <v>97</v>
      </c>
      <c r="C42" s="120" t="s">
        <v>98</v>
      </c>
      <c r="D42" s="689">
        <v>42346</v>
      </c>
      <c r="E42" s="122">
        <v>25</v>
      </c>
      <c r="F42" s="120" t="s">
        <v>66</v>
      </c>
      <c r="G42" s="704" t="s">
        <v>99</v>
      </c>
      <c r="H42" s="123">
        <v>1940280.39</v>
      </c>
      <c r="I42" s="123">
        <v>509323.5</v>
      </c>
      <c r="J42" s="123">
        <v>1430956.89</v>
      </c>
      <c r="K42" s="705" t="s">
        <v>68</v>
      </c>
    </row>
    <row r="43" spans="1:11" s="91" customFormat="1" ht="26.4" x14ac:dyDescent="0.3">
      <c r="A43" s="98" t="s">
        <v>63</v>
      </c>
      <c r="B43" s="124" t="s">
        <v>100</v>
      </c>
      <c r="C43" s="120" t="s">
        <v>101</v>
      </c>
      <c r="D43" s="689">
        <v>42597</v>
      </c>
      <c r="E43" s="122">
        <v>25</v>
      </c>
      <c r="F43" s="120" t="s">
        <v>66</v>
      </c>
      <c r="G43" s="704" t="s">
        <v>102</v>
      </c>
      <c r="H43" s="123">
        <v>1421488.84</v>
      </c>
      <c r="I43" s="123">
        <v>330496.40000000002</v>
      </c>
      <c r="J43" s="123">
        <v>1090992.44</v>
      </c>
      <c r="K43" s="705" t="s">
        <v>68</v>
      </c>
    </row>
    <row r="44" spans="1:11" s="91" customFormat="1" ht="26.4" x14ac:dyDescent="0.3">
      <c r="A44" s="98" t="s">
        <v>63</v>
      </c>
      <c r="B44" s="124" t="s">
        <v>103</v>
      </c>
      <c r="C44" s="120" t="s">
        <v>104</v>
      </c>
      <c r="D44" s="689">
        <v>42622</v>
      </c>
      <c r="E44" s="122">
        <v>25</v>
      </c>
      <c r="F44" s="120" t="s">
        <v>66</v>
      </c>
      <c r="G44" s="704" t="s">
        <v>99</v>
      </c>
      <c r="H44" s="123">
        <v>1408495.53</v>
      </c>
      <c r="I44" s="123">
        <v>327475.55</v>
      </c>
      <c r="J44" s="123">
        <v>1081019.98</v>
      </c>
      <c r="K44" s="705" t="s">
        <v>68</v>
      </c>
    </row>
    <row r="45" spans="1:11" s="91" customFormat="1" ht="26.4" x14ac:dyDescent="0.3">
      <c r="A45" s="98" t="s">
        <v>63</v>
      </c>
      <c r="B45" s="124" t="s">
        <v>105</v>
      </c>
      <c r="C45" s="120" t="s">
        <v>106</v>
      </c>
      <c r="D45" s="689">
        <v>42632</v>
      </c>
      <c r="E45" s="122">
        <v>25</v>
      </c>
      <c r="F45" s="120" t="s">
        <v>66</v>
      </c>
      <c r="G45" s="704" t="s">
        <v>107</v>
      </c>
      <c r="H45" s="123">
        <v>1387088.11</v>
      </c>
      <c r="I45" s="123">
        <v>313250.94</v>
      </c>
      <c r="J45" s="123">
        <v>1073837.17</v>
      </c>
      <c r="K45" s="705" t="s">
        <v>68</v>
      </c>
    </row>
    <row r="46" spans="1:11" s="91" customFormat="1" ht="26.4" x14ac:dyDescent="0.3">
      <c r="A46" s="98" t="s">
        <v>63</v>
      </c>
      <c r="B46" s="124" t="s">
        <v>108</v>
      </c>
      <c r="C46" s="120" t="s">
        <v>109</v>
      </c>
      <c r="D46" s="689">
        <v>42618</v>
      </c>
      <c r="E46" s="122">
        <v>25</v>
      </c>
      <c r="F46" s="120" t="s">
        <v>66</v>
      </c>
      <c r="G46" s="704" t="s">
        <v>67</v>
      </c>
      <c r="H46" s="123">
        <v>1468700.7</v>
      </c>
      <c r="I46" s="123">
        <v>341473</v>
      </c>
      <c r="J46" s="123">
        <v>1127227.7</v>
      </c>
      <c r="K46" s="705"/>
    </row>
    <row r="47" spans="1:11" s="91" customFormat="1" ht="26.4" x14ac:dyDescent="0.3">
      <c r="A47" s="98" t="s">
        <v>63</v>
      </c>
      <c r="B47" s="124" t="s">
        <v>110</v>
      </c>
      <c r="C47" s="120" t="s">
        <v>111</v>
      </c>
      <c r="D47" s="689">
        <v>42657</v>
      </c>
      <c r="E47" s="122">
        <v>25</v>
      </c>
      <c r="F47" s="120" t="s">
        <v>66</v>
      </c>
      <c r="G47" s="704" t="s">
        <v>112</v>
      </c>
      <c r="H47" s="123">
        <v>1580304.82</v>
      </c>
      <c r="I47" s="123">
        <v>351978.74</v>
      </c>
      <c r="J47" s="123">
        <v>1228326.08</v>
      </c>
      <c r="K47" s="705" t="s">
        <v>68</v>
      </c>
    </row>
    <row r="48" spans="1:11" s="91" customFormat="1" ht="26.4" x14ac:dyDescent="0.3">
      <c r="A48" s="98" t="s">
        <v>63</v>
      </c>
      <c r="B48" s="124" t="s">
        <v>113</v>
      </c>
      <c r="C48" s="120" t="s">
        <v>114</v>
      </c>
      <c r="D48" s="689">
        <v>42430</v>
      </c>
      <c r="E48" s="122">
        <v>25</v>
      </c>
      <c r="F48" s="120" t="s">
        <v>66</v>
      </c>
      <c r="G48" s="704" t="s">
        <v>115</v>
      </c>
      <c r="H48" s="123">
        <v>1475154.54</v>
      </c>
      <c r="I48" s="123">
        <v>372476.38</v>
      </c>
      <c r="J48" s="123">
        <v>1102678.1599999999</v>
      </c>
      <c r="K48" s="705"/>
    </row>
    <row r="49" spans="1:11" s="91" customFormat="1" ht="26.4" x14ac:dyDescent="0.3">
      <c r="A49" s="98" t="s">
        <v>63</v>
      </c>
      <c r="B49" s="124" t="s">
        <v>116</v>
      </c>
      <c r="C49" s="120" t="s">
        <v>117</v>
      </c>
      <c r="D49" s="689">
        <v>42650</v>
      </c>
      <c r="E49" s="122">
        <v>25</v>
      </c>
      <c r="F49" s="120" t="s">
        <v>66</v>
      </c>
      <c r="G49" s="704" t="s">
        <v>118</v>
      </c>
      <c r="H49" s="123">
        <v>1456592.55</v>
      </c>
      <c r="I49" s="123">
        <v>333802.53999999998</v>
      </c>
      <c r="J49" s="123">
        <v>1122790.01</v>
      </c>
      <c r="K49" s="705" t="s">
        <v>68</v>
      </c>
    </row>
    <row r="50" spans="1:11" s="91" customFormat="1" ht="26.4" x14ac:dyDescent="0.3">
      <c r="A50" s="98" t="s">
        <v>63</v>
      </c>
      <c r="B50" s="124" t="s">
        <v>119</v>
      </c>
      <c r="C50" s="120" t="s">
        <v>120</v>
      </c>
      <c r="D50" s="689">
        <v>42417</v>
      </c>
      <c r="E50" s="122">
        <v>25</v>
      </c>
      <c r="F50" s="120" t="s">
        <v>66</v>
      </c>
      <c r="G50" s="704" t="s">
        <v>71</v>
      </c>
      <c r="H50" s="123">
        <v>772866.34</v>
      </c>
      <c r="I50" s="123">
        <v>192572.45</v>
      </c>
      <c r="J50" s="123">
        <v>580293.89</v>
      </c>
      <c r="K50" s="705" t="s">
        <v>68</v>
      </c>
    </row>
    <row r="51" spans="1:11" s="91" customFormat="1" ht="26.4" x14ac:dyDescent="0.3">
      <c r="A51" s="98" t="s">
        <v>63</v>
      </c>
      <c r="B51" s="124" t="s">
        <v>121</v>
      </c>
      <c r="C51" s="120" t="s">
        <v>122</v>
      </c>
      <c r="D51" s="689">
        <v>42328</v>
      </c>
      <c r="E51" s="122">
        <v>25</v>
      </c>
      <c r="F51" s="120" t="s">
        <v>66</v>
      </c>
      <c r="G51" s="704" t="s">
        <v>123</v>
      </c>
      <c r="H51" s="123">
        <v>982830.19</v>
      </c>
      <c r="I51" s="123">
        <v>254716.79999999999</v>
      </c>
      <c r="J51" s="123">
        <v>728113.39</v>
      </c>
      <c r="K51" s="705"/>
    </row>
    <row r="52" spans="1:11" s="91" customFormat="1" ht="26.4" x14ac:dyDescent="0.3">
      <c r="A52" s="98" t="s">
        <v>63</v>
      </c>
      <c r="B52" s="124" t="s">
        <v>124</v>
      </c>
      <c r="C52" s="120" t="s">
        <v>125</v>
      </c>
      <c r="D52" s="689">
        <v>42443</v>
      </c>
      <c r="E52" s="122">
        <v>25</v>
      </c>
      <c r="F52" s="120" t="s">
        <v>66</v>
      </c>
      <c r="G52" s="704" t="s">
        <v>126</v>
      </c>
      <c r="H52" s="123">
        <v>758872.47</v>
      </c>
      <c r="I52" s="123">
        <v>185109.4</v>
      </c>
      <c r="J52" s="123">
        <v>573763.06999999995</v>
      </c>
      <c r="K52" s="705" t="s">
        <v>68</v>
      </c>
    </row>
    <row r="53" spans="1:11" s="91" customFormat="1" ht="26.4" x14ac:dyDescent="0.3">
      <c r="A53" s="98" t="s">
        <v>63</v>
      </c>
      <c r="B53" s="124" t="s">
        <v>127</v>
      </c>
      <c r="C53" s="120" t="s">
        <v>128</v>
      </c>
      <c r="D53" s="689">
        <v>42422</v>
      </c>
      <c r="E53" s="122">
        <v>25</v>
      </c>
      <c r="F53" s="120" t="s">
        <v>66</v>
      </c>
      <c r="G53" s="704" t="s">
        <v>129</v>
      </c>
      <c r="H53" s="123">
        <v>1455485.03</v>
      </c>
      <c r="I53" s="123">
        <v>362658.6</v>
      </c>
      <c r="J53" s="123">
        <v>1092826.43</v>
      </c>
      <c r="K53" s="705" t="s">
        <v>68</v>
      </c>
    </row>
    <row r="54" spans="1:11" s="91" customFormat="1" ht="26.4" x14ac:dyDescent="0.3">
      <c r="A54" s="98" t="s">
        <v>63</v>
      </c>
      <c r="B54" s="124" t="s">
        <v>130</v>
      </c>
      <c r="C54" s="120" t="s">
        <v>131</v>
      </c>
      <c r="D54" s="689">
        <v>42562</v>
      </c>
      <c r="E54" s="122">
        <v>25</v>
      </c>
      <c r="F54" s="120" t="s">
        <v>66</v>
      </c>
      <c r="G54" s="704" t="s">
        <v>129</v>
      </c>
      <c r="H54" s="123">
        <v>1429823.95</v>
      </c>
      <c r="I54" s="123">
        <v>337200.18</v>
      </c>
      <c r="J54" s="123">
        <v>1092623.77</v>
      </c>
      <c r="K54" s="705" t="s">
        <v>68</v>
      </c>
    </row>
    <row r="55" spans="1:11" s="91" customFormat="1" ht="26.4" x14ac:dyDescent="0.3">
      <c r="A55" s="98" t="s">
        <v>63</v>
      </c>
      <c r="B55" s="124" t="s">
        <v>132</v>
      </c>
      <c r="C55" s="120" t="s">
        <v>133</v>
      </c>
      <c r="D55" s="689">
        <v>42138</v>
      </c>
      <c r="E55" s="122">
        <v>25</v>
      </c>
      <c r="F55" s="120" t="s">
        <v>66</v>
      </c>
      <c r="G55" s="704" t="s">
        <v>129</v>
      </c>
      <c r="H55" s="123">
        <v>92198</v>
      </c>
      <c r="I55" s="123">
        <v>26046.2</v>
      </c>
      <c r="J55" s="123">
        <v>66151.8</v>
      </c>
      <c r="K55" s="705" t="s">
        <v>68</v>
      </c>
    </row>
    <row r="56" spans="1:11" s="91" customFormat="1" ht="26.4" x14ac:dyDescent="0.3">
      <c r="A56" s="98" t="s">
        <v>63</v>
      </c>
      <c r="B56" s="124" t="s">
        <v>134</v>
      </c>
      <c r="C56" s="120" t="s">
        <v>135</v>
      </c>
      <c r="D56" s="689">
        <v>42600</v>
      </c>
      <c r="E56" s="122">
        <v>25</v>
      </c>
      <c r="F56" s="120" t="s">
        <v>66</v>
      </c>
      <c r="G56" s="704" t="s">
        <v>67</v>
      </c>
      <c r="H56" s="123">
        <v>197156</v>
      </c>
      <c r="I56" s="123">
        <v>45181.81</v>
      </c>
      <c r="J56" s="123">
        <v>151974.19</v>
      </c>
      <c r="K56" s="705" t="s">
        <v>68</v>
      </c>
    </row>
    <row r="57" spans="1:11" s="91" customFormat="1" ht="26.4" x14ac:dyDescent="0.3">
      <c r="A57" s="98" t="s">
        <v>63</v>
      </c>
      <c r="B57" s="124" t="s">
        <v>136</v>
      </c>
      <c r="C57" s="120" t="s">
        <v>137</v>
      </c>
      <c r="D57" s="689">
        <v>42842</v>
      </c>
      <c r="E57" s="122">
        <v>25</v>
      </c>
      <c r="F57" s="120" t="s">
        <v>66</v>
      </c>
      <c r="G57" s="704" t="s">
        <v>74</v>
      </c>
      <c r="H57" s="123">
        <v>1018495.25</v>
      </c>
      <c r="I57" s="123">
        <v>206245.08</v>
      </c>
      <c r="J57" s="123">
        <v>812250.17</v>
      </c>
      <c r="K57" s="705" t="s">
        <v>68</v>
      </c>
    </row>
    <row r="58" spans="1:11" s="91" customFormat="1" ht="26.4" x14ac:dyDescent="0.3">
      <c r="A58" s="98" t="s">
        <v>63</v>
      </c>
      <c r="B58" s="124" t="s">
        <v>138</v>
      </c>
      <c r="C58" s="120" t="s">
        <v>139</v>
      </c>
      <c r="D58" s="689">
        <v>42839</v>
      </c>
      <c r="E58" s="122">
        <v>25</v>
      </c>
      <c r="F58" s="120" t="s">
        <v>66</v>
      </c>
      <c r="G58" s="704" t="s">
        <v>80</v>
      </c>
      <c r="H58" s="123">
        <v>1228689.3999999999</v>
      </c>
      <c r="I58" s="123">
        <v>19454.25</v>
      </c>
      <c r="J58" s="123">
        <v>1209235.1499999999</v>
      </c>
      <c r="K58" s="705"/>
    </row>
    <row r="59" spans="1:11" s="91" customFormat="1" ht="26.4" x14ac:dyDescent="0.3">
      <c r="A59" s="98" t="s">
        <v>63</v>
      </c>
      <c r="B59" s="124" t="s">
        <v>140</v>
      </c>
      <c r="C59" s="120" t="s">
        <v>141</v>
      </c>
      <c r="D59" s="689">
        <v>42179</v>
      </c>
      <c r="E59" s="122">
        <v>25</v>
      </c>
      <c r="F59" s="120" t="s">
        <v>66</v>
      </c>
      <c r="G59" s="704" t="s">
        <v>80</v>
      </c>
      <c r="H59" s="123">
        <v>57063</v>
      </c>
      <c r="I59" s="123">
        <v>15739.88</v>
      </c>
      <c r="J59" s="123">
        <v>41323.120000000003</v>
      </c>
      <c r="K59" s="705" t="s">
        <v>68</v>
      </c>
    </row>
    <row r="60" spans="1:11" s="91" customFormat="1" ht="26.4" x14ac:dyDescent="0.3">
      <c r="A60" s="98" t="s">
        <v>63</v>
      </c>
      <c r="B60" s="124" t="s">
        <v>142</v>
      </c>
      <c r="C60" s="120" t="s">
        <v>143</v>
      </c>
      <c r="D60" s="689">
        <v>42109</v>
      </c>
      <c r="E60" s="122">
        <v>25</v>
      </c>
      <c r="F60" s="120" t="s">
        <v>66</v>
      </c>
      <c r="G60" s="704" t="s">
        <v>80</v>
      </c>
      <c r="H60" s="123">
        <v>54119.27</v>
      </c>
      <c r="I60" s="123">
        <v>15469.3</v>
      </c>
      <c r="J60" s="123">
        <v>38649.97</v>
      </c>
      <c r="K60" s="705" t="s">
        <v>68</v>
      </c>
    </row>
    <row r="61" spans="1:11" s="91" customFormat="1" ht="26.4" x14ac:dyDescent="0.3">
      <c r="A61" s="98" t="s">
        <v>63</v>
      </c>
      <c r="B61" s="124" t="s">
        <v>144</v>
      </c>
      <c r="C61" s="120" t="s">
        <v>145</v>
      </c>
      <c r="D61" s="689">
        <v>41614</v>
      </c>
      <c r="E61" s="122">
        <v>25</v>
      </c>
      <c r="F61" s="120" t="s">
        <v>66</v>
      </c>
      <c r="G61" s="704" t="s">
        <v>94</v>
      </c>
      <c r="H61" s="123">
        <v>314989.34999999998</v>
      </c>
      <c r="I61" s="123">
        <v>98276.55</v>
      </c>
      <c r="J61" s="123">
        <v>216712.8</v>
      </c>
      <c r="K61" s="705" t="s">
        <v>68</v>
      </c>
    </row>
    <row r="62" spans="1:11" s="91" customFormat="1" ht="26.4" x14ac:dyDescent="0.3">
      <c r="A62" s="98" t="s">
        <v>63</v>
      </c>
      <c r="B62" s="124" t="s">
        <v>146</v>
      </c>
      <c r="C62" s="120" t="s">
        <v>147</v>
      </c>
      <c r="D62" s="689">
        <v>41743</v>
      </c>
      <c r="E62" s="122">
        <v>25</v>
      </c>
      <c r="F62" s="120" t="s">
        <v>66</v>
      </c>
      <c r="G62" s="704" t="s">
        <v>148</v>
      </c>
      <c r="H62" s="123">
        <v>495923.84</v>
      </c>
      <c r="I62" s="123">
        <v>152213.6</v>
      </c>
      <c r="J62" s="123">
        <v>343710.24</v>
      </c>
      <c r="K62" s="705" t="s">
        <v>68</v>
      </c>
    </row>
    <row r="63" spans="1:11" s="91" customFormat="1" ht="26.4" x14ac:dyDescent="0.3">
      <c r="A63" s="98" t="s">
        <v>63</v>
      </c>
      <c r="B63" s="124" t="s">
        <v>149</v>
      </c>
      <c r="C63" s="120" t="s">
        <v>150</v>
      </c>
      <c r="D63" s="689">
        <v>41586</v>
      </c>
      <c r="E63" s="122">
        <v>25</v>
      </c>
      <c r="F63" s="120" t="s">
        <v>66</v>
      </c>
      <c r="G63" s="704" t="s">
        <v>123</v>
      </c>
      <c r="H63" s="123">
        <v>1110176.54</v>
      </c>
      <c r="I63" s="123">
        <v>347525.7</v>
      </c>
      <c r="J63" s="123">
        <v>762650.84</v>
      </c>
      <c r="K63" s="705" t="s">
        <v>68</v>
      </c>
    </row>
    <row r="64" spans="1:11" s="91" customFormat="1" ht="26.4" x14ac:dyDescent="0.3">
      <c r="A64" s="98" t="s">
        <v>63</v>
      </c>
      <c r="B64" s="124" t="s">
        <v>151</v>
      </c>
      <c r="C64" s="120" t="s">
        <v>152</v>
      </c>
      <c r="D64" s="689">
        <v>42384</v>
      </c>
      <c r="E64" s="122">
        <v>25</v>
      </c>
      <c r="F64" s="120" t="s">
        <v>66</v>
      </c>
      <c r="G64" s="704" t="s">
        <v>148</v>
      </c>
      <c r="H64" s="123">
        <v>143698.29999999999</v>
      </c>
      <c r="I64" s="123">
        <v>36762.480000000003</v>
      </c>
      <c r="J64" s="123">
        <v>106935.82</v>
      </c>
      <c r="K64" s="705" t="s">
        <v>68</v>
      </c>
    </row>
    <row r="65" spans="1:11" s="91" customFormat="1" ht="26.4" x14ac:dyDescent="0.3">
      <c r="A65" s="98" t="s">
        <v>63</v>
      </c>
      <c r="B65" s="124" t="s">
        <v>153</v>
      </c>
      <c r="C65" s="120" t="s">
        <v>154</v>
      </c>
      <c r="D65" s="689">
        <v>43328</v>
      </c>
      <c r="E65" s="122">
        <v>25</v>
      </c>
      <c r="F65" s="120" t="s">
        <v>66</v>
      </c>
      <c r="G65" s="704" t="s">
        <v>77</v>
      </c>
      <c r="H65" s="123">
        <v>497409.39</v>
      </c>
      <c r="I65" s="123">
        <v>75854.880000000005</v>
      </c>
      <c r="J65" s="123">
        <v>421554.51</v>
      </c>
      <c r="K65" s="705"/>
    </row>
    <row r="66" spans="1:11" s="91" customFormat="1" ht="26.4" x14ac:dyDescent="0.3">
      <c r="A66" s="98" t="s">
        <v>63</v>
      </c>
      <c r="B66" s="124" t="s">
        <v>155</v>
      </c>
      <c r="C66" s="120" t="s">
        <v>156</v>
      </c>
      <c r="D66" s="689">
        <v>43339</v>
      </c>
      <c r="E66" s="122">
        <v>25</v>
      </c>
      <c r="F66" s="120" t="s">
        <v>66</v>
      </c>
      <c r="G66" s="704" t="s">
        <v>74</v>
      </c>
      <c r="H66" s="123">
        <v>497409.39</v>
      </c>
      <c r="I66" s="123">
        <v>74196.850000000006</v>
      </c>
      <c r="J66" s="123">
        <v>423212.54</v>
      </c>
      <c r="K66" s="705" t="s">
        <v>68</v>
      </c>
    </row>
    <row r="67" spans="1:11" s="91" customFormat="1" ht="26.4" x14ac:dyDescent="0.3">
      <c r="A67" s="98" t="s">
        <v>63</v>
      </c>
      <c r="B67" s="124" t="s">
        <v>157</v>
      </c>
      <c r="C67" s="120" t="s">
        <v>158</v>
      </c>
      <c r="D67" s="689">
        <v>43307</v>
      </c>
      <c r="E67" s="122">
        <v>25</v>
      </c>
      <c r="F67" s="120" t="s">
        <v>66</v>
      </c>
      <c r="G67" s="704" t="s">
        <v>159</v>
      </c>
      <c r="H67" s="123">
        <v>680257.24</v>
      </c>
      <c r="I67" s="123">
        <v>103739.07</v>
      </c>
      <c r="J67" s="123">
        <v>576518.17000000004</v>
      </c>
      <c r="K67" s="705" t="s">
        <v>68</v>
      </c>
    </row>
    <row r="68" spans="1:11" s="91" customFormat="1" ht="26.4" x14ac:dyDescent="0.3">
      <c r="A68" s="98" t="s">
        <v>63</v>
      </c>
      <c r="B68" s="124" t="s">
        <v>160</v>
      </c>
      <c r="C68" s="120" t="s">
        <v>161</v>
      </c>
      <c r="D68" s="689">
        <v>43644</v>
      </c>
      <c r="E68" s="122">
        <v>25</v>
      </c>
      <c r="F68" s="120" t="s">
        <v>66</v>
      </c>
      <c r="G68" s="704" t="s">
        <v>91</v>
      </c>
      <c r="H68" s="123">
        <v>344230.32</v>
      </c>
      <c r="I68" s="123">
        <v>39873.199999999997</v>
      </c>
      <c r="J68" s="123">
        <v>304357.12</v>
      </c>
      <c r="K68" s="705" t="s">
        <v>68</v>
      </c>
    </row>
    <row r="69" spans="1:11" s="91" customFormat="1" ht="26.4" x14ac:dyDescent="0.3">
      <c r="A69" s="98" t="s">
        <v>63</v>
      </c>
      <c r="B69" s="124" t="s">
        <v>162</v>
      </c>
      <c r="C69" s="120" t="s">
        <v>163</v>
      </c>
      <c r="D69" s="689">
        <v>43865</v>
      </c>
      <c r="E69" s="122">
        <v>25</v>
      </c>
      <c r="F69" s="120" t="s">
        <v>66</v>
      </c>
      <c r="G69" s="704" t="s">
        <v>85</v>
      </c>
      <c r="H69" s="123">
        <v>1996162.18</v>
      </c>
      <c r="I69" s="123">
        <v>184644.91</v>
      </c>
      <c r="J69" s="123">
        <v>1811517.27</v>
      </c>
      <c r="K69" s="705" t="s">
        <v>68</v>
      </c>
    </row>
    <row r="70" spans="1:11" s="91" customFormat="1" ht="26.4" x14ac:dyDescent="0.3">
      <c r="A70" s="98" t="s">
        <v>63</v>
      </c>
      <c r="B70" s="124" t="s">
        <v>164</v>
      </c>
      <c r="C70" s="120" t="s">
        <v>165</v>
      </c>
      <c r="D70" s="689">
        <v>42347</v>
      </c>
      <c r="E70" s="122">
        <v>25</v>
      </c>
      <c r="F70" s="120" t="s">
        <v>66</v>
      </c>
      <c r="G70" s="704" t="s">
        <v>80</v>
      </c>
      <c r="H70" s="123">
        <v>593179.44999999995</v>
      </c>
      <c r="I70" s="123">
        <v>9392</v>
      </c>
      <c r="J70" s="123">
        <v>583787.44999999995</v>
      </c>
      <c r="K70" s="705"/>
    </row>
    <row r="71" spans="1:11" s="91" customFormat="1" ht="26.4" x14ac:dyDescent="0.3">
      <c r="A71" s="98" t="s">
        <v>63</v>
      </c>
      <c r="B71" s="124" t="s">
        <v>166</v>
      </c>
      <c r="C71" s="120" t="s">
        <v>167</v>
      </c>
      <c r="D71" s="689">
        <v>42521</v>
      </c>
      <c r="E71" s="122">
        <v>25</v>
      </c>
      <c r="F71" s="120" t="s">
        <v>66</v>
      </c>
      <c r="G71" s="704" t="s">
        <v>74</v>
      </c>
      <c r="H71" s="123">
        <v>328407</v>
      </c>
      <c r="I71" s="123">
        <v>5199.8</v>
      </c>
      <c r="J71" s="123">
        <v>323207.2</v>
      </c>
      <c r="K71" s="705"/>
    </row>
    <row r="72" spans="1:11" s="91" customFormat="1" ht="26.4" x14ac:dyDescent="0.3">
      <c r="A72" s="98" t="s">
        <v>168</v>
      </c>
      <c r="B72" s="124" t="s">
        <v>169</v>
      </c>
      <c r="C72" s="120" t="s">
        <v>170</v>
      </c>
      <c r="D72" s="689">
        <v>42331</v>
      </c>
      <c r="E72" s="122">
        <v>25</v>
      </c>
      <c r="F72" s="120" t="s">
        <v>66</v>
      </c>
      <c r="G72" s="704" t="s">
        <v>171</v>
      </c>
      <c r="H72" s="123">
        <v>2450091.0299999998</v>
      </c>
      <c r="I72" s="123">
        <v>681533.63</v>
      </c>
      <c r="J72" s="123">
        <v>1768557.4</v>
      </c>
      <c r="K72" s="705" t="s">
        <v>68</v>
      </c>
    </row>
    <row r="73" spans="1:11" s="91" customFormat="1" ht="26.4" x14ac:dyDescent="0.3">
      <c r="A73" s="98" t="s">
        <v>168</v>
      </c>
      <c r="B73" s="124" t="s">
        <v>172</v>
      </c>
      <c r="C73" s="120" t="s">
        <v>173</v>
      </c>
      <c r="D73" s="689">
        <v>41982</v>
      </c>
      <c r="E73" s="122">
        <v>25</v>
      </c>
      <c r="F73" s="120" t="s">
        <v>66</v>
      </c>
      <c r="G73" s="704" t="s">
        <v>85</v>
      </c>
      <c r="H73" s="123">
        <v>117482</v>
      </c>
      <c r="I73" s="123">
        <v>37490.53</v>
      </c>
      <c r="J73" s="123">
        <v>79991.47</v>
      </c>
      <c r="K73" s="705" t="s">
        <v>68</v>
      </c>
    </row>
    <row r="74" spans="1:11" s="91" customFormat="1" ht="26.4" x14ac:dyDescent="0.3">
      <c r="A74" s="98" t="s">
        <v>168</v>
      </c>
      <c r="B74" s="124" t="s">
        <v>174</v>
      </c>
      <c r="C74" s="120" t="s">
        <v>175</v>
      </c>
      <c r="D74" s="689">
        <v>41270</v>
      </c>
      <c r="E74" s="122">
        <v>25</v>
      </c>
      <c r="F74" s="120" t="s">
        <v>66</v>
      </c>
      <c r="G74" s="704" t="s">
        <v>176</v>
      </c>
      <c r="H74" s="123">
        <v>113650</v>
      </c>
      <c r="I74" s="123">
        <v>38548.31</v>
      </c>
      <c r="J74" s="123">
        <v>75101.69</v>
      </c>
      <c r="K74" s="705" t="s">
        <v>68</v>
      </c>
    </row>
    <row r="75" spans="1:11" s="91" customFormat="1" ht="26.4" x14ac:dyDescent="0.3">
      <c r="A75" s="98" t="s">
        <v>168</v>
      </c>
      <c r="B75" s="124" t="s">
        <v>177</v>
      </c>
      <c r="C75" s="120" t="s">
        <v>178</v>
      </c>
      <c r="D75" s="689">
        <v>42677</v>
      </c>
      <c r="E75" s="122">
        <v>25</v>
      </c>
      <c r="F75" s="120" t="s">
        <v>66</v>
      </c>
      <c r="G75" s="704" t="s">
        <v>80</v>
      </c>
      <c r="H75" s="123">
        <v>1473616.04</v>
      </c>
      <c r="I75" s="123">
        <v>360790.1</v>
      </c>
      <c r="J75" s="123">
        <v>1112825.94</v>
      </c>
      <c r="K75" s="705" t="s">
        <v>68</v>
      </c>
    </row>
    <row r="76" spans="1:11" s="91" customFormat="1" ht="26.4" x14ac:dyDescent="0.3">
      <c r="A76" s="98" t="s">
        <v>168</v>
      </c>
      <c r="B76" s="124" t="s">
        <v>179</v>
      </c>
      <c r="C76" s="120" t="s">
        <v>180</v>
      </c>
      <c r="D76" s="689">
        <v>42634</v>
      </c>
      <c r="E76" s="122">
        <v>25</v>
      </c>
      <c r="F76" s="120" t="s">
        <v>66</v>
      </c>
      <c r="G76" s="704" t="s">
        <v>148</v>
      </c>
      <c r="H76" s="123">
        <v>116934</v>
      </c>
      <c r="I76" s="123">
        <v>28629.33</v>
      </c>
      <c r="J76" s="123">
        <v>88304.67</v>
      </c>
      <c r="K76" s="705" t="s">
        <v>68</v>
      </c>
    </row>
    <row r="77" spans="1:11" s="91" customFormat="1" ht="26.4" x14ac:dyDescent="0.3">
      <c r="A77" s="98" t="s">
        <v>168</v>
      </c>
      <c r="B77" s="124" t="s">
        <v>181</v>
      </c>
      <c r="C77" s="120" t="s">
        <v>182</v>
      </c>
      <c r="D77" s="689">
        <v>43426</v>
      </c>
      <c r="E77" s="122">
        <v>25</v>
      </c>
      <c r="F77" s="120" t="s">
        <v>66</v>
      </c>
      <c r="G77" s="704" t="s">
        <v>118</v>
      </c>
      <c r="H77" s="123">
        <v>1482810.8</v>
      </c>
      <c r="I77" s="123">
        <v>234531.17</v>
      </c>
      <c r="J77" s="123">
        <v>1248279.6299999999</v>
      </c>
      <c r="K77" s="705" t="s">
        <v>68</v>
      </c>
    </row>
    <row r="78" spans="1:11" s="91" customFormat="1" ht="26.4" x14ac:dyDescent="0.3">
      <c r="A78" s="98" t="s">
        <v>168</v>
      </c>
      <c r="B78" s="124" t="s">
        <v>183</v>
      </c>
      <c r="C78" s="120" t="s">
        <v>184</v>
      </c>
      <c r="D78" s="689">
        <v>41060</v>
      </c>
      <c r="E78" s="122">
        <v>25</v>
      </c>
      <c r="F78" s="120" t="s">
        <v>66</v>
      </c>
      <c r="G78" s="704" t="s">
        <v>185</v>
      </c>
      <c r="H78" s="123">
        <v>613707.25</v>
      </c>
      <c r="I78" s="123">
        <v>213018.47</v>
      </c>
      <c r="J78" s="123">
        <v>400688.78</v>
      </c>
      <c r="K78" s="705" t="s">
        <v>68</v>
      </c>
    </row>
    <row r="79" spans="1:11" s="91" customFormat="1" ht="26.4" x14ac:dyDescent="0.3">
      <c r="A79" s="98" t="s">
        <v>168</v>
      </c>
      <c r="B79" s="124" t="s">
        <v>186</v>
      </c>
      <c r="C79" s="120" t="s">
        <v>187</v>
      </c>
      <c r="D79" s="689">
        <v>41982</v>
      </c>
      <c r="E79" s="122">
        <v>25</v>
      </c>
      <c r="F79" s="120" t="s">
        <v>66</v>
      </c>
      <c r="G79" s="704" t="s">
        <v>85</v>
      </c>
      <c r="H79" s="123">
        <v>110841</v>
      </c>
      <c r="I79" s="123">
        <v>35371.35</v>
      </c>
      <c r="J79" s="123">
        <v>75469.649999999994</v>
      </c>
      <c r="K79" s="705" t="s">
        <v>68</v>
      </c>
    </row>
    <row r="80" spans="1:11" s="91" customFormat="1" ht="26.4" x14ac:dyDescent="0.3">
      <c r="A80" s="98" t="s">
        <v>168</v>
      </c>
      <c r="B80" s="124" t="s">
        <v>188</v>
      </c>
      <c r="C80" s="120" t="s">
        <v>189</v>
      </c>
      <c r="D80" s="689">
        <v>42790</v>
      </c>
      <c r="E80" s="122">
        <v>25</v>
      </c>
      <c r="F80" s="120" t="s">
        <v>66</v>
      </c>
      <c r="G80" s="704" t="s">
        <v>80</v>
      </c>
      <c r="H80" s="123">
        <v>1304074.94</v>
      </c>
      <c r="I80" s="123">
        <v>297546.63</v>
      </c>
      <c r="J80" s="123">
        <v>1006528.31</v>
      </c>
      <c r="K80" s="705" t="s">
        <v>68</v>
      </c>
    </row>
    <row r="81" spans="1:11" s="91" customFormat="1" ht="26.4" x14ac:dyDescent="0.3">
      <c r="A81" s="98" t="s">
        <v>168</v>
      </c>
      <c r="B81" s="124" t="s">
        <v>190</v>
      </c>
      <c r="C81" s="120" t="s">
        <v>191</v>
      </c>
      <c r="D81" s="689">
        <v>42783</v>
      </c>
      <c r="E81" s="122">
        <v>25</v>
      </c>
      <c r="F81" s="120" t="s">
        <v>66</v>
      </c>
      <c r="G81" s="704" t="s">
        <v>192</v>
      </c>
      <c r="H81" s="123">
        <v>1159527.1299999999</v>
      </c>
      <c r="I81" s="123">
        <v>264565.46000000002</v>
      </c>
      <c r="J81" s="123">
        <v>894961.67</v>
      </c>
      <c r="K81" s="705"/>
    </row>
    <row r="82" spans="1:11" s="91" customFormat="1" ht="26.4" x14ac:dyDescent="0.3">
      <c r="A82" s="98" t="s">
        <v>168</v>
      </c>
      <c r="B82" s="124" t="s">
        <v>193</v>
      </c>
      <c r="C82" s="120" t="s">
        <v>194</v>
      </c>
      <c r="D82" s="689">
        <v>42139</v>
      </c>
      <c r="E82" s="122">
        <v>25</v>
      </c>
      <c r="F82" s="120" t="s">
        <v>66</v>
      </c>
      <c r="G82" s="704" t="s">
        <v>195</v>
      </c>
      <c r="H82" s="123">
        <v>4855442.5999999996</v>
      </c>
      <c r="I82" s="123">
        <v>1463916.07</v>
      </c>
      <c r="J82" s="123">
        <v>3391526.53</v>
      </c>
      <c r="K82" s="705"/>
    </row>
    <row r="83" spans="1:11" s="91" customFormat="1" ht="26.4" x14ac:dyDescent="0.3">
      <c r="A83" s="98" t="s">
        <v>168</v>
      </c>
      <c r="B83" s="124" t="s">
        <v>196</v>
      </c>
      <c r="C83" s="120" t="s">
        <v>197</v>
      </c>
      <c r="D83" s="689">
        <v>43532</v>
      </c>
      <c r="E83" s="122">
        <v>25</v>
      </c>
      <c r="F83" s="120" t="s">
        <v>66</v>
      </c>
      <c r="G83" s="704" t="s">
        <v>80</v>
      </c>
      <c r="H83" s="123">
        <v>2970402.95</v>
      </c>
      <c r="I83" s="123">
        <v>440114.64</v>
      </c>
      <c r="J83" s="123">
        <v>2530288.31</v>
      </c>
      <c r="K83" s="705"/>
    </row>
    <row r="84" spans="1:11" s="91" customFormat="1" ht="26.4" x14ac:dyDescent="0.3">
      <c r="A84" s="98" t="s">
        <v>168</v>
      </c>
      <c r="B84" s="124" t="s">
        <v>198</v>
      </c>
      <c r="C84" s="120" t="s">
        <v>199</v>
      </c>
      <c r="D84" s="689">
        <v>43461</v>
      </c>
      <c r="E84" s="122">
        <v>25</v>
      </c>
      <c r="F84" s="120" t="s">
        <v>66</v>
      </c>
      <c r="G84" s="704" t="s">
        <v>102</v>
      </c>
      <c r="H84" s="123">
        <v>990539.36</v>
      </c>
      <c r="I84" s="123">
        <v>153368.60999999999</v>
      </c>
      <c r="J84" s="123">
        <v>837170.75</v>
      </c>
      <c r="K84" s="705" t="s">
        <v>68</v>
      </c>
    </row>
    <row r="85" spans="1:11" s="91" customFormat="1" ht="26.4" x14ac:dyDescent="0.3">
      <c r="A85" s="98" t="s">
        <v>168</v>
      </c>
      <c r="B85" s="124" t="s">
        <v>200</v>
      </c>
      <c r="C85" s="120" t="s">
        <v>201</v>
      </c>
      <c r="D85" s="689">
        <v>42083</v>
      </c>
      <c r="E85" s="122">
        <v>25</v>
      </c>
      <c r="F85" s="120" t="s">
        <v>66</v>
      </c>
      <c r="G85" s="704" t="s">
        <v>126</v>
      </c>
      <c r="H85" s="123">
        <v>196754.81</v>
      </c>
      <c r="I85" s="123">
        <v>59977.51</v>
      </c>
      <c r="J85" s="123">
        <v>136777.29999999999</v>
      </c>
      <c r="K85" s="705" t="s">
        <v>68</v>
      </c>
    </row>
    <row r="86" spans="1:11" s="91" customFormat="1" ht="26.4" x14ac:dyDescent="0.3">
      <c r="A86" s="98" t="s">
        <v>168</v>
      </c>
      <c r="B86" s="124" t="s">
        <v>202</v>
      </c>
      <c r="C86" s="120" t="s">
        <v>203</v>
      </c>
      <c r="D86" s="689">
        <v>41676</v>
      </c>
      <c r="E86" s="122">
        <v>25</v>
      </c>
      <c r="F86" s="120" t="s">
        <v>66</v>
      </c>
      <c r="G86" s="704" t="s">
        <v>94</v>
      </c>
      <c r="H86" s="123">
        <v>94899.61</v>
      </c>
      <c r="I86" s="123">
        <v>31217.17</v>
      </c>
      <c r="J86" s="123">
        <v>63682.44</v>
      </c>
      <c r="K86" s="705" t="s">
        <v>68</v>
      </c>
    </row>
    <row r="87" spans="1:11" s="91" customFormat="1" ht="26.4" x14ac:dyDescent="0.3">
      <c r="A87" s="98" t="s">
        <v>168</v>
      </c>
      <c r="B87" s="124" t="s">
        <v>204</v>
      </c>
      <c r="C87" s="120" t="s">
        <v>205</v>
      </c>
      <c r="D87" s="689">
        <v>42361</v>
      </c>
      <c r="E87" s="122">
        <v>25</v>
      </c>
      <c r="F87" s="120" t="s">
        <v>66</v>
      </c>
      <c r="G87" s="704" t="s">
        <v>206</v>
      </c>
      <c r="H87" s="123">
        <v>281540</v>
      </c>
      <c r="I87" s="123">
        <v>77376.78</v>
      </c>
      <c r="J87" s="123">
        <v>204163.22</v>
      </c>
      <c r="K87" s="705" t="s">
        <v>68</v>
      </c>
    </row>
    <row r="88" spans="1:11" s="91" customFormat="1" ht="26.4" x14ac:dyDescent="0.3">
      <c r="A88" s="98" t="s">
        <v>168</v>
      </c>
      <c r="B88" s="124" t="s">
        <v>207</v>
      </c>
      <c r="C88" s="120" t="s">
        <v>208</v>
      </c>
      <c r="D88" s="689">
        <v>43251</v>
      </c>
      <c r="E88" s="122">
        <v>25</v>
      </c>
      <c r="F88" s="120" t="s">
        <v>66</v>
      </c>
      <c r="G88" s="704" t="s">
        <v>209</v>
      </c>
      <c r="H88" s="123">
        <v>993225.09</v>
      </c>
      <c r="I88" s="123">
        <v>176959.56</v>
      </c>
      <c r="J88" s="123">
        <v>816265.53</v>
      </c>
      <c r="K88" s="705" t="s">
        <v>68</v>
      </c>
    </row>
    <row r="89" spans="1:11" s="91" customFormat="1" ht="26.4" x14ac:dyDescent="0.3">
      <c r="A89" s="98" t="s">
        <v>168</v>
      </c>
      <c r="B89" s="124" t="s">
        <v>210</v>
      </c>
      <c r="C89" s="120" t="s">
        <v>211</v>
      </c>
      <c r="D89" s="689">
        <v>42632</v>
      </c>
      <c r="E89" s="122">
        <v>25</v>
      </c>
      <c r="F89" s="120" t="s">
        <v>66</v>
      </c>
      <c r="G89" s="704" t="s">
        <v>212</v>
      </c>
      <c r="H89" s="123">
        <v>76356.37</v>
      </c>
      <c r="I89" s="123">
        <v>18694.560000000001</v>
      </c>
      <c r="J89" s="123">
        <v>57661.81</v>
      </c>
      <c r="K89" s="705" t="s">
        <v>68</v>
      </c>
    </row>
    <row r="90" spans="1:11" s="91" customFormat="1" ht="26.4" x14ac:dyDescent="0.3">
      <c r="A90" s="98" t="s">
        <v>168</v>
      </c>
      <c r="B90" s="124" t="s">
        <v>213</v>
      </c>
      <c r="C90" s="120" t="s">
        <v>214</v>
      </c>
      <c r="D90" s="689">
        <v>41669</v>
      </c>
      <c r="E90" s="122">
        <v>25</v>
      </c>
      <c r="F90" s="120" t="s">
        <v>66</v>
      </c>
      <c r="G90" s="704" t="s">
        <v>159</v>
      </c>
      <c r="H90" s="123">
        <v>252665.39</v>
      </c>
      <c r="I90" s="123">
        <v>82239.89</v>
      </c>
      <c r="J90" s="123">
        <v>170425.5</v>
      </c>
      <c r="K90" s="705" t="s">
        <v>68</v>
      </c>
    </row>
    <row r="91" spans="1:11" s="91" customFormat="1" ht="26.4" x14ac:dyDescent="0.3">
      <c r="A91" s="98" t="s">
        <v>168</v>
      </c>
      <c r="B91" s="124" t="s">
        <v>215</v>
      </c>
      <c r="C91" s="120" t="s">
        <v>216</v>
      </c>
      <c r="D91" s="689">
        <v>43369</v>
      </c>
      <c r="E91" s="122">
        <v>25</v>
      </c>
      <c r="F91" s="120" t="s">
        <v>66</v>
      </c>
      <c r="G91" s="704" t="s">
        <v>80</v>
      </c>
      <c r="H91" s="123">
        <v>476504.67</v>
      </c>
      <c r="I91" s="123">
        <v>78543.88</v>
      </c>
      <c r="J91" s="123">
        <v>397960.79</v>
      </c>
      <c r="K91" s="705"/>
    </row>
    <row r="92" spans="1:11" s="91" customFormat="1" ht="26.4" x14ac:dyDescent="0.3">
      <c r="A92" s="98" t="s">
        <v>168</v>
      </c>
      <c r="B92" s="124" t="s">
        <v>217</v>
      </c>
      <c r="C92" s="120" t="s">
        <v>218</v>
      </c>
      <c r="D92" s="689">
        <v>41991</v>
      </c>
      <c r="E92" s="122">
        <v>25</v>
      </c>
      <c r="F92" s="120" t="s">
        <v>66</v>
      </c>
      <c r="G92" s="704" t="s">
        <v>129</v>
      </c>
      <c r="H92" s="123">
        <v>104227</v>
      </c>
      <c r="I92" s="123">
        <v>32813.83</v>
      </c>
      <c r="J92" s="123">
        <v>71413.17</v>
      </c>
      <c r="K92" s="705" t="s">
        <v>68</v>
      </c>
    </row>
    <row r="93" spans="1:11" s="91" customFormat="1" ht="26.4" x14ac:dyDescent="0.3">
      <c r="A93" s="98" t="s">
        <v>168</v>
      </c>
      <c r="B93" s="124" t="s">
        <v>219</v>
      </c>
      <c r="C93" s="120" t="s">
        <v>220</v>
      </c>
      <c r="D93" s="689">
        <v>41808</v>
      </c>
      <c r="E93" s="122">
        <v>25</v>
      </c>
      <c r="F93" s="120" t="s">
        <v>66</v>
      </c>
      <c r="G93" s="704" t="s">
        <v>185</v>
      </c>
      <c r="H93" s="123">
        <v>156661</v>
      </c>
      <c r="I93" s="123">
        <v>50217.23</v>
      </c>
      <c r="J93" s="123">
        <v>106443.77</v>
      </c>
      <c r="K93" s="705" t="s">
        <v>68</v>
      </c>
    </row>
    <row r="94" spans="1:11" s="91" customFormat="1" ht="26.4" x14ac:dyDescent="0.3">
      <c r="A94" s="98" t="s">
        <v>168</v>
      </c>
      <c r="B94" s="124" t="s">
        <v>221</v>
      </c>
      <c r="C94" s="120" t="s">
        <v>222</v>
      </c>
      <c r="D94" s="689">
        <v>42349</v>
      </c>
      <c r="E94" s="122">
        <v>25</v>
      </c>
      <c r="F94" s="120" t="s">
        <v>66</v>
      </c>
      <c r="G94" s="704" t="s">
        <v>212</v>
      </c>
      <c r="H94" s="123">
        <v>4096662.47</v>
      </c>
      <c r="I94" s="123">
        <v>1139554.78</v>
      </c>
      <c r="J94" s="123">
        <v>2957107.69</v>
      </c>
      <c r="K94" s="705" t="s">
        <v>68</v>
      </c>
    </row>
    <row r="95" spans="1:11" s="91" customFormat="1" ht="26.4" x14ac:dyDescent="0.3">
      <c r="A95" s="98" t="s">
        <v>168</v>
      </c>
      <c r="B95" s="124" t="s">
        <v>223</v>
      </c>
      <c r="C95" s="120" t="s">
        <v>224</v>
      </c>
      <c r="D95" s="689">
        <v>44109</v>
      </c>
      <c r="E95" s="122">
        <v>24</v>
      </c>
      <c r="F95" s="120" t="s">
        <v>66</v>
      </c>
      <c r="G95" s="704" t="s">
        <v>212</v>
      </c>
      <c r="H95" s="123">
        <v>4976587.7</v>
      </c>
      <c r="I95" s="123">
        <v>439771.43</v>
      </c>
      <c r="J95" s="123">
        <v>4536816.2699999996</v>
      </c>
      <c r="K95" s="705"/>
    </row>
    <row r="96" spans="1:11" s="91" customFormat="1" ht="39.6" x14ac:dyDescent="0.3">
      <c r="A96" s="98" t="s">
        <v>168</v>
      </c>
      <c r="B96" s="124" t="s">
        <v>225</v>
      </c>
      <c r="C96" s="120" t="s">
        <v>226</v>
      </c>
      <c r="D96" s="689">
        <v>43679</v>
      </c>
      <c r="E96" s="122">
        <v>30</v>
      </c>
      <c r="F96" s="120" t="s">
        <v>66</v>
      </c>
      <c r="G96" s="704" t="s">
        <v>227</v>
      </c>
      <c r="H96" s="123">
        <v>1496225.99</v>
      </c>
      <c r="I96" s="123">
        <v>168117.47</v>
      </c>
      <c r="J96" s="123">
        <v>1328108.52</v>
      </c>
      <c r="K96" s="705"/>
    </row>
    <row r="97" spans="1:11" s="91" customFormat="1" ht="26.4" x14ac:dyDescent="0.3">
      <c r="A97" s="98" t="s">
        <v>168</v>
      </c>
      <c r="B97" s="124" t="s">
        <v>228</v>
      </c>
      <c r="C97" s="120" t="s">
        <v>229</v>
      </c>
      <c r="D97" s="689">
        <v>43920</v>
      </c>
      <c r="E97" s="122">
        <v>25</v>
      </c>
      <c r="F97" s="120" t="s">
        <v>66</v>
      </c>
      <c r="G97" s="704" t="s">
        <v>230</v>
      </c>
      <c r="H97" s="123">
        <v>423693.4</v>
      </c>
      <c r="I97" s="123">
        <v>44417.21</v>
      </c>
      <c r="J97" s="123">
        <v>379276.19</v>
      </c>
      <c r="K97" s="705"/>
    </row>
    <row r="98" spans="1:11" s="91" customFormat="1" ht="26.4" x14ac:dyDescent="0.3">
      <c r="A98" s="98" t="s">
        <v>168</v>
      </c>
      <c r="B98" s="124" t="s">
        <v>231</v>
      </c>
      <c r="C98" s="120" t="s">
        <v>232</v>
      </c>
      <c r="D98" s="689">
        <v>44694</v>
      </c>
      <c r="E98" s="122">
        <v>25</v>
      </c>
      <c r="F98" s="120" t="s">
        <v>66</v>
      </c>
      <c r="G98" s="704" t="s">
        <v>233</v>
      </c>
      <c r="H98" s="123">
        <v>995011.94</v>
      </c>
      <c r="I98" s="123">
        <v>34659.57</v>
      </c>
      <c r="J98" s="123">
        <v>960352.37</v>
      </c>
      <c r="K98" s="705"/>
    </row>
    <row r="99" spans="1:11" s="91" customFormat="1" x14ac:dyDescent="0.3">
      <c r="A99" s="798" t="s">
        <v>234</v>
      </c>
      <c r="B99" s="799"/>
      <c r="C99" s="799"/>
      <c r="D99" s="799"/>
      <c r="E99" s="799"/>
      <c r="F99" s="799"/>
      <c r="G99" s="800"/>
      <c r="H99" s="708">
        <f>SUM(H31:H98)</f>
        <v>70420489.38000001</v>
      </c>
      <c r="I99" s="708">
        <f t="shared" ref="I99:J99" si="1">SUM(I31:I98)</f>
        <v>14931559.550000004</v>
      </c>
      <c r="J99" s="708">
        <f t="shared" si="1"/>
        <v>55488929.830000013</v>
      </c>
      <c r="K99" s="709"/>
    </row>
    <row r="100" spans="1:11" s="91" customFormat="1" x14ac:dyDescent="0.3">
      <c r="A100" s="801" t="s">
        <v>235</v>
      </c>
      <c r="B100" s="802"/>
      <c r="C100" s="802"/>
      <c r="D100" s="802"/>
      <c r="E100" s="802"/>
      <c r="F100" s="802"/>
      <c r="G100" s="802"/>
      <c r="H100" s="802"/>
      <c r="I100" s="802"/>
      <c r="J100" s="802"/>
      <c r="K100" s="803"/>
    </row>
    <row r="101" spans="1:11" s="91" customFormat="1" ht="26.4" x14ac:dyDescent="0.3">
      <c r="A101" s="98" t="s">
        <v>236</v>
      </c>
      <c r="B101" s="124" t="s">
        <v>237</v>
      </c>
      <c r="C101" s="120" t="s">
        <v>238</v>
      </c>
      <c r="D101" s="689">
        <v>42122</v>
      </c>
      <c r="E101" s="122">
        <v>30</v>
      </c>
      <c r="F101" s="120" t="s">
        <v>66</v>
      </c>
      <c r="G101" s="704" t="s">
        <v>185</v>
      </c>
      <c r="H101" s="123">
        <v>137021</v>
      </c>
      <c r="I101" s="123">
        <v>30372.74</v>
      </c>
      <c r="J101" s="123">
        <v>106648.26</v>
      </c>
      <c r="K101" s="705"/>
    </row>
    <row r="102" spans="1:11" s="91" customFormat="1" x14ac:dyDescent="0.3">
      <c r="A102" s="798" t="s">
        <v>239</v>
      </c>
      <c r="B102" s="799"/>
      <c r="C102" s="799"/>
      <c r="D102" s="799"/>
      <c r="E102" s="799"/>
      <c r="F102" s="799"/>
      <c r="G102" s="800"/>
      <c r="H102" s="708">
        <f>H101</f>
        <v>137021</v>
      </c>
      <c r="I102" s="708">
        <f t="shared" ref="I102:J102" si="2">I101</f>
        <v>30372.74</v>
      </c>
      <c r="J102" s="708">
        <f t="shared" si="2"/>
        <v>106648.26</v>
      </c>
      <c r="K102" s="709"/>
    </row>
    <row r="103" spans="1:11" s="91" customFormat="1" x14ac:dyDescent="0.3">
      <c r="A103" s="801" t="s">
        <v>240</v>
      </c>
      <c r="B103" s="802"/>
      <c r="C103" s="802"/>
      <c r="D103" s="802"/>
      <c r="E103" s="802"/>
      <c r="F103" s="802"/>
      <c r="G103" s="802"/>
      <c r="H103" s="802"/>
      <c r="I103" s="802"/>
      <c r="J103" s="802"/>
      <c r="K103" s="803"/>
    </row>
    <row r="104" spans="1:11" s="91" customFormat="1" ht="26.4" x14ac:dyDescent="0.3">
      <c r="A104" s="98" t="s">
        <v>241</v>
      </c>
      <c r="B104" s="124" t="s">
        <v>242</v>
      </c>
      <c r="C104" s="120" t="s">
        <v>243</v>
      </c>
      <c r="D104" s="689">
        <v>40178</v>
      </c>
      <c r="E104" s="122">
        <v>20</v>
      </c>
      <c r="F104" s="120" t="s">
        <v>66</v>
      </c>
      <c r="G104" s="704" t="s">
        <v>22</v>
      </c>
      <c r="H104" s="123">
        <v>577900.39</v>
      </c>
      <c r="I104" s="123">
        <v>283402.68</v>
      </c>
      <c r="J104" s="123">
        <v>294497.71000000002</v>
      </c>
      <c r="K104" s="705" t="s">
        <v>68</v>
      </c>
    </row>
    <row r="105" spans="1:11" s="91" customFormat="1" ht="26.4" x14ac:dyDescent="0.3">
      <c r="A105" s="98" t="s">
        <v>241</v>
      </c>
      <c r="B105" s="124" t="s">
        <v>244</v>
      </c>
      <c r="C105" s="120" t="s">
        <v>245</v>
      </c>
      <c r="D105" s="689">
        <v>39447</v>
      </c>
      <c r="E105" s="122">
        <v>20</v>
      </c>
      <c r="F105" s="120" t="s">
        <v>66</v>
      </c>
      <c r="G105" s="704" t="s">
        <v>22</v>
      </c>
      <c r="H105" s="123">
        <v>199168.26</v>
      </c>
      <c r="I105" s="123">
        <v>102969.72</v>
      </c>
      <c r="J105" s="123">
        <v>96198.54</v>
      </c>
      <c r="K105" s="705" t="s">
        <v>68</v>
      </c>
    </row>
    <row r="106" spans="1:11" s="91" customFormat="1" ht="26.4" x14ac:dyDescent="0.3">
      <c r="A106" s="98" t="s">
        <v>241</v>
      </c>
      <c r="B106" s="124" t="s">
        <v>246</v>
      </c>
      <c r="C106" s="120" t="s">
        <v>247</v>
      </c>
      <c r="D106" s="689">
        <v>40908</v>
      </c>
      <c r="E106" s="122">
        <v>30</v>
      </c>
      <c r="F106" s="120" t="s">
        <v>248</v>
      </c>
      <c r="G106" s="704" t="s">
        <v>22</v>
      </c>
      <c r="H106" s="123">
        <v>885778.31</v>
      </c>
      <c r="I106" s="123">
        <v>297166.46999999997</v>
      </c>
      <c r="J106" s="123">
        <v>588611.83999999997</v>
      </c>
      <c r="K106" s="705" t="s">
        <v>68</v>
      </c>
    </row>
    <row r="107" spans="1:11" s="91" customFormat="1" ht="26.4" x14ac:dyDescent="0.3">
      <c r="A107" s="98" t="s">
        <v>241</v>
      </c>
      <c r="B107" s="124" t="s">
        <v>249</v>
      </c>
      <c r="C107" s="120" t="s">
        <v>250</v>
      </c>
      <c r="D107" s="689">
        <v>40390</v>
      </c>
      <c r="E107" s="122">
        <v>20</v>
      </c>
      <c r="F107" s="120" t="s">
        <v>66</v>
      </c>
      <c r="G107" s="704" t="s">
        <v>22</v>
      </c>
      <c r="H107" s="123">
        <v>118003.03</v>
      </c>
      <c r="I107" s="123">
        <v>56743.48</v>
      </c>
      <c r="J107" s="123">
        <v>61259.55</v>
      </c>
      <c r="K107" s="705" t="s">
        <v>68</v>
      </c>
    </row>
    <row r="108" spans="1:11" s="91" customFormat="1" x14ac:dyDescent="0.3">
      <c r="A108" s="798" t="s">
        <v>251</v>
      </c>
      <c r="B108" s="799"/>
      <c r="C108" s="799"/>
      <c r="D108" s="799"/>
      <c r="E108" s="799"/>
      <c r="F108" s="799"/>
      <c r="G108" s="800"/>
      <c r="H108" s="708">
        <f>SUM(H104:H107)</f>
        <v>1780849.99</v>
      </c>
      <c r="I108" s="708">
        <f t="shared" ref="I108:J108" si="3">SUM(I104:I107)</f>
        <v>740282.35</v>
      </c>
      <c r="J108" s="708">
        <f t="shared" si="3"/>
        <v>1040567.64</v>
      </c>
      <c r="K108" s="709"/>
    </row>
    <row r="109" spans="1:11" s="91" customFormat="1" x14ac:dyDescent="0.3">
      <c r="A109" s="804" t="s">
        <v>252</v>
      </c>
      <c r="B109" s="805"/>
      <c r="C109" s="805"/>
      <c r="D109" s="805"/>
      <c r="E109" s="805"/>
      <c r="F109" s="805"/>
      <c r="G109" s="806"/>
      <c r="H109" s="710">
        <f>SUM(H108,H102,H99,H29)</f>
        <v>75338360.370000005</v>
      </c>
      <c r="I109" s="710">
        <f>SUM(I108,I102,I99,I29)</f>
        <v>18553152.140000004</v>
      </c>
      <c r="J109" s="710">
        <f>SUM(J108,J102,J99,J29)</f>
        <v>56785208.230000012</v>
      </c>
      <c r="K109" s="711"/>
    </row>
    <row r="110" spans="1:11" s="91" customFormat="1" x14ac:dyDescent="0.3">
      <c r="A110" s="807" t="s">
        <v>253</v>
      </c>
      <c r="B110" s="808"/>
      <c r="C110" s="808"/>
      <c r="D110" s="808"/>
      <c r="E110" s="808"/>
      <c r="F110" s="808"/>
      <c r="G110" s="808"/>
      <c r="H110" s="808"/>
      <c r="I110" s="808"/>
      <c r="J110" s="808"/>
      <c r="K110" s="809"/>
    </row>
    <row r="111" spans="1:11" s="91" customFormat="1" x14ac:dyDescent="0.3">
      <c r="A111" s="801" t="s">
        <v>254</v>
      </c>
      <c r="B111" s="802"/>
      <c r="C111" s="802"/>
      <c r="D111" s="802"/>
      <c r="E111" s="802"/>
      <c r="F111" s="802"/>
      <c r="G111" s="802"/>
      <c r="H111" s="802"/>
      <c r="I111" s="802"/>
      <c r="J111" s="802"/>
      <c r="K111" s="803"/>
    </row>
    <row r="112" spans="1:11" s="91" customFormat="1" x14ac:dyDescent="0.3">
      <c r="A112" s="98" t="s">
        <v>255</v>
      </c>
      <c r="B112" s="124" t="s">
        <v>256</v>
      </c>
      <c r="C112" s="120" t="s">
        <v>257</v>
      </c>
      <c r="D112" s="689">
        <v>44858</v>
      </c>
      <c r="E112" s="122">
        <v>10</v>
      </c>
      <c r="F112" s="120" t="s">
        <v>258</v>
      </c>
      <c r="G112" s="704" t="s">
        <v>22</v>
      </c>
      <c r="H112" s="123">
        <v>24980</v>
      </c>
      <c r="I112" s="123">
        <v>197.76</v>
      </c>
      <c r="J112" s="123">
        <v>24782.240000000002</v>
      </c>
      <c r="K112" s="705"/>
    </row>
    <row r="113" spans="1:11" s="91" customFormat="1" x14ac:dyDescent="0.3">
      <c r="A113" s="798" t="s">
        <v>259</v>
      </c>
      <c r="B113" s="799"/>
      <c r="C113" s="799"/>
      <c r="D113" s="799"/>
      <c r="E113" s="799"/>
      <c r="F113" s="799"/>
      <c r="G113" s="800"/>
      <c r="H113" s="708">
        <f>H112</f>
        <v>24980</v>
      </c>
      <c r="I113" s="708">
        <f t="shared" ref="I113:J113" si="4">I112</f>
        <v>197.76</v>
      </c>
      <c r="J113" s="708">
        <f t="shared" si="4"/>
        <v>24782.240000000002</v>
      </c>
      <c r="K113" s="709"/>
    </row>
    <row r="114" spans="1:11" s="91" customFormat="1" x14ac:dyDescent="0.3">
      <c r="A114" s="801" t="s">
        <v>260</v>
      </c>
      <c r="B114" s="802"/>
      <c r="C114" s="802"/>
      <c r="D114" s="802"/>
      <c r="E114" s="802"/>
      <c r="F114" s="802"/>
      <c r="G114" s="802"/>
      <c r="H114" s="802"/>
      <c r="I114" s="802"/>
      <c r="J114" s="802"/>
      <c r="K114" s="803"/>
    </row>
    <row r="115" spans="1:11" s="91" customFormat="1" ht="52.8" x14ac:dyDescent="0.3">
      <c r="A115" s="98" t="s">
        <v>261</v>
      </c>
      <c r="B115" s="124" t="s">
        <v>262</v>
      </c>
      <c r="C115" s="120" t="s">
        <v>263</v>
      </c>
      <c r="D115" s="689">
        <v>44141</v>
      </c>
      <c r="E115" s="122">
        <v>5</v>
      </c>
      <c r="F115" s="120" t="s">
        <v>258</v>
      </c>
      <c r="G115" s="704" t="s">
        <v>22</v>
      </c>
      <c r="H115" s="123">
        <v>1280000</v>
      </c>
      <c r="I115" s="123">
        <v>506666.7</v>
      </c>
      <c r="J115" s="123">
        <v>773333.3</v>
      </c>
      <c r="K115" s="705"/>
    </row>
    <row r="116" spans="1:11" s="91" customFormat="1" ht="52.8" x14ac:dyDescent="0.3">
      <c r="A116" s="98" t="s">
        <v>261</v>
      </c>
      <c r="B116" s="124" t="s">
        <v>264</v>
      </c>
      <c r="C116" s="120" t="s">
        <v>265</v>
      </c>
      <c r="D116" s="689">
        <v>42720</v>
      </c>
      <c r="E116" s="122">
        <v>5</v>
      </c>
      <c r="F116" s="120" t="s">
        <v>258</v>
      </c>
      <c r="G116" s="704" t="s">
        <v>22</v>
      </c>
      <c r="H116" s="123">
        <v>52650</v>
      </c>
      <c r="I116" s="123">
        <v>50017.5</v>
      </c>
      <c r="J116" s="123">
        <v>2632.5</v>
      </c>
      <c r="K116" s="705"/>
    </row>
    <row r="117" spans="1:11" s="91" customFormat="1" ht="52.8" x14ac:dyDescent="0.3">
      <c r="A117" s="98" t="s">
        <v>261</v>
      </c>
      <c r="B117" s="124" t="s">
        <v>266</v>
      </c>
      <c r="C117" s="120" t="s">
        <v>267</v>
      </c>
      <c r="D117" s="689">
        <v>42720</v>
      </c>
      <c r="E117" s="122">
        <v>5</v>
      </c>
      <c r="F117" s="120" t="s">
        <v>258</v>
      </c>
      <c r="G117" s="704" t="s">
        <v>22</v>
      </c>
      <c r="H117" s="123">
        <v>52650</v>
      </c>
      <c r="I117" s="123">
        <v>50017.5</v>
      </c>
      <c r="J117" s="123">
        <v>2632.5</v>
      </c>
      <c r="K117" s="705"/>
    </row>
    <row r="118" spans="1:11" s="91" customFormat="1" ht="52.8" x14ac:dyDescent="0.3">
      <c r="A118" s="98" t="s">
        <v>261</v>
      </c>
      <c r="B118" s="124" t="s">
        <v>268</v>
      </c>
      <c r="C118" s="120" t="s">
        <v>269</v>
      </c>
      <c r="D118" s="689">
        <v>42720</v>
      </c>
      <c r="E118" s="122">
        <v>5</v>
      </c>
      <c r="F118" s="120" t="s">
        <v>258</v>
      </c>
      <c r="G118" s="704" t="s">
        <v>22</v>
      </c>
      <c r="H118" s="123">
        <v>52650</v>
      </c>
      <c r="I118" s="123">
        <v>50017.5</v>
      </c>
      <c r="J118" s="123">
        <v>2632.5</v>
      </c>
      <c r="K118" s="705"/>
    </row>
    <row r="119" spans="1:11" s="91" customFormat="1" ht="52.8" x14ac:dyDescent="0.3">
      <c r="A119" s="98" t="s">
        <v>261</v>
      </c>
      <c r="B119" s="124" t="s">
        <v>270</v>
      </c>
      <c r="C119" s="120" t="s">
        <v>271</v>
      </c>
      <c r="D119" s="689">
        <v>42720</v>
      </c>
      <c r="E119" s="122">
        <v>5</v>
      </c>
      <c r="F119" s="120" t="s">
        <v>258</v>
      </c>
      <c r="G119" s="704" t="s">
        <v>22</v>
      </c>
      <c r="H119" s="123">
        <v>52650</v>
      </c>
      <c r="I119" s="123">
        <v>50017.5</v>
      </c>
      <c r="J119" s="123">
        <v>2632.5</v>
      </c>
      <c r="K119" s="705"/>
    </row>
    <row r="120" spans="1:11" s="91" customFormat="1" ht="52.8" x14ac:dyDescent="0.3">
      <c r="A120" s="98" t="s">
        <v>261</v>
      </c>
      <c r="B120" s="124" t="s">
        <v>272</v>
      </c>
      <c r="C120" s="120" t="s">
        <v>273</v>
      </c>
      <c r="D120" s="689">
        <v>42720</v>
      </c>
      <c r="E120" s="122">
        <v>5</v>
      </c>
      <c r="F120" s="120" t="s">
        <v>258</v>
      </c>
      <c r="G120" s="704" t="s">
        <v>22</v>
      </c>
      <c r="H120" s="123">
        <v>52650</v>
      </c>
      <c r="I120" s="123">
        <v>50017.5</v>
      </c>
      <c r="J120" s="123">
        <v>2632.5</v>
      </c>
      <c r="K120" s="705"/>
    </row>
    <row r="121" spans="1:11" s="91" customFormat="1" ht="52.8" x14ac:dyDescent="0.3">
      <c r="A121" s="98" t="s">
        <v>261</v>
      </c>
      <c r="B121" s="124" t="s">
        <v>274</v>
      </c>
      <c r="C121" s="120" t="s">
        <v>275</v>
      </c>
      <c r="D121" s="689">
        <v>42720</v>
      </c>
      <c r="E121" s="122">
        <v>5</v>
      </c>
      <c r="F121" s="120" t="s">
        <v>258</v>
      </c>
      <c r="G121" s="704" t="s">
        <v>22</v>
      </c>
      <c r="H121" s="123">
        <v>52650</v>
      </c>
      <c r="I121" s="123">
        <v>50017.5</v>
      </c>
      <c r="J121" s="123">
        <v>2632.5</v>
      </c>
      <c r="K121" s="705"/>
    </row>
    <row r="122" spans="1:11" s="91" customFormat="1" ht="52.8" x14ac:dyDescent="0.3">
      <c r="A122" s="98" t="s">
        <v>261</v>
      </c>
      <c r="B122" s="124" t="s">
        <v>276</v>
      </c>
      <c r="C122" s="120" t="s">
        <v>277</v>
      </c>
      <c r="D122" s="689">
        <v>42720</v>
      </c>
      <c r="E122" s="122">
        <v>5</v>
      </c>
      <c r="F122" s="120" t="s">
        <v>258</v>
      </c>
      <c r="G122" s="704" t="s">
        <v>22</v>
      </c>
      <c r="H122" s="123">
        <v>52650</v>
      </c>
      <c r="I122" s="123">
        <v>50017.5</v>
      </c>
      <c r="J122" s="123">
        <v>2632.5</v>
      </c>
      <c r="K122" s="705"/>
    </row>
    <row r="123" spans="1:11" s="91" customFormat="1" ht="52.8" x14ac:dyDescent="0.3">
      <c r="A123" s="98" t="s">
        <v>261</v>
      </c>
      <c r="B123" s="124" t="s">
        <v>278</v>
      </c>
      <c r="C123" s="120" t="s">
        <v>279</v>
      </c>
      <c r="D123" s="689">
        <v>42720</v>
      </c>
      <c r="E123" s="122">
        <v>5</v>
      </c>
      <c r="F123" s="120" t="s">
        <v>258</v>
      </c>
      <c r="G123" s="704" t="s">
        <v>22</v>
      </c>
      <c r="H123" s="123">
        <v>52650</v>
      </c>
      <c r="I123" s="123">
        <v>50017.5</v>
      </c>
      <c r="J123" s="123">
        <v>2632.5</v>
      </c>
      <c r="K123" s="705"/>
    </row>
    <row r="124" spans="1:11" s="91" customFormat="1" ht="52.8" x14ac:dyDescent="0.3">
      <c r="A124" s="98" t="s">
        <v>261</v>
      </c>
      <c r="B124" s="124" t="s">
        <v>280</v>
      </c>
      <c r="C124" s="120" t="s">
        <v>281</v>
      </c>
      <c r="D124" s="689">
        <v>42720</v>
      </c>
      <c r="E124" s="122">
        <v>5</v>
      </c>
      <c r="F124" s="120" t="s">
        <v>258</v>
      </c>
      <c r="G124" s="704" t="s">
        <v>22</v>
      </c>
      <c r="H124" s="123">
        <v>52650</v>
      </c>
      <c r="I124" s="123">
        <v>50017.5</v>
      </c>
      <c r="J124" s="123">
        <v>2632.5</v>
      </c>
      <c r="K124" s="705"/>
    </row>
    <row r="125" spans="1:11" s="91" customFormat="1" ht="52.8" x14ac:dyDescent="0.3">
      <c r="A125" s="98" t="s">
        <v>261</v>
      </c>
      <c r="B125" s="124" t="s">
        <v>282</v>
      </c>
      <c r="C125" s="120" t="s">
        <v>283</v>
      </c>
      <c r="D125" s="689">
        <v>42720</v>
      </c>
      <c r="E125" s="122">
        <v>5</v>
      </c>
      <c r="F125" s="120" t="s">
        <v>258</v>
      </c>
      <c r="G125" s="704" t="s">
        <v>22</v>
      </c>
      <c r="H125" s="123">
        <v>52650</v>
      </c>
      <c r="I125" s="123">
        <v>50017.5</v>
      </c>
      <c r="J125" s="123">
        <v>2632.5</v>
      </c>
      <c r="K125" s="705"/>
    </row>
    <row r="126" spans="1:11" s="91" customFormat="1" ht="52.8" x14ac:dyDescent="0.3">
      <c r="A126" s="98" t="s">
        <v>261</v>
      </c>
      <c r="B126" s="124" t="s">
        <v>284</v>
      </c>
      <c r="C126" s="120" t="s">
        <v>285</v>
      </c>
      <c r="D126" s="689">
        <v>42720</v>
      </c>
      <c r="E126" s="122">
        <v>5</v>
      </c>
      <c r="F126" s="120" t="s">
        <v>258</v>
      </c>
      <c r="G126" s="704" t="s">
        <v>22</v>
      </c>
      <c r="H126" s="123">
        <v>52650</v>
      </c>
      <c r="I126" s="123">
        <v>50017.5</v>
      </c>
      <c r="J126" s="123">
        <v>2632.5</v>
      </c>
      <c r="K126" s="705"/>
    </row>
    <row r="127" spans="1:11" s="91" customFormat="1" ht="52.8" x14ac:dyDescent="0.3">
      <c r="A127" s="98" t="s">
        <v>261</v>
      </c>
      <c r="B127" s="124" t="s">
        <v>286</v>
      </c>
      <c r="C127" s="120" t="s">
        <v>287</v>
      </c>
      <c r="D127" s="689">
        <v>42720</v>
      </c>
      <c r="E127" s="122">
        <v>5</v>
      </c>
      <c r="F127" s="120" t="s">
        <v>258</v>
      </c>
      <c r="G127" s="704" t="s">
        <v>22</v>
      </c>
      <c r="H127" s="123">
        <v>52650</v>
      </c>
      <c r="I127" s="123">
        <v>50017.5</v>
      </c>
      <c r="J127" s="123">
        <v>2632.5</v>
      </c>
      <c r="K127" s="705"/>
    </row>
    <row r="128" spans="1:11" s="91" customFormat="1" ht="52.8" x14ac:dyDescent="0.3">
      <c r="A128" s="98" t="s">
        <v>261</v>
      </c>
      <c r="B128" s="124" t="s">
        <v>288</v>
      </c>
      <c r="C128" s="120" t="s">
        <v>289</v>
      </c>
      <c r="D128" s="689">
        <v>42720</v>
      </c>
      <c r="E128" s="122">
        <v>5</v>
      </c>
      <c r="F128" s="120" t="s">
        <v>258</v>
      </c>
      <c r="G128" s="704" t="s">
        <v>22</v>
      </c>
      <c r="H128" s="123">
        <v>52650</v>
      </c>
      <c r="I128" s="123">
        <v>50017.5</v>
      </c>
      <c r="J128" s="123">
        <v>2632.5</v>
      </c>
      <c r="K128" s="705"/>
    </row>
    <row r="129" spans="1:11" s="91" customFormat="1" ht="52.8" x14ac:dyDescent="0.3">
      <c r="A129" s="98" t="s">
        <v>261</v>
      </c>
      <c r="B129" s="124" t="s">
        <v>290</v>
      </c>
      <c r="C129" s="120" t="s">
        <v>291</v>
      </c>
      <c r="D129" s="689">
        <v>42720</v>
      </c>
      <c r="E129" s="122">
        <v>5</v>
      </c>
      <c r="F129" s="120" t="s">
        <v>258</v>
      </c>
      <c r="G129" s="704" t="s">
        <v>22</v>
      </c>
      <c r="H129" s="123">
        <v>52650</v>
      </c>
      <c r="I129" s="123">
        <v>50017.5</v>
      </c>
      <c r="J129" s="123">
        <v>2632.5</v>
      </c>
      <c r="K129" s="705"/>
    </row>
    <row r="130" spans="1:11" s="91" customFormat="1" ht="52.8" x14ac:dyDescent="0.3">
      <c r="A130" s="98" t="s">
        <v>261</v>
      </c>
      <c r="B130" s="124" t="s">
        <v>292</v>
      </c>
      <c r="C130" s="120" t="s">
        <v>293</v>
      </c>
      <c r="D130" s="689">
        <v>42720</v>
      </c>
      <c r="E130" s="122">
        <v>5</v>
      </c>
      <c r="F130" s="120" t="s">
        <v>258</v>
      </c>
      <c r="G130" s="704" t="s">
        <v>22</v>
      </c>
      <c r="H130" s="123">
        <v>52650</v>
      </c>
      <c r="I130" s="123">
        <v>50017.5</v>
      </c>
      <c r="J130" s="123">
        <v>2632.5</v>
      </c>
      <c r="K130" s="705"/>
    </row>
    <row r="131" spans="1:11" s="91" customFormat="1" ht="52.8" x14ac:dyDescent="0.3">
      <c r="A131" s="98" t="s">
        <v>261</v>
      </c>
      <c r="B131" s="124" t="s">
        <v>294</v>
      </c>
      <c r="C131" s="120" t="s">
        <v>295</v>
      </c>
      <c r="D131" s="689">
        <v>42720</v>
      </c>
      <c r="E131" s="122">
        <v>5</v>
      </c>
      <c r="F131" s="120" t="s">
        <v>258</v>
      </c>
      <c r="G131" s="704" t="s">
        <v>22</v>
      </c>
      <c r="H131" s="123">
        <v>52650</v>
      </c>
      <c r="I131" s="123">
        <v>50017.5</v>
      </c>
      <c r="J131" s="123">
        <v>2632.5</v>
      </c>
      <c r="K131" s="705"/>
    </row>
    <row r="132" spans="1:11" s="91" customFormat="1" ht="39.6" x14ac:dyDescent="0.3">
      <c r="A132" s="98" t="s">
        <v>261</v>
      </c>
      <c r="B132" s="124" t="s">
        <v>296</v>
      </c>
      <c r="C132" s="120" t="s">
        <v>297</v>
      </c>
      <c r="D132" s="689">
        <v>44798</v>
      </c>
      <c r="E132" s="122">
        <v>5</v>
      </c>
      <c r="F132" s="120" t="s">
        <v>258</v>
      </c>
      <c r="G132" s="704" t="s">
        <v>22</v>
      </c>
      <c r="H132" s="123">
        <v>47908</v>
      </c>
      <c r="I132" s="123">
        <v>758.54</v>
      </c>
      <c r="J132" s="123">
        <v>47149.46</v>
      </c>
      <c r="K132" s="705"/>
    </row>
    <row r="133" spans="1:11" s="91" customFormat="1" ht="39.6" x14ac:dyDescent="0.3">
      <c r="A133" s="98" t="s">
        <v>261</v>
      </c>
      <c r="B133" s="124" t="s">
        <v>298</v>
      </c>
      <c r="C133" s="120" t="s">
        <v>299</v>
      </c>
      <c r="D133" s="689">
        <v>44797</v>
      </c>
      <c r="E133" s="122">
        <v>5</v>
      </c>
      <c r="F133" s="120" t="s">
        <v>258</v>
      </c>
      <c r="G133" s="704" t="s">
        <v>22</v>
      </c>
      <c r="H133" s="123">
        <v>47908</v>
      </c>
      <c r="I133" s="123">
        <v>758.54</v>
      </c>
      <c r="J133" s="123">
        <v>47149.46</v>
      </c>
      <c r="K133" s="705"/>
    </row>
    <row r="134" spans="1:11" s="91" customFormat="1" ht="39.6" x14ac:dyDescent="0.3">
      <c r="A134" s="98" t="s">
        <v>261</v>
      </c>
      <c r="B134" s="124" t="s">
        <v>300</v>
      </c>
      <c r="C134" s="120" t="s">
        <v>301</v>
      </c>
      <c r="D134" s="689">
        <v>44800</v>
      </c>
      <c r="E134" s="122">
        <v>5</v>
      </c>
      <c r="F134" s="120" t="s">
        <v>258</v>
      </c>
      <c r="G134" s="704" t="s">
        <v>22</v>
      </c>
      <c r="H134" s="123">
        <v>47908</v>
      </c>
      <c r="I134" s="123">
        <v>758.54</v>
      </c>
      <c r="J134" s="123">
        <v>47149.46</v>
      </c>
      <c r="K134" s="705"/>
    </row>
    <row r="135" spans="1:11" s="91" customFormat="1" ht="39.6" x14ac:dyDescent="0.3">
      <c r="A135" s="98" t="s">
        <v>261</v>
      </c>
      <c r="B135" s="124" t="s">
        <v>302</v>
      </c>
      <c r="C135" s="120" t="s">
        <v>303</v>
      </c>
      <c r="D135" s="689">
        <v>44796</v>
      </c>
      <c r="E135" s="122">
        <v>5</v>
      </c>
      <c r="F135" s="120" t="s">
        <v>258</v>
      </c>
      <c r="G135" s="704" t="s">
        <v>22</v>
      </c>
      <c r="H135" s="123">
        <v>47908</v>
      </c>
      <c r="I135" s="123">
        <v>758.54</v>
      </c>
      <c r="J135" s="123">
        <v>47149.46</v>
      </c>
      <c r="K135" s="705"/>
    </row>
    <row r="136" spans="1:11" s="91" customFormat="1" ht="39.6" x14ac:dyDescent="0.3">
      <c r="A136" s="98" t="s">
        <v>261</v>
      </c>
      <c r="B136" s="124" t="s">
        <v>304</v>
      </c>
      <c r="C136" s="120" t="s">
        <v>305</v>
      </c>
      <c r="D136" s="689">
        <v>44799</v>
      </c>
      <c r="E136" s="122">
        <v>5</v>
      </c>
      <c r="F136" s="120" t="s">
        <v>258</v>
      </c>
      <c r="G136" s="704" t="s">
        <v>22</v>
      </c>
      <c r="H136" s="123">
        <v>47908</v>
      </c>
      <c r="I136" s="123">
        <v>758.54</v>
      </c>
      <c r="J136" s="123">
        <v>47149.46</v>
      </c>
      <c r="K136" s="705"/>
    </row>
    <row r="137" spans="1:11" s="91" customFormat="1" ht="26.4" x14ac:dyDescent="0.3">
      <c r="A137" s="98" t="s">
        <v>261</v>
      </c>
      <c r="B137" s="124" t="s">
        <v>306</v>
      </c>
      <c r="C137" s="120" t="s">
        <v>307</v>
      </c>
      <c r="D137" s="689">
        <v>44801</v>
      </c>
      <c r="E137" s="122">
        <v>5</v>
      </c>
      <c r="F137" s="120" t="s">
        <v>258</v>
      </c>
      <c r="G137" s="704" t="s">
        <v>22</v>
      </c>
      <c r="H137" s="123">
        <v>31270</v>
      </c>
      <c r="I137" s="123">
        <v>495.11</v>
      </c>
      <c r="J137" s="123">
        <v>30774.89</v>
      </c>
      <c r="K137" s="705"/>
    </row>
    <row r="138" spans="1:11" s="91" customFormat="1" ht="26.4" x14ac:dyDescent="0.3">
      <c r="A138" s="98" t="s">
        <v>261</v>
      </c>
      <c r="B138" s="124" t="s">
        <v>308</v>
      </c>
      <c r="C138" s="120" t="s">
        <v>309</v>
      </c>
      <c r="D138" s="689">
        <v>44783</v>
      </c>
      <c r="E138" s="122">
        <v>5</v>
      </c>
      <c r="F138" s="120" t="s">
        <v>258</v>
      </c>
      <c r="G138" s="704" t="s">
        <v>22</v>
      </c>
      <c r="H138" s="123">
        <v>78998</v>
      </c>
      <c r="I138" s="123">
        <v>2501.6</v>
      </c>
      <c r="J138" s="123">
        <v>76496.399999999994</v>
      </c>
      <c r="K138" s="705"/>
    </row>
    <row r="139" spans="1:11" s="91" customFormat="1" ht="26.4" x14ac:dyDescent="0.3">
      <c r="A139" s="98" t="s">
        <v>261</v>
      </c>
      <c r="B139" s="124" t="s">
        <v>310</v>
      </c>
      <c r="C139" s="120" t="s">
        <v>311</v>
      </c>
      <c r="D139" s="689">
        <v>44783</v>
      </c>
      <c r="E139" s="122">
        <v>5</v>
      </c>
      <c r="F139" s="120" t="s">
        <v>258</v>
      </c>
      <c r="G139" s="704" t="s">
        <v>22</v>
      </c>
      <c r="H139" s="123">
        <v>78998</v>
      </c>
      <c r="I139" s="123">
        <v>2501.6</v>
      </c>
      <c r="J139" s="123">
        <v>76496.399999999994</v>
      </c>
      <c r="K139" s="705"/>
    </row>
    <row r="140" spans="1:11" s="91" customFormat="1" ht="26.4" x14ac:dyDescent="0.3">
      <c r="A140" s="98" t="s">
        <v>261</v>
      </c>
      <c r="B140" s="124" t="s">
        <v>312</v>
      </c>
      <c r="C140" s="120" t="s">
        <v>313</v>
      </c>
      <c r="D140" s="689">
        <v>44783</v>
      </c>
      <c r="E140" s="122">
        <v>5</v>
      </c>
      <c r="F140" s="120" t="s">
        <v>258</v>
      </c>
      <c r="G140" s="704" t="s">
        <v>22</v>
      </c>
      <c r="H140" s="123">
        <v>78998</v>
      </c>
      <c r="I140" s="123">
        <v>2501.6</v>
      </c>
      <c r="J140" s="123">
        <v>76496.399999999994</v>
      </c>
      <c r="K140" s="705"/>
    </row>
    <row r="141" spans="1:11" s="91" customFormat="1" ht="26.4" x14ac:dyDescent="0.3">
      <c r="A141" s="98" t="s">
        <v>261</v>
      </c>
      <c r="B141" s="124" t="s">
        <v>314</v>
      </c>
      <c r="C141" s="120" t="s">
        <v>315</v>
      </c>
      <c r="D141" s="689">
        <v>44783</v>
      </c>
      <c r="E141" s="122">
        <v>5</v>
      </c>
      <c r="F141" s="120" t="s">
        <v>258</v>
      </c>
      <c r="G141" s="704" t="s">
        <v>22</v>
      </c>
      <c r="H141" s="123">
        <v>78998</v>
      </c>
      <c r="I141" s="123">
        <v>2501.6</v>
      </c>
      <c r="J141" s="123">
        <v>76496.399999999994</v>
      </c>
      <c r="K141" s="705"/>
    </row>
    <row r="142" spans="1:11" s="91" customFormat="1" ht="26.4" x14ac:dyDescent="0.3">
      <c r="A142" s="98" t="s">
        <v>261</v>
      </c>
      <c r="B142" s="124" t="s">
        <v>316</v>
      </c>
      <c r="C142" s="120" t="s">
        <v>317</v>
      </c>
      <c r="D142" s="689">
        <v>44783</v>
      </c>
      <c r="E142" s="122">
        <v>5</v>
      </c>
      <c r="F142" s="120" t="s">
        <v>258</v>
      </c>
      <c r="G142" s="704" t="s">
        <v>22</v>
      </c>
      <c r="H142" s="123">
        <v>78998</v>
      </c>
      <c r="I142" s="123">
        <v>2501.6</v>
      </c>
      <c r="J142" s="123">
        <v>76496.399999999994</v>
      </c>
      <c r="K142" s="705"/>
    </row>
    <row r="143" spans="1:11" s="91" customFormat="1" ht="26.4" x14ac:dyDescent="0.3">
      <c r="A143" s="98" t="s">
        <v>261</v>
      </c>
      <c r="B143" s="124" t="s">
        <v>318</v>
      </c>
      <c r="C143" s="120" t="s">
        <v>319</v>
      </c>
      <c r="D143" s="689">
        <v>44783</v>
      </c>
      <c r="E143" s="122">
        <v>5</v>
      </c>
      <c r="F143" s="120" t="s">
        <v>258</v>
      </c>
      <c r="G143" s="704" t="s">
        <v>22</v>
      </c>
      <c r="H143" s="123">
        <v>78998</v>
      </c>
      <c r="I143" s="123">
        <v>2501.6</v>
      </c>
      <c r="J143" s="123">
        <v>76496.399999999994</v>
      </c>
      <c r="K143" s="705"/>
    </row>
    <row r="144" spans="1:11" s="91" customFormat="1" ht="52.8" x14ac:dyDescent="0.3">
      <c r="A144" s="98" t="s">
        <v>261</v>
      </c>
      <c r="B144" s="124" t="s">
        <v>320</v>
      </c>
      <c r="C144" s="120" t="s">
        <v>321</v>
      </c>
      <c r="D144" s="689">
        <v>44795</v>
      </c>
      <c r="E144" s="122">
        <v>5</v>
      </c>
      <c r="F144" s="120" t="s">
        <v>258</v>
      </c>
      <c r="G144" s="704" t="s">
        <v>22</v>
      </c>
      <c r="H144" s="123">
        <v>98000</v>
      </c>
      <c r="I144" s="123">
        <v>1551.67</v>
      </c>
      <c r="J144" s="123">
        <v>96448.33</v>
      </c>
      <c r="K144" s="705"/>
    </row>
    <row r="145" spans="1:11" s="91" customFormat="1" ht="52.8" x14ac:dyDescent="0.3">
      <c r="A145" s="98" t="s">
        <v>261</v>
      </c>
      <c r="B145" s="124" t="s">
        <v>322</v>
      </c>
      <c r="C145" s="120" t="s">
        <v>323</v>
      </c>
      <c r="D145" s="689">
        <v>44795</v>
      </c>
      <c r="E145" s="122">
        <v>5</v>
      </c>
      <c r="F145" s="120" t="s">
        <v>258</v>
      </c>
      <c r="G145" s="704" t="s">
        <v>22</v>
      </c>
      <c r="H145" s="123">
        <v>98000</v>
      </c>
      <c r="I145" s="123">
        <v>1551.67</v>
      </c>
      <c r="J145" s="123">
        <v>96448.33</v>
      </c>
      <c r="K145" s="705"/>
    </row>
    <row r="146" spans="1:11" s="91" customFormat="1" ht="26.4" x14ac:dyDescent="0.3">
      <c r="A146" s="98" t="s">
        <v>261</v>
      </c>
      <c r="B146" s="124" t="s">
        <v>324</v>
      </c>
      <c r="C146" s="120" t="s">
        <v>325</v>
      </c>
      <c r="D146" s="689">
        <v>44792</v>
      </c>
      <c r="E146" s="122">
        <v>5</v>
      </c>
      <c r="F146" s="120" t="s">
        <v>258</v>
      </c>
      <c r="G146" s="704" t="s">
        <v>22</v>
      </c>
      <c r="H146" s="123">
        <v>83800</v>
      </c>
      <c r="I146" s="123">
        <v>2653.66</v>
      </c>
      <c r="J146" s="123">
        <v>81146.34</v>
      </c>
      <c r="K146" s="705"/>
    </row>
    <row r="147" spans="1:11" s="91" customFormat="1" ht="26.4" x14ac:dyDescent="0.3">
      <c r="A147" s="98" t="s">
        <v>261</v>
      </c>
      <c r="B147" s="124" t="s">
        <v>326</v>
      </c>
      <c r="C147" s="120" t="s">
        <v>327</v>
      </c>
      <c r="D147" s="689">
        <v>44792</v>
      </c>
      <c r="E147" s="122">
        <v>5</v>
      </c>
      <c r="F147" s="120" t="s">
        <v>258</v>
      </c>
      <c r="G147" s="704" t="s">
        <v>22</v>
      </c>
      <c r="H147" s="123">
        <v>83800</v>
      </c>
      <c r="I147" s="123">
        <v>2653.66</v>
      </c>
      <c r="J147" s="123">
        <v>81146.34</v>
      </c>
      <c r="K147" s="705"/>
    </row>
    <row r="148" spans="1:11" s="91" customFormat="1" ht="26.4" x14ac:dyDescent="0.3">
      <c r="A148" s="98" t="s">
        <v>261</v>
      </c>
      <c r="B148" s="124" t="s">
        <v>328</v>
      </c>
      <c r="C148" s="120" t="s">
        <v>329</v>
      </c>
      <c r="D148" s="689">
        <v>44792</v>
      </c>
      <c r="E148" s="122">
        <v>5</v>
      </c>
      <c r="F148" s="120" t="s">
        <v>258</v>
      </c>
      <c r="G148" s="704" t="s">
        <v>22</v>
      </c>
      <c r="H148" s="123">
        <v>83800</v>
      </c>
      <c r="I148" s="123">
        <v>2653.66</v>
      </c>
      <c r="J148" s="123">
        <v>81146.34</v>
      </c>
      <c r="K148" s="705"/>
    </row>
    <row r="149" spans="1:11" s="91" customFormat="1" ht="26.4" x14ac:dyDescent="0.3">
      <c r="A149" s="98" t="s">
        <v>261</v>
      </c>
      <c r="B149" s="124" t="s">
        <v>330</v>
      </c>
      <c r="C149" s="120" t="s">
        <v>331</v>
      </c>
      <c r="D149" s="689">
        <v>44792</v>
      </c>
      <c r="E149" s="122">
        <v>5</v>
      </c>
      <c r="F149" s="120" t="s">
        <v>258</v>
      </c>
      <c r="G149" s="704" t="s">
        <v>22</v>
      </c>
      <c r="H149" s="123">
        <v>83800</v>
      </c>
      <c r="I149" s="123">
        <v>2653.66</v>
      </c>
      <c r="J149" s="123">
        <v>81146.34</v>
      </c>
      <c r="K149" s="705"/>
    </row>
    <row r="150" spans="1:11" s="91" customFormat="1" ht="39.6" x14ac:dyDescent="0.3">
      <c r="A150" s="98" t="s">
        <v>261</v>
      </c>
      <c r="B150" s="124" t="s">
        <v>332</v>
      </c>
      <c r="C150" s="120" t="s">
        <v>333</v>
      </c>
      <c r="D150" s="689">
        <v>44783</v>
      </c>
      <c r="E150" s="122">
        <v>5</v>
      </c>
      <c r="F150" s="120" t="s">
        <v>258</v>
      </c>
      <c r="G150" s="704" t="s">
        <v>22</v>
      </c>
      <c r="H150" s="123">
        <v>36998</v>
      </c>
      <c r="I150" s="123">
        <v>1171.5999999999999</v>
      </c>
      <c r="J150" s="123">
        <v>35826.400000000001</v>
      </c>
      <c r="K150" s="705"/>
    </row>
    <row r="151" spans="1:11" s="91" customFormat="1" ht="39.6" x14ac:dyDescent="0.3">
      <c r="A151" s="98" t="s">
        <v>261</v>
      </c>
      <c r="B151" s="124" t="s">
        <v>334</v>
      </c>
      <c r="C151" s="120" t="s">
        <v>335</v>
      </c>
      <c r="D151" s="689">
        <v>44783</v>
      </c>
      <c r="E151" s="122">
        <v>5</v>
      </c>
      <c r="F151" s="120" t="s">
        <v>258</v>
      </c>
      <c r="G151" s="704" t="s">
        <v>22</v>
      </c>
      <c r="H151" s="123">
        <v>36998</v>
      </c>
      <c r="I151" s="123">
        <v>1171.5999999999999</v>
      </c>
      <c r="J151" s="123">
        <v>35826.400000000001</v>
      </c>
      <c r="K151" s="705"/>
    </row>
    <row r="152" spans="1:11" s="91" customFormat="1" ht="39.6" x14ac:dyDescent="0.3">
      <c r="A152" s="98" t="s">
        <v>261</v>
      </c>
      <c r="B152" s="124" t="s">
        <v>336</v>
      </c>
      <c r="C152" s="120" t="s">
        <v>337</v>
      </c>
      <c r="D152" s="689">
        <v>44783</v>
      </c>
      <c r="E152" s="122">
        <v>5</v>
      </c>
      <c r="F152" s="120" t="s">
        <v>258</v>
      </c>
      <c r="G152" s="704" t="s">
        <v>22</v>
      </c>
      <c r="H152" s="123">
        <v>36998</v>
      </c>
      <c r="I152" s="123">
        <v>1171.5999999999999</v>
      </c>
      <c r="J152" s="123">
        <v>35826.400000000001</v>
      </c>
      <c r="K152" s="705"/>
    </row>
    <row r="153" spans="1:11" s="91" customFormat="1" ht="39.6" x14ac:dyDescent="0.3">
      <c r="A153" s="98" t="s">
        <v>261</v>
      </c>
      <c r="B153" s="124" t="s">
        <v>338</v>
      </c>
      <c r="C153" s="120" t="s">
        <v>339</v>
      </c>
      <c r="D153" s="689">
        <v>44783</v>
      </c>
      <c r="E153" s="122">
        <v>5</v>
      </c>
      <c r="F153" s="120" t="s">
        <v>258</v>
      </c>
      <c r="G153" s="704" t="s">
        <v>22</v>
      </c>
      <c r="H153" s="123">
        <v>36998</v>
      </c>
      <c r="I153" s="123">
        <v>1171.5999999999999</v>
      </c>
      <c r="J153" s="123">
        <v>35826.400000000001</v>
      </c>
      <c r="K153" s="705"/>
    </row>
    <row r="154" spans="1:11" s="91" customFormat="1" ht="39.6" x14ac:dyDescent="0.3">
      <c r="A154" s="98" t="s">
        <v>261</v>
      </c>
      <c r="B154" s="124" t="s">
        <v>340</v>
      </c>
      <c r="C154" s="120" t="s">
        <v>341</v>
      </c>
      <c r="D154" s="689">
        <v>44783</v>
      </c>
      <c r="E154" s="122">
        <v>5</v>
      </c>
      <c r="F154" s="120" t="s">
        <v>258</v>
      </c>
      <c r="G154" s="704" t="s">
        <v>22</v>
      </c>
      <c r="H154" s="123">
        <v>36998</v>
      </c>
      <c r="I154" s="123">
        <v>1171.5999999999999</v>
      </c>
      <c r="J154" s="123">
        <v>35826.400000000001</v>
      </c>
      <c r="K154" s="705"/>
    </row>
    <row r="155" spans="1:11" s="91" customFormat="1" ht="39.6" x14ac:dyDescent="0.3">
      <c r="A155" s="98" t="s">
        <v>261</v>
      </c>
      <c r="B155" s="124" t="s">
        <v>342</v>
      </c>
      <c r="C155" s="120" t="s">
        <v>343</v>
      </c>
      <c r="D155" s="689">
        <v>44783</v>
      </c>
      <c r="E155" s="122">
        <v>5</v>
      </c>
      <c r="F155" s="120" t="s">
        <v>258</v>
      </c>
      <c r="G155" s="704" t="s">
        <v>22</v>
      </c>
      <c r="H155" s="123">
        <v>36998</v>
      </c>
      <c r="I155" s="123">
        <v>1171.5999999999999</v>
      </c>
      <c r="J155" s="123">
        <v>35826.400000000001</v>
      </c>
      <c r="K155" s="705"/>
    </row>
    <row r="156" spans="1:11" s="91" customFormat="1" ht="39.6" x14ac:dyDescent="0.3">
      <c r="A156" s="98" t="s">
        <v>261</v>
      </c>
      <c r="B156" s="124" t="s">
        <v>344</v>
      </c>
      <c r="C156" s="120" t="s">
        <v>345</v>
      </c>
      <c r="D156" s="689">
        <v>44783</v>
      </c>
      <c r="E156" s="122">
        <v>5</v>
      </c>
      <c r="F156" s="120" t="s">
        <v>258</v>
      </c>
      <c r="G156" s="704" t="s">
        <v>22</v>
      </c>
      <c r="H156" s="123">
        <v>36998</v>
      </c>
      <c r="I156" s="123">
        <v>1171.5999999999999</v>
      </c>
      <c r="J156" s="123">
        <v>35826.400000000001</v>
      </c>
      <c r="K156" s="705"/>
    </row>
    <row r="157" spans="1:11" s="91" customFormat="1" ht="39.6" x14ac:dyDescent="0.3">
      <c r="A157" s="98" t="s">
        <v>261</v>
      </c>
      <c r="B157" s="124" t="s">
        <v>346</v>
      </c>
      <c r="C157" s="120" t="s">
        <v>347</v>
      </c>
      <c r="D157" s="689">
        <v>44783</v>
      </c>
      <c r="E157" s="122">
        <v>5</v>
      </c>
      <c r="F157" s="120" t="s">
        <v>258</v>
      </c>
      <c r="G157" s="704" t="s">
        <v>22</v>
      </c>
      <c r="H157" s="123">
        <v>36998</v>
      </c>
      <c r="I157" s="123">
        <v>1171.5999999999999</v>
      </c>
      <c r="J157" s="123">
        <v>35826.400000000001</v>
      </c>
      <c r="K157" s="705"/>
    </row>
    <row r="158" spans="1:11" s="91" customFormat="1" ht="39.6" x14ac:dyDescent="0.3">
      <c r="A158" s="98" t="s">
        <v>261</v>
      </c>
      <c r="B158" s="124" t="s">
        <v>348</v>
      </c>
      <c r="C158" s="120" t="s">
        <v>349</v>
      </c>
      <c r="D158" s="689">
        <v>44783</v>
      </c>
      <c r="E158" s="122">
        <v>5</v>
      </c>
      <c r="F158" s="120" t="s">
        <v>258</v>
      </c>
      <c r="G158" s="704" t="s">
        <v>22</v>
      </c>
      <c r="H158" s="123">
        <v>36998</v>
      </c>
      <c r="I158" s="123">
        <v>1171.5999999999999</v>
      </c>
      <c r="J158" s="123">
        <v>35826.400000000001</v>
      </c>
      <c r="K158" s="705"/>
    </row>
    <row r="159" spans="1:11" s="91" customFormat="1" ht="39.6" x14ac:dyDescent="0.3">
      <c r="A159" s="98" t="s">
        <v>261</v>
      </c>
      <c r="B159" s="124" t="s">
        <v>350</v>
      </c>
      <c r="C159" s="120" t="s">
        <v>351</v>
      </c>
      <c r="D159" s="689">
        <v>44783</v>
      </c>
      <c r="E159" s="122">
        <v>5</v>
      </c>
      <c r="F159" s="120" t="s">
        <v>258</v>
      </c>
      <c r="G159" s="704" t="s">
        <v>22</v>
      </c>
      <c r="H159" s="123">
        <v>36998</v>
      </c>
      <c r="I159" s="123">
        <v>1171.5999999999999</v>
      </c>
      <c r="J159" s="123">
        <v>35826.400000000001</v>
      </c>
      <c r="K159" s="705"/>
    </row>
    <row r="160" spans="1:11" s="91" customFormat="1" ht="39.6" x14ac:dyDescent="0.3">
      <c r="A160" s="98" t="s">
        <v>261</v>
      </c>
      <c r="B160" s="124" t="s">
        <v>352</v>
      </c>
      <c r="C160" s="120" t="s">
        <v>353</v>
      </c>
      <c r="D160" s="689">
        <v>44783</v>
      </c>
      <c r="E160" s="122">
        <v>5</v>
      </c>
      <c r="F160" s="120" t="s">
        <v>258</v>
      </c>
      <c r="G160" s="704" t="s">
        <v>22</v>
      </c>
      <c r="H160" s="123">
        <v>36998</v>
      </c>
      <c r="I160" s="123">
        <v>1171.5999999999999</v>
      </c>
      <c r="J160" s="123">
        <v>35826.400000000001</v>
      </c>
      <c r="K160" s="705"/>
    </row>
    <row r="161" spans="1:11" s="91" customFormat="1" ht="39.6" x14ac:dyDescent="0.3">
      <c r="A161" s="98" t="s">
        <v>261</v>
      </c>
      <c r="B161" s="124" t="s">
        <v>354</v>
      </c>
      <c r="C161" s="120" t="s">
        <v>355</v>
      </c>
      <c r="D161" s="689">
        <v>44783</v>
      </c>
      <c r="E161" s="122">
        <v>5</v>
      </c>
      <c r="F161" s="120" t="s">
        <v>258</v>
      </c>
      <c r="G161" s="704" t="s">
        <v>22</v>
      </c>
      <c r="H161" s="123">
        <v>36998</v>
      </c>
      <c r="I161" s="123">
        <v>1171.5999999999999</v>
      </c>
      <c r="J161" s="123">
        <v>35826.400000000001</v>
      </c>
      <c r="K161" s="705"/>
    </row>
    <row r="162" spans="1:11" s="91" customFormat="1" ht="39.6" x14ac:dyDescent="0.3">
      <c r="A162" s="98" t="s">
        <v>261</v>
      </c>
      <c r="B162" s="124" t="s">
        <v>356</v>
      </c>
      <c r="C162" s="120" t="s">
        <v>357</v>
      </c>
      <c r="D162" s="689">
        <v>44783</v>
      </c>
      <c r="E162" s="122">
        <v>5</v>
      </c>
      <c r="F162" s="120" t="s">
        <v>258</v>
      </c>
      <c r="G162" s="704" t="s">
        <v>22</v>
      </c>
      <c r="H162" s="123">
        <v>36998</v>
      </c>
      <c r="I162" s="123">
        <v>1171.5999999999999</v>
      </c>
      <c r="J162" s="123">
        <v>35826.400000000001</v>
      </c>
      <c r="K162" s="705"/>
    </row>
    <row r="163" spans="1:11" s="91" customFormat="1" ht="39.6" x14ac:dyDescent="0.3">
      <c r="A163" s="98" t="s">
        <v>261</v>
      </c>
      <c r="B163" s="124" t="s">
        <v>358</v>
      </c>
      <c r="C163" s="120" t="s">
        <v>359</v>
      </c>
      <c r="D163" s="689">
        <v>44783</v>
      </c>
      <c r="E163" s="122">
        <v>5</v>
      </c>
      <c r="F163" s="120" t="s">
        <v>258</v>
      </c>
      <c r="G163" s="704" t="s">
        <v>22</v>
      </c>
      <c r="H163" s="123">
        <v>36998</v>
      </c>
      <c r="I163" s="123">
        <v>1171.5999999999999</v>
      </c>
      <c r="J163" s="123">
        <v>35826.400000000001</v>
      </c>
      <c r="K163" s="705"/>
    </row>
    <row r="164" spans="1:11" s="91" customFormat="1" ht="39.6" x14ac:dyDescent="0.3">
      <c r="A164" s="98" t="s">
        <v>261</v>
      </c>
      <c r="B164" s="124" t="s">
        <v>360</v>
      </c>
      <c r="C164" s="120" t="s">
        <v>361</v>
      </c>
      <c r="D164" s="689">
        <v>44783</v>
      </c>
      <c r="E164" s="122">
        <v>5</v>
      </c>
      <c r="F164" s="120" t="s">
        <v>258</v>
      </c>
      <c r="G164" s="704" t="s">
        <v>22</v>
      </c>
      <c r="H164" s="123">
        <v>36998</v>
      </c>
      <c r="I164" s="123">
        <v>1171.5999999999999</v>
      </c>
      <c r="J164" s="123">
        <v>35826.400000000001</v>
      </c>
      <c r="K164" s="705"/>
    </row>
    <row r="165" spans="1:11" s="91" customFormat="1" ht="39.6" x14ac:dyDescent="0.3">
      <c r="A165" s="98" t="s">
        <v>261</v>
      </c>
      <c r="B165" s="124" t="s">
        <v>362</v>
      </c>
      <c r="C165" s="120" t="s">
        <v>363</v>
      </c>
      <c r="D165" s="689">
        <v>44783</v>
      </c>
      <c r="E165" s="122">
        <v>5</v>
      </c>
      <c r="F165" s="120" t="s">
        <v>258</v>
      </c>
      <c r="G165" s="704" t="s">
        <v>22</v>
      </c>
      <c r="H165" s="123">
        <v>36998</v>
      </c>
      <c r="I165" s="123">
        <v>1171.5999999999999</v>
      </c>
      <c r="J165" s="123">
        <v>35826.400000000001</v>
      </c>
      <c r="K165" s="705"/>
    </row>
    <row r="166" spans="1:11" s="91" customFormat="1" ht="39.6" x14ac:dyDescent="0.3">
      <c r="A166" s="98" t="s">
        <v>261</v>
      </c>
      <c r="B166" s="124" t="s">
        <v>364</v>
      </c>
      <c r="C166" s="120" t="s">
        <v>365</v>
      </c>
      <c r="D166" s="689">
        <v>44783</v>
      </c>
      <c r="E166" s="122">
        <v>5</v>
      </c>
      <c r="F166" s="120" t="s">
        <v>258</v>
      </c>
      <c r="G166" s="704" t="s">
        <v>22</v>
      </c>
      <c r="H166" s="123">
        <v>36998</v>
      </c>
      <c r="I166" s="123">
        <v>1171.5999999999999</v>
      </c>
      <c r="J166" s="123">
        <v>35826.400000000001</v>
      </c>
      <c r="K166" s="705"/>
    </row>
    <row r="167" spans="1:11" s="91" customFormat="1" ht="39.6" x14ac:dyDescent="0.3">
      <c r="A167" s="98" t="s">
        <v>261</v>
      </c>
      <c r="B167" s="124" t="s">
        <v>366</v>
      </c>
      <c r="C167" s="120" t="s">
        <v>367</v>
      </c>
      <c r="D167" s="689">
        <v>44783</v>
      </c>
      <c r="E167" s="122">
        <v>5</v>
      </c>
      <c r="F167" s="120" t="s">
        <v>258</v>
      </c>
      <c r="G167" s="704" t="s">
        <v>22</v>
      </c>
      <c r="H167" s="123">
        <v>36998</v>
      </c>
      <c r="I167" s="123">
        <v>1171.5999999999999</v>
      </c>
      <c r="J167" s="123">
        <v>35826.400000000001</v>
      </c>
      <c r="K167" s="705"/>
    </row>
    <row r="168" spans="1:11" s="91" customFormat="1" ht="39.6" x14ac:dyDescent="0.3">
      <c r="A168" s="98" t="s">
        <v>261</v>
      </c>
      <c r="B168" s="124" t="s">
        <v>368</v>
      </c>
      <c r="C168" s="120" t="s">
        <v>369</v>
      </c>
      <c r="D168" s="689">
        <v>44783</v>
      </c>
      <c r="E168" s="122">
        <v>5</v>
      </c>
      <c r="F168" s="120" t="s">
        <v>258</v>
      </c>
      <c r="G168" s="704" t="s">
        <v>22</v>
      </c>
      <c r="H168" s="123">
        <v>36998</v>
      </c>
      <c r="I168" s="123">
        <v>1171.5999999999999</v>
      </c>
      <c r="J168" s="123">
        <v>35826.400000000001</v>
      </c>
      <c r="K168" s="705"/>
    </row>
    <row r="169" spans="1:11" s="91" customFormat="1" ht="39.6" x14ac:dyDescent="0.3">
      <c r="A169" s="98" t="s">
        <v>261</v>
      </c>
      <c r="B169" s="124" t="s">
        <v>370</v>
      </c>
      <c r="C169" s="120" t="s">
        <v>371</v>
      </c>
      <c r="D169" s="689">
        <v>44783</v>
      </c>
      <c r="E169" s="122">
        <v>5</v>
      </c>
      <c r="F169" s="120" t="s">
        <v>258</v>
      </c>
      <c r="G169" s="704" t="s">
        <v>22</v>
      </c>
      <c r="H169" s="123">
        <v>36998</v>
      </c>
      <c r="I169" s="123">
        <v>1171.5999999999999</v>
      </c>
      <c r="J169" s="123">
        <v>35826.400000000001</v>
      </c>
      <c r="K169" s="705"/>
    </row>
    <row r="170" spans="1:11" s="91" customFormat="1" ht="39.6" x14ac:dyDescent="0.3">
      <c r="A170" s="98" t="s">
        <v>261</v>
      </c>
      <c r="B170" s="124" t="s">
        <v>372</v>
      </c>
      <c r="C170" s="120" t="s">
        <v>373</v>
      </c>
      <c r="D170" s="689">
        <v>44783</v>
      </c>
      <c r="E170" s="122">
        <v>5</v>
      </c>
      <c r="F170" s="120" t="s">
        <v>258</v>
      </c>
      <c r="G170" s="704" t="s">
        <v>22</v>
      </c>
      <c r="H170" s="123">
        <v>36998</v>
      </c>
      <c r="I170" s="123">
        <v>1171.5999999999999</v>
      </c>
      <c r="J170" s="123">
        <v>35826.400000000001</v>
      </c>
      <c r="K170" s="705"/>
    </row>
    <row r="171" spans="1:11" s="91" customFormat="1" ht="39.6" x14ac:dyDescent="0.3">
      <c r="A171" s="98" t="s">
        <v>261</v>
      </c>
      <c r="B171" s="124" t="s">
        <v>374</v>
      </c>
      <c r="C171" s="120" t="s">
        <v>375</v>
      </c>
      <c r="D171" s="689">
        <v>44783</v>
      </c>
      <c r="E171" s="122">
        <v>5</v>
      </c>
      <c r="F171" s="120" t="s">
        <v>258</v>
      </c>
      <c r="G171" s="704" t="s">
        <v>22</v>
      </c>
      <c r="H171" s="123">
        <v>36998</v>
      </c>
      <c r="I171" s="123">
        <v>1171.5999999999999</v>
      </c>
      <c r="J171" s="123">
        <v>35826.400000000001</v>
      </c>
      <c r="K171" s="705"/>
    </row>
    <row r="172" spans="1:11" s="91" customFormat="1" ht="39.6" x14ac:dyDescent="0.3">
      <c r="A172" s="98" t="s">
        <v>261</v>
      </c>
      <c r="B172" s="124" t="s">
        <v>376</v>
      </c>
      <c r="C172" s="120" t="s">
        <v>377</v>
      </c>
      <c r="D172" s="689">
        <v>44783</v>
      </c>
      <c r="E172" s="122">
        <v>5</v>
      </c>
      <c r="F172" s="120" t="s">
        <v>258</v>
      </c>
      <c r="G172" s="704" t="s">
        <v>22</v>
      </c>
      <c r="H172" s="123">
        <v>36998</v>
      </c>
      <c r="I172" s="123">
        <v>1171.5999999999999</v>
      </c>
      <c r="J172" s="123">
        <v>35826.400000000001</v>
      </c>
      <c r="K172" s="705"/>
    </row>
    <row r="173" spans="1:11" s="91" customFormat="1" ht="39.6" x14ac:dyDescent="0.3">
      <c r="A173" s="98" t="s">
        <v>261</v>
      </c>
      <c r="B173" s="124" t="s">
        <v>378</v>
      </c>
      <c r="C173" s="120" t="s">
        <v>379</v>
      </c>
      <c r="D173" s="689">
        <v>44783</v>
      </c>
      <c r="E173" s="122">
        <v>5</v>
      </c>
      <c r="F173" s="120" t="s">
        <v>258</v>
      </c>
      <c r="G173" s="704" t="s">
        <v>22</v>
      </c>
      <c r="H173" s="123">
        <v>36998</v>
      </c>
      <c r="I173" s="123">
        <v>1171.5999999999999</v>
      </c>
      <c r="J173" s="123">
        <v>35826.400000000001</v>
      </c>
      <c r="K173" s="705"/>
    </row>
    <row r="174" spans="1:11" s="91" customFormat="1" ht="39.6" x14ac:dyDescent="0.3">
      <c r="A174" s="98" t="s">
        <v>261</v>
      </c>
      <c r="B174" s="124" t="s">
        <v>380</v>
      </c>
      <c r="C174" s="120" t="s">
        <v>381</v>
      </c>
      <c r="D174" s="689">
        <v>44783</v>
      </c>
      <c r="E174" s="122">
        <v>5</v>
      </c>
      <c r="F174" s="120" t="s">
        <v>258</v>
      </c>
      <c r="G174" s="704" t="s">
        <v>22</v>
      </c>
      <c r="H174" s="123">
        <v>36998</v>
      </c>
      <c r="I174" s="123">
        <v>1171.5999999999999</v>
      </c>
      <c r="J174" s="123">
        <v>35826.400000000001</v>
      </c>
      <c r="K174" s="705"/>
    </row>
    <row r="175" spans="1:11" s="91" customFormat="1" ht="39.6" x14ac:dyDescent="0.3">
      <c r="A175" s="98" t="s">
        <v>261</v>
      </c>
      <c r="B175" s="124" t="s">
        <v>382</v>
      </c>
      <c r="C175" s="120" t="s">
        <v>383</v>
      </c>
      <c r="D175" s="689">
        <v>44783</v>
      </c>
      <c r="E175" s="122">
        <v>5</v>
      </c>
      <c r="F175" s="120" t="s">
        <v>258</v>
      </c>
      <c r="G175" s="704" t="s">
        <v>22</v>
      </c>
      <c r="H175" s="123">
        <v>36998</v>
      </c>
      <c r="I175" s="123">
        <v>1171.5999999999999</v>
      </c>
      <c r="J175" s="123">
        <v>35826.400000000001</v>
      </c>
      <c r="K175" s="705"/>
    </row>
    <row r="176" spans="1:11" s="91" customFormat="1" ht="39.6" x14ac:dyDescent="0.3">
      <c r="A176" s="98" t="s">
        <v>261</v>
      </c>
      <c r="B176" s="124" t="s">
        <v>384</v>
      </c>
      <c r="C176" s="120" t="s">
        <v>385</v>
      </c>
      <c r="D176" s="689">
        <v>44783</v>
      </c>
      <c r="E176" s="122">
        <v>5</v>
      </c>
      <c r="F176" s="120" t="s">
        <v>258</v>
      </c>
      <c r="G176" s="704" t="s">
        <v>22</v>
      </c>
      <c r="H176" s="123">
        <v>36998</v>
      </c>
      <c r="I176" s="123">
        <v>1171.5999999999999</v>
      </c>
      <c r="J176" s="123">
        <v>35826.400000000001</v>
      </c>
      <c r="K176" s="705"/>
    </row>
    <row r="177" spans="1:11" s="91" customFormat="1" ht="39.6" x14ac:dyDescent="0.3">
      <c r="A177" s="98" t="s">
        <v>261</v>
      </c>
      <c r="B177" s="124" t="s">
        <v>386</v>
      </c>
      <c r="C177" s="120" t="s">
        <v>387</v>
      </c>
      <c r="D177" s="689">
        <v>44783</v>
      </c>
      <c r="E177" s="122">
        <v>5</v>
      </c>
      <c r="F177" s="120" t="s">
        <v>258</v>
      </c>
      <c r="G177" s="704" t="s">
        <v>22</v>
      </c>
      <c r="H177" s="123">
        <v>36998</v>
      </c>
      <c r="I177" s="123">
        <v>1171.5999999999999</v>
      </c>
      <c r="J177" s="123">
        <v>35826.400000000001</v>
      </c>
      <c r="K177" s="705"/>
    </row>
    <row r="178" spans="1:11" s="91" customFormat="1" ht="26.4" x14ac:dyDescent="0.3">
      <c r="A178" s="98" t="s">
        <v>261</v>
      </c>
      <c r="B178" s="124" t="s">
        <v>388</v>
      </c>
      <c r="C178" s="120" t="s">
        <v>389</v>
      </c>
      <c r="D178" s="689">
        <v>44783</v>
      </c>
      <c r="E178" s="122">
        <v>5</v>
      </c>
      <c r="F178" s="120" t="s">
        <v>258</v>
      </c>
      <c r="G178" s="704" t="s">
        <v>22</v>
      </c>
      <c r="H178" s="123">
        <v>44298</v>
      </c>
      <c r="I178" s="123">
        <v>1402.78</v>
      </c>
      <c r="J178" s="123">
        <v>42895.22</v>
      </c>
      <c r="K178" s="705"/>
    </row>
    <row r="179" spans="1:11" s="91" customFormat="1" ht="26.4" x14ac:dyDescent="0.3">
      <c r="A179" s="98" t="s">
        <v>261</v>
      </c>
      <c r="B179" s="124" t="s">
        <v>390</v>
      </c>
      <c r="C179" s="120" t="s">
        <v>391</v>
      </c>
      <c r="D179" s="689">
        <v>44783</v>
      </c>
      <c r="E179" s="122">
        <v>5</v>
      </c>
      <c r="F179" s="120" t="s">
        <v>258</v>
      </c>
      <c r="G179" s="704" t="s">
        <v>22</v>
      </c>
      <c r="H179" s="123">
        <v>44298</v>
      </c>
      <c r="I179" s="123">
        <v>1402.78</v>
      </c>
      <c r="J179" s="123">
        <v>42895.22</v>
      </c>
      <c r="K179" s="705"/>
    </row>
    <row r="180" spans="1:11" s="91" customFormat="1" ht="26.4" x14ac:dyDescent="0.3">
      <c r="A180" s="98" t="s">
        <v>261</v>
      </c>
      <c r="B180" s="124" t="s">
        <v>392</v>
      </c>
      <c r="C180" s="120" t="s">
        <v>393</v>
      </c>
      <c r="D180" s="689">
        <v>44783</v>
      </c>
      <c r="E180" s="122">
        <v>5</v>
      </c>
      <c r="F180" s="120" t="s">
        <v>258</v>
      </c>
      <c r="G180" s="704" t="s">
        <v>22</v>
      </c>
      <c r="H180" s="123">
        <v>44298</v>
      </c>
      <c r="I180" s="123">
        <v>1402.78</v>
      </c>
      <c r="J180" s="123">
        <v>42895.22</v>
      </c>
      <c r="K180" s="705"/>
    </row>
    <row r="181" spans="1:11" s="91" customFormat="1" x14ac:dyDescent="0.3">
      <c r="A181" s="798" t="s">
        <v>394</v>
      </c>
      <c r="B181" s="799"/>
      <c r="C181" s="799"/>
      <c r="D181" s="799"/>
      <c r="E181" s="799"/>
      <c r="F181" s="799"/>
      <c r="G181" s="800"/>
      <c r="H181" s="708">
        <f>SUM(H115:H180)</f>
        <v>4567236</v>
      </c>
      <c r="I181" s="708">
        <f t="shared" ref="I181:J181" si="5">SUM(I115:I180)</f>
        <v>1376975.230000003</v>
      </c>
      <c r="J181" s="708">
        <f t="shared" si="5"/>
        <v>3190260.7699999977</v>
      </c>
      <c r="K181" s="709"/>
    </row>
    <row r="182" spans="1:11" s="91" customFormat="1" x14ac:dyDescent="0.3">
      <c r="A182" s="801" t="s">
        <v>395</v>
      </c>
      <c r="B182" s="802"/>
      <c r="C182" s="802"/>
      <c r="D182" s="802"/>
      <c r="E182" s="802"/>
      <c r="F182" s="802"/>
      <c r="G182" s="802"/>
      <c r="H182" s="802"/>
      <c r="I182" s="802"/>
      <c r="J182" s="802"/>
      <c r="K182" s="803"/>
    </row>
    <row r="183" spans="1:11" s="91" customFormat="1" ht="39.6" x14ac:dyDescent="0.3">
      <c r="A183" s="98" t="s">
        <v>396</v>
      </c>
      <c r="B183" s="124" t="s">
        <v>397</v>
      </c>
      <c r="C183" s="120" t="s">
        <v>398</v>
      </c>
      <c r="D183" s="689">
        <v>44109</v>
      </c>
      <c r="E183" s="122">
        <v>5</v>
      </c>
      <c r="F183" s="120" t="s">
        <v>258</v>
      </c>
      <c r="G183" s="704" t="s">
        <v>22</v>
      </c>
      <c r="H183" s="123">
        <v>98696</v>
      </c>
      <c r="I183" s="123">
        <v>40629.89</v>
      </c>
      <c r="J183" s="123">
        <v>58066.11</v>
      </c>
      <c r="K183" s="705"/>
    </row>
    <row r="184" spans="1:11" s="91" customFormat="1" ht="39.6" x14ac:dyDescent="0.3">
      <c r="A184" s="98" t="s">
        <v>396</v>
      </c>
      <c r="B184" s="124" t="s">
        <v>399</v>
      </c>
      <c r="C184" s="120" t="s">
        <v>400</v>
      </c>
      <c r="D184" s="689">
        <v>44109</v>
      </c>
      <c r="E184" s="122">
        <v>5</v>
      </c>
      <c r="F184" s="120" t="s">
        <v>258</v>
      </c>
      <c r="G184" s="704" t="s">
        <v>22</v>
      </c>
      <c r="H184" s="123">
        <v>98696</v>
      </c>
      <c r="I184" s="123">
        <v>40629.89</v>
      </c>
      <c r="J184" s="123">
        <v>58066.11</v>
      </c>
      <c r="K184" s="705"/>
    </row>
    <row r="185" spans="1:11" s="91" customFormat="1" ht="39.6" x14ac:dyDescent="0.3">
      <c r="A185" s="98" t="s">
        <v>396</v>
      </c>
      <c r="B185" s="124" t="s">
        <v>401</v>
      </c>
      <c r="C185" s="120" t="s">
        <v>402</v>
      </c>
      <c r="D185" s="689">
        <v>44109</v>
      </c>
      <c r="E185" s="122">
        <v>5</v>
      </c>
      <c r="F185" s="120" t="s">
        <v>258</v>
      </c>
      <c r="G185" s="704" t="s">
        <v>22</v>
      </c>
      <c r="H185" s="123">
        <v>98696</v>
      </c>
      <c r="I185" s="123">
        <v>40629.89</v>
      </c>
      <c r="J185" s="123">
        <v>58066.11</v>
      </c>
      <c r="K185" s="705"/>
    </row>
    <row r="186" spans="1:11" s="91" customFormat="1" ht="39.6" x14ac:dyDescent="0.3">
      <c r="A186" s="98" t="s">
        <v>396</v>
      </c>
      <c r="B186" s="124" t="s">
        <v>403</v>
      </c>
      <c r="C186" s="120" t="s">
        <v>404</v>
      </c>
      <c r="D186" s="689">
        <v>44109</v>
      </c>
      <c r="E186" s="122">
        <v>5</v>
      </c>
      <c r="F186" s="120" t="s">
        <v>258</v>
      </c>
      <c r="G186" s="704" t="s">
        <v>22</v>
      </c>
      <c r="H186" s="123">
        <v>98696</v>
      </c>
      <c r="I186" s="123">
        <v>40629.89</v>
      </c>
      <c r="J186" s="123">
        <v>58066.11</v>
      </c>
      <c r="K186" s="705"/>
    </row>
    <row r="187" spans="1:11" s="91" customFormat="1" ht="66" x14ac:dyDescent="0.3">
      <c r="A187" s="98" t="s">
        <v>396</v>
      </c>
      <c r="B187" s="124" t="s">
        <v>405</v>
      </c>
      <c r="C187" s="120" t="s">
        <v>406</v>
      </c>
      <c r="D187" s="689">
        <v>44109</v>
      </c>
      <c r="E187" s="122">
        <v>5</v>
      </c>
      <c r="F187" s="120" t="s">
        <v>258</v>
      </c>
      <c r="G187" s="704" t="s">
        <v>22</v>
      </c>
      <c r="H187" s="123">
        <v>98696</v>
      </c>
      <c r="I187" s="123">
        <v>40629.89</v>
      </c>
      <c r="J187" s="123">
        <v>58066.11</v>
      </c>
      <c r="K187" s="705"/>
    </row>
    <row r="188" spans="1:11" s="91" customFormat="1" ht="52.8" x14ac:dyDescent="0.3">
      <c r="A188" s="98" t="s">
        <v>396</v>
      </c>
      <c r="B188" s="124" t="s">
        <v>407</v>
      </c>
      <c r="C188" s="120" t="s">
        <v>408</v>
      </c>
      <c r="D188" s="689">
        <v>44427</v>
      </c>
      <c r="E188" s="122">
        <v>5</v>
      </c>
      <c r="F188" s="120" t="s">
        <v>258</v>
      </c>
      <c r="G188" s="704" t="s">
        <v>22</v>
      </c>
      <c r="H188" s="123">
        <v>217000</v>
      </c>
      <c r="I188" s="123">
        <v>51537.46</v>
      </c>
      <c r="J188" s="123">
        <v>165462.54</v>
      </c>
      <c r="K188" s="705"/>
    </row>
    <row r="189" spans="1:11" s="91" customFormat="1" ht="52.8" x14ac:dyDescent="0.3">
      <c r="A189" s="98" t="s">
        <v>396</v>
      </c>
      <c r="B189" s="124" t="s">
        <v>409</v>
      </c>
      <c r="C189" s="120" t="s">
        <v>410</v>
      </c>
      <c r="D189" s="689">
        <v>44427</v>
      </c>
      <c r="E189" s="122">
        <v>5</v>
      </c>
      <c r="F189" s="120" t="s">
        <v>258</v>
      </c>
      <c r="G189" s="704" t="s">
        <v>22</v>
      </c>
      <c r="H189" s="123">
        <v>217000</v>
      </c>
      <c r="I189" s="123">
        <v>51537.46</v>
      </c>
      <c r="J189" s="123">
        <v>165462.54</v>
      </c>
      <c r="K189" s="705"/>
    </row>
    <row r="190" spans="1:11" s="91" customFormat="1" ht="52.8" x14ac:dyDescent="0.3">
      <c r="A190" s="98" t="s">
        <v>396</v>
      </c>
      <c r="B190" s="124" t="s">
        <v>411</v>
      </c>
      <c r="C190" s="120" t="s">
        <v>412</v>
      </c>
      <c r="D190" s="689">
        <v>44558</v>
      </c>
      <c r="E190" s="122">
        <v>5</v>
      </c>
      <c r="F190" s="120" t="s">
        <v>258</v>
      </c>
      <c r="G190" s="704" t="s">
        <v>22</v>
      </c>
      <c r="H190" s="123">
        <v>94246</v>
      </c>
      <c r="I190" s="123">
        <v>16414.53</v>
      </c>
      <c r="J190" s="123">
        <v>77831.47</v>
      </c>
      <c r="K190" s="705" t="s">
        <v>68</v>
      </c>
    </row>
    <row r="191" spans="1:11" s="91" customFormat="1" ht="52.8" x14ac:dyDescent="0.3">
      <c r="A191" s="98" t="s">
        <v>396</v>
      </c>
      <c r="B191" s="124" t="s">
        <v>413</v>
      </c>
      <c r="C191" s="120" t="s">
        <v>414</v>
      </c>
      <c r="D191" s="689">
        <v>44558</v>
      </c>
      <c r="E191" s="122">
        <v>5</v>
      </c>
      <c r="F191" s="120" t="s">
        <v>258</v>
      </c>
      <c r="G191" s="704" t="s">
        <v>22</v>
      </c>
      <c r="H191" s="123">
        <v>94246</v>
      </c>
      <c r="I191" s="123">
        <v>16414.53</v>
      </c>
      <c r="J191" s="123">
        <v>77831.47</v>
      </c>
      <c r="K191" s="705" t="s">
        <v>68</v>
      </c>
    </row>
    <row r="192" spans="1:11" s="91" customFormat="1" ht="52.8" x14ac:dyDescent="0.3">
      <c r="A192" s="98" t="s">
        <v>396</v>
      </c>
      <c r="B192" s="124" t="s">
        <v>415</v>
      </c>
      <c r="C192" s="120" t="s">
        <v>416</v>
      </c>
      <c r="D192" s="689">
        <v>44558</v>
      </c>
      <c r="E192" s="122">
        <v>5</v>
      </c>
      <c r="F192" s="120" t="s">
        <v>258</v>
      </c>
      <c r="G192" s="704" t="s">
        <v>22</v>
      </c>
      <c r="H192" s="123">
        <v>94246</v>
      </c>
      <c r="I192" s="123">
        <v>16414.53</v>
      </c>
      <c r="J192" s="123">
        <v>77831.47</v>
      </c>
      <c r="K192" s="705" t="s">
        <v>68</v>
      </c>
    </row>
    <row r="193" spans="1:11" s="91" customFormat="1" ht="52.8" x14ac:dyDescent="0.3">
      <c r="A193" s="98" t="s">
        <v>396</v>
      </c>
      <c r="B193" s="124" t="s">
        <v>417</v>
      </c>
      <c r="C193" s="120" t="s">
        <v>418</v>
      </c>
      <c r="D193" s="689">
        <v>44558</v>
      </c>
      <c r="E193" s="122">
        <v>5</v>
      </c>
      <c r="F193" s="120" t="s">
        <v>258</v>
      </c>
      <c r="G193" s="704" t="s">
        <v>22</v>
      </c>
      <c r="H193" s="123">
        <v>94246</v>
      </c>
      <c r="I193" s="123">
        <v>16414.53</v>
      </c>
      <c r="J193" s="123">
        <v>77831.47</v>
      </c>
      <c r="K193" s="705" t="s">
        <v>68</v>
      </c>
    </row>
    <row r="194" spans="1:11" s="91" customFormat="1" ht="52.8" x14ac:dyDescent="0.3">
      <c r="A194" s="98" t="s">
        <v>396</v>
      </c>
      <c r="B194" s="124" t="s">
        <v>419</v>
      </c>
      <c r="C194" s="120" t="s">
        <v>420</v>
      </c>
      <c r="D194" s="689">
        <v>44558</v>
      </c>
      <c r="E194" s="122">
        <v>5</v>
      </c>
      <c r="F194" s="120" t="s">
        <v>258</v>
      </c>
      <c r="G194" s="704" t="s">
        <v>22</v>
      </c>
      <c r="H194" s="123">
        <v>94246</v>
      </c>
      <c r="I194" s="123">
        <v>16414.53</v>
      </c>
      <c r="J194" s="123">
        <v>77831.47</v>
      </c>
      <c r="K194" s="705" t="s">
        <v>68</v>
      </c>
    </row>
    <row r="195" spans="1:11" s="91" customFormat="1" ht="52.8" x14ac:dyDescent="0.3">
      <c r="A195" s="98" t="s">
        <v>396</v>
      </c>
      <c r="B195" s="124" t="s">
        <v>421</v>
      </c>
      <c r="C195" s="120" t="s">
        <v>422</v>
      </c>
      <c r="D195" s="689">
        <v>44558</v>
      </c>
      <c r="E195" s="122">
        <v>5</v>
      </c>
      <c r="F195" s="120" t="s">
        <v>258</v>
      </c>
      <c r="G195" s="704" t="s">
        <v>22</v>
      </c>
      <c r="H195" s="123">
        <v>94246</v>
      </c>
      <c r="I195" s="123">
        <v>16414.53</v>
      </c>
      <c r="J195" s="123">
        <v>77831.47</v>
      </c>
      <c r="K195" s="705" t="s">
        <v>68</v>
      </c>
    </row>
    <row r="196" spans="1:11" s="91" customFormat="1" ht="52.8" x14ac:dyDescent="0.3">
      <c r="A196" s="98" t="s">
        <v>396</v>
      </c>
      <c r="B196" s="124" t="s">
        <v>423</v>
      </c>
      <c r="C196" s="120" t="s">
        <v>424</v>
      </c>
      <c r="D196" s="689">
        <v>44558</v>
      </c>
      <c r="E196" s="122">
        <v>5</v>
      </c>
      <c r="F196" s="120" t="s">
        <v>258</v>
      </c>
      <c r="G196" s="704" t="s">
        <v>22</v>
      </c>
      <c r="H196" s="123">
        <v>94246</v>
      </c>
      <c r="I196" s="123">
        <v>16414.53</v>
      </c>
      <c r="J196" s="123">
        <v>77831.47</v>
      </c>
      <c r="K196" s="705" t="s">
        <v>68</v>
      </c>
    </row>
    <row r="197" spans="1:11" s="91" customFormat="1" ht="26.4" x14ac:dyDescent="0.3">
      <c r="A197" s="98" t="s">
        <v>396</v>
      </c>
      <c r="B197" s="124" t="s">
        <v>425</v>
      </c>
      <c r="C197" s="120" t="s">
        <v>426</v>
      </c>
      <c r="D197" s="689">
        <v>44778</v>
      </c>
      <c r="E197" s="122">
        <v>5</v>
      </c>
      <c r="F197" s="120" t="s">
        <v>258</v>
      </c>
      <c r="G197" s="704" t="s">
        <v>22</v>
      </c>
      <c r="H197" s="123">
        <v>74777.77</v>
      </c>
      <c r="I197" s="123">
        <v>2367.96</v>
      </c>
      <c r="J197" s="123">
        <v>72409.81</v>
      </c>
      <c r="K197" s="705"/>
    </row>
    <row r="198" spans="1:11" s="91" customFormat="1" ht="26.4" x14ac:dyDescent="0.3">
      <c r="A198" s="98" t="s">
        <v>396</v>
      </c>
      <c r="B198" s="124" t="s">
        <v>427</v>
      </c>
      <c r="C198" s="120" t="s">
        <v>428</v>
      </c>
      <c r="D198" s="689">
        <v>44778</v>
      </c>
      <c r="E198" s="122">
        <v>5</v>
      </c>
      <c r="F198" s="120" t="s">
        <v>258</v>
      </c>
      <c r="G198" s="704" t="s">
        <v>22</v>
      </c>
      <c r="H198" s="123">
        <v>74777.77</v>
      </c>
      <c r="I198" s="123">
        <v>2367.96</v>
      </c>
      <c r="J198" s="123">
        <v>72409.81</v>
      </c>
      <c r="K198" s="705"/>
    </row>
    <row r="199" spans="1:11" s="91" customFormat="1" ht="26.4" x14ac:dyDescent="0.3">
      <c r="A199" s="98" t="s">
        <v>396</v>
      </c>
      <c r="B199" s="124" t="s">
        <v>429</v>
      </c>
      <c r="C199" s="120" t="s">
        <v>430</v>
      </c>
      <c r="D199" s="689">
        <v>44778</v>
      </c>
      <c r="E199" s="122">
        <v>5</v>
      </c>
      <c r="F199" s="120" t="s">
        <v>258</v>
      </c>
      <c r="G199" s="704" t="s">
        <v>22</v>
      </c>
      <c r="H199" s="123">
        <v>74777.77</v>
      </c>
      <c r="I199" s="123">
        <v>2367.96</v>
      </c>
      <c r="J199" s="123">
        <v>72409.81</v>
      </c>
      <c r="K199" s="705"/>
    </row>
    <row r="200" spans="1:11" s="91" customFormat="1" ht="26.4" x14ac:dyDescent="0.3">
      <c r="A200" s="98" t="s">
        <v>396</v>
      </c>
      <c r="B200" s="124" t="s">
        <v>431</v>
      </c>
      <c r="C200" s="120" t="s">
        <v>432</v>
      </c>
      <c r="D200" s="689">
        <v>44778</v>
      </c>
      <c r="E200" s="122">
        <v>5</v>
      </c>
      <c r="F200" s="120" t="s">
        <v>258</v>
      </c>
      <c r="G200" s="704" t="s">
        <v>22</v>
      </c>
      <c r="H200" s="123">
        <v>74777.77</v>
      </c>
      <c r="I200" s="123">
        <v>2367.96</v>
      </c>
      <c r="J200" s="123">
        <v>72409.81</v>
      </c>
      <c r="K200" s="705"/>
    </row>
    <row r="201" spans="1:11" s="91" customFormat="1" ht="26.4" x14ac:dyDescent="0.3">
      <c r="A201" s="98" t="s">
        <v>396</v>
      </c>
      <c r="B201" s="124" t="s">
        <v>433</v>
      </c>
      <c r="C201" s="120" t="s">
        <v>434</v>
      </c>
      <c r="D201" s="689">
        <v>44778</v>
      </c>
      <c r="E201" s="122">
        <v>5</v>
      </c>
      <c r="F201" s="120" t="s">
        <v>258</v>
      </c>
      <c r="G201" s="704" t="s">
        <v>22</v>
      </c>
      <c r="H201" s="123">
        <v>74777.77</v>
      </c>
      <c r="I201" s="123">
        <v>2367.96</v>
      </c>
      <c r="J201" s="123">
        <v>72409.81</v>
      </c>
      <c r="K201" s="705"/>
    </row>
    <row r="202" spans="1:11" s="91" customFormat="1" ht="39.6" x14ac:dyDescent="0.3">
      <c r="A202" s="98" t="s">
        <v>396</v>
      </c>
      <c r="B202" s="124" t="s">
        <v>435</v>
      </c>
      <c r="C202" s="120" t="s">
        <v>436</v>
      </c>
      <c r="D202" s="689">
        <v>44791</v>
      </c>
      <c r="E202" s="122">
        <v>5</v>
      </c>
      <c r="F202" s="120" t="s">
        <v>258</v>
      </c>
      <c r="G202" s="704" t="s">
        <v>22</v>
      </c>
      <c r="H202" s="123">
        <v>195000</v>
      </c>
      <c r="I202" s="123">
        <v>3087.5</v>
      </c>
      <c r="J202" s="123">
        <v>191912.5</v>
      </c>
      <c r="K202" s="705"/>
    </row>
    <row r="203" spans="1:11" s="91" customFormat="1" x14ac:dyDescent="0.3">
      <c r="A203" s="798" t="s">
        <v>437</v>
      </c>
      <c r="B203" s="799"/>
      <c r="C203" s="799"/>
      <c r="D203" s="799"/>
      <c r="E203" s="799"/>
      <c r="F203" s="799"/>
      <c r="G203" s="800"/>
      <c r="H203" s="708">
        <f>SUM(H183:H202)</f>
        <v>2156090.85</v>
      </c>
      <c r="I203" s="708">
        <f t="shared" ref="I203:J203" si="6">SUM(I183:I202)</f>
        <v>436053.3800000003</v>
      </c>
      <c r="J203" s="708">
        <f t="shared" si="6"/>
        <v>1720037.4700000002</v>
      </c>
      <c r="K203" s="709"/>
    </row>
    <row r="204" spans="1:11" s="91" customFormat="1" x14ac:dyDescent="0.3">
      <c r="A204" s="801" t="s">
        <v>62</v>
      </c>
      <c r="B204" s="802"/>
      <c r="C204" s="802"/>
      <c r="D204" s="802"/>
      <c r="E204" s="802"/>
      <c r="F204" s="802"/>
      <c r="G204" s="802"/>
      <c r="H204" s="802"/>
      <c r="I204" s="802"/>
      <c r="J204" s="802"/>
      <c r="K204" s="803"/>
    </row>
    <row r="205" spans="1:11" s="91" customFormat="1" ht="26.4" x14ac:dyDescent="0.3">
      <c r="A205" s="98" t="s">
        <v>438</v>
      </c>
      <c r="B205" s="124" t="s">
        <v>439</v>
      </c>
      <c r="C205" s="120" t="s">
        <v>440</v>
      </c>
      <c r="D205" s="689">
        <v>44138</v>
      </c>
      <c r="E205" s="122">
        <v>25</v>
      </c>
      <c r="F205" s="120" t="s">
        <v>441</v>
      </c>
      <c r="G205" s="704" t="s">
        <v>22</v>
      </c>
      <c r="H205" s="123">
        <v>491561.36</v>
      </c>
      <c r="I205" s="123">
        <v>32361.15</v>
      </c>
      <c r="J205" s="123">
        <v>459200.21</v>
      </c>
      <c r="K205" s="705" t="s">
        <v>68</v>
      </c>
    </row>
    <row r="206" spans="1:11" s="91" customFormat="1" ht="26.4" x14ac:dyDescent="0.3">
      <c r="A206" s="98" t="s">
        <v>438</v>
      </c>
      <c r="B206" s="124" t="s">
        <v>442</v>
      </c>
      <c r="C206" s="120" t="s">
        <v>443</v>
      </c>
      <c r="D206" s="689">
        <v>41702</v>
      </c>
      <c r="E206" s="122">
        <v>25</v>
      </c>
      <c r="F206" s="120" t="s">
        <v>441</v>
      </c>
      <c r="G206" s="704" t="s">
        <v>22</v>
      </c>
      <c r="H206" s="123">
        <v>204157.56</v>
      </c>
      <c r="I206" s="123">
        <v>67202.320000000007</v>
      </c>
      <c r="J206" s="123">
        <v>136955.24</v>
      </c>
      <c r="K206" s="705" t="s">
        <v>68</v>
      </c>
    </row>
    <row r="207" spans="1:11" s="91" customFormat="1" ht="26.4" x14ac:dyDescent="0.3">
      <c r="A207" s="98" t="s">
        <v>438</v>
      </c>
      <c r="B207" s="124" t="s">
        <v>444</v>
      </c>
      <c r="C207" s="120" t="s">
        <v>445</v>
      </c>
      <c r="D207" s="689">
        <v>42107</v>
      </c>
      <c r="E207" s="122">
        <v>25</v>
      </c>
      <c r="F207" s="120" t="s">
        <v>441</v>
      </c>
      <c r="G207" s="704" t="s">
        <v>22</v>
      </c>
      <c r="H207" s="123">
        <v>143774.04999999999</v>
      </c>
      <c r="I207" s="123">
        <v>41095.65</v>
      </c>
      <c r="J207" s="123">
        <v>102678.39999999999</v>
      </c>
      <c r="K207" s="705" t="s">
        <v>68</v>
      </c>
    </row>
    <row r="208" spans="1:11" s="91" customFormat="1" ht="26.4" x14ac:dyDescent="0.3">
      <c r="A208" s="98" t="s">
        <v>438</v>
      </c>
      <c r="B208" s="124" t="s">
        <v>446</v>
      </c>
      <c r="C208" s="120" t="s">
        <v>447</v>
      </c>
      <c r="D208" s="689">
        <v>42111</v>
      </c>
      <c r="E208" s="122">
        <v>25</v>
      </c>
      <c r="F208" s="120" t="s">
        <v>441</v>
      </c>
      <c r="G208" s="704" t="s">
        <v>22</v>
      </c>
      <c r="H208" s="123">
        <v>277577.99</v>
      </c>
      <c r="I208" s="123">
        <v>80968.600000000006</v>
      </c>
      <c r="J208" s="123">
        <v>196609.39</v>
      </c>
      <c r="K208" s="705" t="s">
        <v>68</v>
      </c>
    </row>
    <row r="209" spans="1:11" s="91" customFormat="1" ht="26.4" x14ac:dyDescent="0.3">
      <c r="A209" s="98" t="s">
        <v>438</v>
      </c>
      <c r="B209" s="124" t="s">
        <v>448</v>
      </c>
      <c r="C209" s="120" t="s">
        <v>449</v>
      </c>
      <c r="D209" s="689">
        <v>43193</v>
      </c>
      <c r="E209" s="122">
        <v>25</v>
      </c>
      <c r="F209" s="120" t="s">
        <v>441</v>
      </c>
      <c r="G209" s="704" t="s">
        <v>22</v>
      </c>
      <c r="H209" s="123">
        <v>966328.26</v>
      </c>
      <c r="I209" s="123">
        <v>163470.34</v>
      </c>
      <c r="J209" s="123">
        <v>802857.92</v>
      </c>
      <c r="K209" s="705" t="s">
        <v>68</v>
      </c>
    </row>
    <row r="210" spans="1:11" s="91" customFormat="1" ht="26.4" x14ac:dyDescent="0.3">
      <c r="A210" s="98" t="s">
        <v>438</v>
      </c>
      <c r="B210" s="124" t="s">
        <v>450</v>
      </c>
      <c r="C210" s="120" t="s">
        <v>451</v>
      </c>
      <c r="D210" s="689">
        <v>43979</v>
      </c>
      <c r="E210" s="122">
        <v>25</v>
      </c>
      <c r="F210" s="120" t="s">
        <v>441</v>
      </c>
      <c r="G210" s="704" t="s">
        <v>22</v>
      </c>
      <c r="H210" s="123">
        <v>407848.89</v>
      </c>
      <c r="I210" s="123">
        <v>32288.1</v>
      </c>
      <c r="J210" s="123">
        <v>375560.79</v>
      </c>
      <c r="K210" s="705"/>
    </row>
    <row r="211" spans="1:11" s="91" customFormat="1" ht="26.4" x14ac:dyDescent="0.3">
      <c r="A211" s="98" t="s">
        <v>438</v>
      </c>
      <c r="B211" s="124" t="s">
        <v>452</v>
      </c>
      <c r="C211" s="120" t="s">
        <v>453</v>
      </c>
      <c r="D211" s="689">
        <v>43038</v>
      </c>
      <c r="E211" s="122">
        <v>25</v>
      </c>
      <c r="F211" s="120" t="s">
        <v>441</v>
      </c>
      <c r="G211" s="704" t="s">
        <v>22</v>
      </c>
      <c r="H211" s="123">
        <v>476469.15</v>
      </c>
      <c r="I211" s="123">
        <v>86955.6</v>
      </c>
      <c r="J211" s="123">
        <v>389513.55</v>
      </c>
      <c r="K211" s="705" t="s">
        <v>68</v>
      </c>
    </row>
    <row r="212" spans="1:11" s="91" customFormat="1" ht="26.4" x14ac:dyDescent="0.3">
      <c r="A212" s="98" t="s">
        <v>438</v>
      </c>
      <c r="B212" s="124" t="s">
        <v>454</v>
      </c>
      <c r="C212" s="120" t="s">
        <v>455</v>
      </c>
      <c r="D212" s="689">
        <v>44109</v>
      </c>
      <c r="E212" s="122">
        <v>25</v>
      </c>
      <c r="F212" s="120" t="s">
        <v>441</v>
      </c>
      <c r="G212" s="704" t="s">
        <v>22</v>
      </c>
      <c r="H212" s="123">
        <v>496473.08</v>
      </c>
      <c r="I212" s="123">
        <v>34339.360000000001</v>
      </c>
      <c r="J212" s="123">
        <v>462133.72</v>
      </c>
      <c r="K212" s="705"/>
    </row>
    <row r="213" spans="1:11" s="91" customFormat="1" ht="26.4" x14ac:dyDescent="0.3">
      <c r="A213" s="98" t="s">
        <v>438</v>
      </c>
      <c r="B213" s="124" t="s">
        <v>456</v>
      </c>
      <c r="C213" s="120" t="s">
        <v>457</v>
      </c>
      <c r="D213" s="689">
        <v>42642</v>
      </c>
      <c r="E213" s="122">
        <v>25</v>
      </c>
      <c r="F213" s="120" t="s">
        <v>441</v>
      </c>
      <c r="G213" s="704" t="s">
        <v>22</v>
      </c>
      <c r="H213" s="123">
        <v>472353.06</v>
      </c>
      <c r="I213" s="123">
        <v>106673.03</v>
      </c>
      <c r="J213" s="123">
        <v>365680.03</v>
      </c>
      <c r="K213" s="705" t="s">
        <v>68</v>
      </c>
    </row>
    <row r="214" spans="1:11" s="91" customFormat="1" ht="26.4" x14ac:dyDescent="0.3">
      <c r="A214" s="98" t="s">
        <v>438</v>
      </c>
      <c r="B214" s="124" t="s">
        <v>458</v>
      </c>
      <c r="C214" s="120" t="s">
        <v>459</v>
      </c>
      <c r="D214" s="689">
        <v>43320</v>
      </c>
      <c r="E214" s="122">
        <v>25</v>
      </c>
      <c r="F214" s="120" t="s">
        <v>441</v>
      </c>
      <c r="G214" s="704" t="s">
        <v>22</v>
      </c>
      <c r="H214" s="123">
        <v>494205.4</v>
      </c>
      <c r="I214" s="123">
        <v>77013.600000000006</v>
      </c>
      <c r="J214" s="123">
        <v>417191.8</v>
      </c>
      <c r="K214" s="705"/>
    </row>
    <row r="215" spans="1:11" s="91" customFormat="1" ht="26.4" x14ac:dyDescent="0.3">
      <c r="A215" s="98" t="s">
        <v>438</v>
      </c>
      <c r="B215" s="124" t="s">
        <v>460</v>
      </c>
      <c r="C215" s="120" t="s">
        <v>461</v>
      </c>
      <c r="D215" s="689">
        <v>43319</v>
      </c>
      <c r="E215" s="122">
        <v>25</v>
      </c>
      <c r="F215" s="120" t="s">
        <v>441</v>
      </c>
      <c r="G215" s="704" t="s">
        <v>22</v>
      </c>
      <c r="H215" s="123">
        <v>483593.56</v>
      </c>
      <c r="I215" s="123">
        <v>75360.06</v>
      </c>
      <c r="J215" s="123">
        <v>408233.5</v>
      </c>
      <c r="K215" s="705" t="s">
        <v>68</v>
      </c>
    </row>
    <row r="216" spans="1:11" s="91" customFormat="1" ht="26.4" x14ac:dyDescent="0.3">
      <c r="A216" s="98" t="s">
        <v>438</v>
      </c>
      <c r="B216" s="124" t="s">
        <v>462</v>
      </c>
      <c r="C216" s="120" t="s">
        <v>463</v>
      </c>
      <c r="D216" s="689">
        <v>43342</v>
      </c>
      <c r="E216" s="122">
        <v>25</v>
      </c>
      <c r="F216" s="120" t="s">
        <v>441</v>
      </c>
      <c r="G216" s="704" t="s">
        <v>22</v>
      </c>
      <c r="H216" s="123">
        <v>487493.22</v>
      </c>
      <c r="I216" s="123">
        <v>72717.850000000006</v>
      </c>
      <c r="J216" s="123">
        <v>414775.37</v>
      </c>
      <c r="K216" s="705"/>
    </row>
    <row r="217" spans="1:11" s="91" customFormat="1" ht="26.4" x14ac:dyDescent="0.3">
      <c r="A217" s="98" t="s">
        <v>438</v>
      </c>
      <c r="B217" s="124" t="s">
        <v>464</v>
      </c>
      <c r="C217" s="120" t="s">
        <v>465</v>
      </c>
      <c r="D217" s="689">
        <v>43348</v>
      </c>
      <c r="E217" s="122">
        <v>25</v>
      </c>
      <c r="F217" s="120" t="s">
        <v>441</v>
      </c>
      <c r="G217" s="704" t="s">
        <v>22</v>
      </c>
      <c r="H217" s="123">
        <v>493918.07</v>
      </c>
      <c r="I217" s="123">
        <v>75322.34</v>
      </c>
      <c r="J217" s="123">
        <v>418595.73</v>
      </c>
      <c r="K217" s="705" t="s">
        <v>68</v>
      </c>
    </row>
    <row r="218" spans="1:11" s="91" customFormat="1" ht="26.4" x14ac:dyDescent="0.3">
      <c r="A218" s="98" t="s">
        <v>438</v>
      </c>
      <c r="B218" s="124" t="s">
        <v>466</v>
      </c>
      <c r="C218" s="120" t="s">
        <v>467</v>
      </c>
      <c r="D218" s="689">
        <v>42670</v>
      </c>
      <c r="E218" s="122">
        <v>25</v>
      </c>
      <c r="F218" s="120" t="s">
        <v>441</v>
      </c>
      <c r="G218" s="704" t="s">
        <v>22</v>
      </c>
      <c r="H218" s="123">
        <v>462096.17</v>
      </c>
      <c r="I218" s="123">
        <v>102816.34</v>
      </c>
      <c r="J218" s="123">
        <v>359279.83</v>
      </c>
      <c r="K218" s="705" t="s">
        <v>68</v>
      </c>
    </row>
    <row r="219" spans="1:11" s="91" customFormat="1" ht="26.4" x14ac:dyDescent="0.3">
      <c r="A219" s="98" t="s">
        <v>438</v>
      </c>
      <c r="B219" s="124" t="s">
        <v>468</v>
      </c>
      <c r="C219" s="120" t="s">
        <v>469</v>
      </c>
      <c r="D219" s="689">
        <v>41880</v>
      </c>
      <c r="E219" s="122">
        <v>25</v>
      </c>
      <c r="F219" s="120" t="s">
        <v>441</v>
      </c>
      <c r="G219" s="704" t="s">
        <v>22</v>
      </c>
      <c r="H219" s="123">
        <v>171970.5</v>
      </c>
      <c r="I219" s="123">
        <v>53849.09</v>
      </c>
      <c r="J219" s="123">
        <v>118121.41</v>
      </c>
      <c r="K219" s="705" t="s">
        <v>68</v>
      </c>
    </row>
    <row r="220" spans="1:11" s="91" customFormat="1" ht="26.4" x14ac:dyDescent="0.3">
      <c r="A220" s="98" t="s">
        <v>438</v>
      </c>
      <c r="B220" s="124" t="s">
        <v>470</v>
      </c>
      <c r="C220" s="120" t="s">
        <v>471</v>
      </c>
      <c r="D220" s="689">
        <v>43410</v>
      </c>
      <c r="E220" s="122">
        <v>25</v>
      </c>
      <c r="F220" s="120" t="s">
        <v>441</v>
      </c>
      <c r="G220" s="704" t="s">
        <v>22</v>
      </c>
      <c r="H220" s="123">
        <v>478490.24</v>
      </c>
      <c r="I220" s="123">
        <v>69779.929999999993</v>
      </c>
      <c r="J220" s="123">
        <v>408710.31</v>
      </c>
      <c r="K220" s="705" t="s">
        <v>68</v>
      </c>
    </row>
    <row r="221" spans="1:11" s="91" customFormat="1" ht="26.4" x14ac:dyDescent="0.3">
      <c r="A221" s="98" t="s">
        <v>438</v>
      </c>
      <c r="B221" s="124" t="s">
        <v>472</v>
      </c>
      <c r="C221" s="120" t="s">
        <v>473</v>
      </c>
      <c r="D221" s="689">
        <v>42647</v>
      </c>
      <c r="E221" s="122">
        <v>25</v>
      </c>
      <c r="F221" s="120" t="s">
        <v>441</v>
      </c>
      <c r="G221" s="704" t="s">
        <v>22</v>
      </c>
      <c r="H221" s="123">
        <v>481233.96</v>
      </c>
      <c r="I221" s="123">
        <v>110282.59</v>
      </c>
      <c r="J221" s="123">
        <v>370951.37</v>
      </c>
      <c r="K221" s="705" t="s">
        <v>68</v>
      </c>
    </row>
    <row r="222" spans="1:11" s="91" customFormat="1" ht="26.4" x14ac:dyDescent="0.3">
      <c r="A222" s="98" t="s">
        <v>438</v>
      </c>
      <c r="B222" s="124" t="s">
        <v>474</v>
      </c>
      <c r="C222" s="120" t="s">
        <v>475</v>
      </c>
      <c r="D222" s="689">
        <v>43319</v>
      </c>
      <c r="E222" s="122">
        <v>25</v>
      </c>
      <c r="F222" s="120" t="s">
        <v>441</v>
      </c>
      <c r="G222" s="704" t="s">
        <v>22</v>
      </c>
      <c r="H222" s="123">
        <v>56716</v>
      </c>
      <c r="I222" s="123">
        <v>8838.1</v>
      </c>
      <c r="J222" s="123">
        <v>47877.9</v>
      </c>
      <c r="K222" s="705" t="s">
        <v>68</v>
      </c>
    </row>
    <row r="223" spans="1:11" s="91" customFormat="1" ht="26.4" x14ac:dyDescent="0.3">
      <c r="A223" s="98" t="s">
        <v>438</v>
      </c>
      <c r="B223" s="124" t="s">
        <v>476</v>
      </c>
      <c r="C223" s="120" t="s">
        <v>477</v>
      </c>
      <c r="D223" s="689">
        <v>43157</v>
      </c>
      <c r="E223" s="122">
        <v>25</v>
      </c>
      <c r="F223" s="120" t="s">
        <v>441</v>
      </c>
      <c r="G223" s="704" t="s">
        <v>22</v>
      </c>
      <c r="H223" s="123">
        <v>489995.66</v>
      </c>
      <c r="I223" s="123">
        <v>82890.97</v>
      </c>
      <c r="J223" s="123">
        <v>407104.69</v>
      </c>
      <c r="K223" s="705" t="s">
        <v>68</v>
      </c>
    </row>
    <row r="224" spans="1:11" s="91" customFormat="1" ht="26.4" x14ac:dyDescent="0.3">
      <c r="A224" s="98" t="s">
        <v>438</v>
      </c>
      <c r="B224" s="124" t="s">
        <v>478</v>
      </c>
      <c r="C224" s="120" t="s">
        <v>479</v>
      </c>
      <c r="D224" s="689">
        <v>44096</v>
      </c>
      <c r="E224" s="122">
        <v>25</v>
      </c>
      <c r="F224" s="120" t="s">
        <v>441</v>
      </c>
      <c r="G224" s="704" t="s">
        <v>22</v>
      </c>
      <c r="H224" s="123">
        <v>544873.19999999995</v>
      </c>
      <c r="I224" s="123">
        <v>35870.75</v>
      </c>
      <c r="J224" s="123">
        <v>509002.45</v>
      </c>
      <c r="K224" s="705" t="s">
        <v>68</v>
      </c>
    </row>
    <row r="225" spans="1:11" s="91" customFormat="1" ht="26.4" x14ac:dyDescent="0.3">
      <c r="A225" s="98" t="s">
        <v>438</v>
      </c>
      <c r="B225" s="124" t="s">
        <v>480</v>
      </c>
      <c r="C225" s="120" t="s">
        <v>481</v>
      </c>
      <c r="D225" s="689">
        <v>44109</v>
      </c>
      <c r="E225" s="122">
        <v>25</v>
      </c>
      <c r="F225" s="120" t="s">
        <v>441</v>
      </c>
      <c r="G225" s="704" t="s">
        <v>22</v>
      </c>
      <c r="H225" s="123">
        <v>493785.12</v>
      </c>
      <c r="I225" s="123">
        <v>34153.449999999997</v>
      </c>
      <c r="J225" s="123">
        <v>459631.67</v>
      </c>
      <c r="K225" s="705" t="s">
        <v>68</v>
      </c>
    </row>
    <row r="226" spans="1:11" s="91" customFormat="1" ht="26.4" x14ac:dyDescent="0.3">
      <c r="A226" s="98" t="s">
        <v>438</v>
      </c>
      <c r="B226" s="124" t="s">
        <v>482</v>
      </c>
      <c r="C226" s="120" t="s">
        <v>483</v>
      </c>
      <c r="D226" s="689">
        <v>44095</v>
      </c>
      <c r="E226" s="122">
        <v>25</v>
      </c>
      <c r="F226" s="120" t="s">
        <v>441</v>
      </c>
      <c r="G226" s="704" t="s">
        <v>22</v>
      </c>
      <c r="H226" s="123">
        <v>492668.96</v>
      </c>
      <c r="I226" s="123">
        <v>32605.05</v>
      </c>
      <c r="J226" s="123">
        <v>460063.91</v>
      </c>
      <c r="K226" s="705" t="s">
        <v>68</v>
      </c>
    </row>
    <row r="227" spans="1:11" s="91" customFormat="1" ht="26.4" x14ac:dyDescent="0.3">
      <c r="A227" s="98" t="s">
        <v>438</v>
      </c>
      <c r="B227" s="124" t="s">
        <v>484</v>
      </c>
      <c r="C227" s="120" t="s">
        <v>485</v>
      </c>
      <c r="D227" s="689">
        <v>44095</v>
      </c>
      <c r="E227" s="122">
        <v>25</v>
      </c>
      <c r="F227" s="120" t="s">
        <v>441</v>
      </c>
      <c r="G227" s="704" t="s">
        <v>22</v>
      </c>
      <c r="H227" s="123">
        <v>469256.35</v>
      </c>
      <c r="I227" s="123">
        <v>30892.75</v>
      </c>
      <c r="J227" s="123">
        <v>438363.6</v>
      </c>
      <c r="K227" s="705" t="s">
        <v>68</v>
      </c>
    </row>
    <row r="228" spans="1:11" s="91" customFormat="1" ht="26.4" x14ac:dyDescent="0.3">
      <c r="A228" s="98" t="s">
        <v>438</v>
      </c>
      <c r="B228" s="124" t="s">
        <v>486</v>
      </c>
      <c r="C228" s="120" t="s">
        <v>487</v>
      </c>
      <c r="D228" s="689">
        <v>43843</v>
      </c>
      <c r="E228" s="122">
        <v>25</v>
      </c>
      <c r="F228" s="120" t="s">
        <v>441</v>
      </c>
      <c r="G228" s="704" t="s">
        <v>22</v>
      </c>
      <c r="H228" s="123">
        <v>450464.42</v>
      </c>
      <c r="I228" s="123">
        <v>43169.55</v>
      </c>
      <c r="J228" s="123">
        <v>407294.87</v>
      </c>
      <c r="K228" s="705"/>
    </row>
    <row r="229" spans="1:11" s="91" customFormat="1" ht="26.4" x14ac:dyDescent="0.3">
      <c r="A229" s="98" t="s">
        <v>438</v>
      </c>
      <c r="B229" s="124" t="s">
        <v>488</v>
      </c>
      <c r="C229" s="120" t="s">
        <v>489</v>
      </c>
      <c r="D229" s="689">
        <v>44431</v>
      </c>
      <c r="E229" s="122">
        <v>25</v>
      </c>
      <c r="F229" s="120" t="s">
        <v>441</v>
      </c>
      <c r="G229" s="704" t="s">
        <v>22</v>
      </c>
      <c r="H229" s="123">
        <v>497904.9</v>
      </c>
      <c r="I229" s="123">
        <v>14522.22</v>
      </c>
      <c r="J229" s="123">
        <v>483382.68</v>
      </c>
      <c r="K229" s="705" t="s">
        <v>68</v>
      </c>
    </row>
    <row r="230" spans="1:11" s="91" customFormat="1" ht="26.4" x14ac:dyDescent="0.3">
      <c r="A230" s="98" t="s">
        <v>438</v>
      </c>
      <c r="B230" s="124" t="s">
        <v>490</v>
      </c>
      <c r="C230" s="120" t="s">
        <v>491</v>
      </c>
      <c r="D230" s="689">
        <v>44431</v>
      </c>
      <c r="E230" s="122">
        <v>25</v>
      </c>
      <c r="F230" s="120" t="s">
        <v>441</v>
      </c>
      <c r="G230" s="704" t="s">
        <v>22</v>
      </c>
      <c r="H230" s="123">
        <v>497134.42</v>
      </c>
      <c r="I230" s="123">
        <v>14499.74</v>
      </c>
      <c r="J230" s="123">
        <v>482634.68</v>
      </c>
      <c r="K230" s="705" t="s">
        <v>68</v>
      </c>
    </row>
    <row r="231" spans="1:11" s="91" customFormat="1" ht="26.4" x14ac:dyDescent="0.3">
      <c r="A231" s="98" t="s">
        <v>438</v>
      </c>
      <c r="B231" s="124" t="s">
        <v>492</v>
      </c>
      <c r="C231" s="120" t="s">
        <v>493</v>
      </c>
      <c r="D231" s="689">
        <v>44431</v>
      </c>
      <c r="E231" s="122">
        <v>25</v>
      </c>
      <c r="F231" s="120" t="s">
        <v>441</v>
      </c>
      <c r="G231" s="704" t="s">
        <v>22</v>
      </c>
      <c r="H231" s="123">
        <v>497138.97</v>
      </c>
      <c r="I231" s="123">
        <v>14499.87</v>
      </c>
      <c r="J231" s="123">
        <v>482639.1</v>
      </c>
      <c r="K231" s="705" t="s">
        <v>68</v>
      </c>
    </row>
    <row r="232" spans="1:11" s="91" customFormat="1" ht="26.4" x14ac:dyDescent="0.3">
      <c r="A232" s="98" t="s">
        <v>438</v>
      </c>
      <c r="B232" s="124" t="s">
        <v>494</v>
      </c>
      <c r="C232" s="120" t="s">
        <v>495</v>
      </c>
      <c r="D232" s="689">
        <v>44456</v>
      </c>
      <c r="E232" s="122">
        <v>25</v>
      </c>
      <c r="F232" s="120" t="s">
        <v>441</v>
      </c>
      <c r="G232" s="704" t="s">
        <v>22</v>
      </c>
      <c r="H232" s="123">
        <v>498009.21</v>
      </c>
      <c r="I232" s="123">
        <v>12865.24</v>
      </c>
      <c r="J232" s="123">
        <v>485143.97</v>
      </c>
      <c r="K232" s="705" t="s">
        <v>68</v>
      </c>
    </row>
    <row r="233" spans="1:11" s="91" customFormat="1" ht="26.4" x14ac:dyDescent="0.3">
      <c r="A233" s="98" t="s">
        <v>438</v>
      </c>
      <c r="B233" s="124" t="s">
        <v>496</v>
      </c>
      <c r="C233" s="120" t="s">
        <v>497</v>
      </c>
      <c r="D233" s="689">
        <v>44537</v>
      </c>
      <c r="E233" s="122">
        <v>25</v>
      </c>
      <c r="F233" s="120" t="s">
        <v>441</v>
      </c>
      <c r="G233" s="704" t="s">
        <v>22</v>
      </c>
      <c r="H233" s="123">
        <v>497307.99</v>
      </c>
      <c r="I233" s="123">
        <v>9531.74</v>
      </c>
      <c r="J233" s="123">
        <v>487776.25</v>
      </c>
      <c r="K233" s="705" t="s">
        <v>68</v>
      </c>
    </row>
    <row r="234" spans="1:11" s="91" customFormat="1" ht="26.4" x14ac:dyDescent="0.3">
      <c r="A234" s="98" t="s">
        <v>438</v>
      </c>
      <c r="B234" s="124" t="s">
        <v>498</v>
      </c>
      <c r="C234" s="120" t="s">
        <v>499</v>
      </c>
      <c r="D234" s="689">
        <v>44491</v>
      </c>
      <c r="E234" s="122">
        <v>25</v>
      </c>
      <c r="F234" s="120" t="s">
        <v>441</v>
      </c>
      <c r="G234" s="704" t="s">
        <v>22</v>
      </c>
      <c r="H234" s="123">
        <v>1443378.98</v>
      </c>
      <c r="I234" s="123">
        <v>22853.5</v>
      </c>
      <c r="J234" s="123">
        <v>1420525.48</v>
      </c>
      <c r="K234" s="705"/>
    </row>
    <row r="235" spans="1:11" s="91" customFormat="1" ht="26.4" x14ac:dyDescent="0.3">
      <c r="A235" s="98" t="s">
        <v>438</v>
      </c>
      <c r="B235" s="124" t="s">
        <v>500</v>
      </c>
      <c r="C235" s="120" t="s">
        <v>501</v>
      </c>
      <c r="D235" s="689">
        <v>44701</v>
      </c>
      <c r="E235" s="122">
        <v>5</v>
      </c>
      <c r="F235" s="120" t="s">
        <v>441</v>
      </c>
      <c r="G235" s="704" t="s">
        <v>22</v>
      </c>
      <c r="H235" s="123">
        <v>1461929.69</v>
      </c>
      <c r="I235" s="123">
        <v>115736.1</v>
      </c>
      <c r="J235" s="123">
        <v>1346193.59</v>
      </c>
      <c r="K235" s="705"/>
    </row>
    <row r="236" spans="1:11" s="91" customFormat="1" ht="26.4" x14ac:dyDescent="0.3">
      <c r="A236" s="98" t="s">
        <v>438</v>
      </c>
      <c r="B236" s="124" t="s">
        <v>502</v>
      </c>
      <c r="C236" s="120" t="s">
        <v>503</v>
      </c>
      <c r="D236" s="689">
        <v>44154</v>
      </c>
      <c r="E236" s="122">
        <v>25</v>
      </c>
      <c r="F236" s="120" t="s">
        <v>441</v>
      </c>
      <c r="G236" s="704" t="s">
        <v>22</v>
      </c>
      <c r="H236" s="123">
        <v>1494184.24</v>
      </c>
      <c r="I236" s="123">
        <v>88405.83</v>
      </c>
      <c r="J236" s="123">
        <v>1405778.41</v>
      </c>
      <c r="K236" s="705" t="s">
        <v>68</v>
      </c>
    </row>
    <row r="237" spans="1:11" s="91" customFormat="1" ht="26.4" x14ac:dyDescent="0.3">
      <c r="A237" s="98" t="s">
        <v>438</v>
      </c>
      <c r="B237" s="124" t="s">
        <v>504</v>
      </c>
      <c r="C237" s="120" t="s">
        <v>505</v>
      </c>
      <c r="D237" s="689">
        <v>43864</v>
      </c>
      <c r="E237" s="122">
        <v>25</v>
      </c>
      <c r="F237" s="120" t="s">
        <v>441</v>
      </c>
      <c r="G237" s="704" t="s">
        <v>22</v>
      </c>
      <c r="H237" s="123">
        <v>1305616.9099999999</v>
      </c>
      <c r="I237" s="123">
        <v>125121.69</v>
      </c>
      <c r="J237" s="123">
        <v>1180495.22</v>
      </c>
      <c r="K237" s="705"/>
    </row>
    <row r="238" spans="1:11" s="91" customFormat="1" ht="26.4" x14ac:dyDescent="0.3">
      <c r="A238" s="98" t="s">
        <v>438</v>
      </c>
      <c r="B238" s="124" t="s">
        <v>506</v>
      </c>
      <c r="C238" s="120" t="s">
        <v>507</v>
      </c>
      <c r="D238" s="689">
        <v>42058</v>
      </c>
      <c r="E238" s="122">
        <v>25</v>
      </c>
      <c r="F238" s="120" t="s">
        <v>441</v>
      </c>
      <c r="G238" s="704" t="s">
        <v>22</v>
      </c>
      <c r="H238" s="123">
        <v>185376.73</v>
      </c>
      <c r="I238" s="123">
        <v>53604.59</v>
      </c>
      <c r="J238" s="123">
        <v>131772.14000000001</v>
      </c>
      <c r="K238" s="705" t="s">
        <v>68</v>
      </c>
    </row>
    <row r="239" spans="1:11" s="91" customFormat="1" ht="26.4" x14ac:dyDescent="0.3">
      <c r="A239" s="98" t="s">
        <v>438</v>
      </c>
      <c r="B239" s="124" t="s">
        <v>508</v>
      </c>
      <c r="C239" s="120" t="s">
        <v>509</v>
      </c>
      <c r="D239" s="689">
        <v>43889</v>
      </c>
      <c r="E239" s="122">
        <v>25</v>
      </c>
      <c r="F239" s="120" t="s">
        <v>441</v>
      </c>
      <c r="G239" s="704" t="s">
        <v>22</v>
      </c>
      <c r="H239" s="123">
        <v>441371.93</v>
      </c>
      <c r="I239" s="123">
        <v>39355.68</v>
      </c>
      <c r="J239" s="123">
        <v>402016.25</v>
      </c>
      <c r="K239" s="705"/>
    </row>
    <row r="240" spans="1:11" s="91" customFormat="1" x14ac:dyDescent="0.3">
      <c r="A240" s="798" t="s">
        <v>510</v>
      </c>
      <c r="B240" s="799"/>
      <c r="C240" s="799"/>
      <c r="D240" s="799"/>
      <c r="E240" s="799"/>
      <c r="F240" s="799"/>
      <c r="G240" s="800"/>
      <c r="H240" s="708">
        <f>SUM(H205:H239)</f>
        <v>19306658.199999999</v>
      </c>
      <c r="I240" s="708">
        <f t="shared" ref="I240:J240" si="7">SUM(I205:I239)</f>
        <v>2061912.7700000005</v>
      </c>
      <c r="J240" s="708">
        <f t="shared" si="7"/>
        <v>17244745.43</v>
      </c>
      <c r="K240" s="709"/>
    </row>
    <row r="241" spans="1:11" s="91" customFormat="1" x14ac:dyDescent="0.3">
      <c r="A241" s="801" t="s">
        <v>511</v>
      </c>
      <c r="B241" s="802"/>
      <c r="C241" s="802"/>
      <c r="D241" s="802"/>
      <c r="E241" s="802"/>
      <c r="F241" s="802"/>
      <c r="G241" s="802"/>
      <c r="H241" s="802"/>
      <c r="I241" s="802"/>
      <c r="J241" s="802"/>
      <c r="K241" s="803"/>
    </row>
    <row r="242" spans="1:11" s="91" customFormat="1" ht="26.4" x14ac:dyDescent="0.3">
      <c r="A242" s="98" t="s">
        <v>512</v>
      </c>
      <c r="B242" s="124" t="s">
        <v>513</v>
      </c>
      <c r="C242" s="120" t="s">
        <v>514</v>
      </c>
      <c r="D242" s="689">
        <v>37958</v>
      </c>
      <c r="E242" s="122">
        <v>20</v>
      </c>
      <c r="F242" s="120" t="s">
        <v>441</v>
      </c>
      <c r="G242" s="704" t="s">
        <v>22</v>
      </c>
      <c r="H242" s="123">
        <v>59425</v>
      </c>
      <c r="I242" s="123">
        <v>54615.95</v>
      </c>
      <c r="J242" s="123">
        <v>4809.05</v>
      </c>
      <c r="K242" s="705"/>
    </row>
    <row r="243" spans="1:11" s="91" customFormat="1" ht="39.6" x14ac:dyDescent="0.3">
      <c r="A243" s="98" t="s">
        <v>512</v>
      </c>
      <c r="B243" s="124" t="s">
        <v>515</v>
      </c>
      <c r="C243" s="120" t="s">
        <v>516</v>
      </c>
      <c r="D243" s="689">
        <v>36891</v>
      </c>
      <c r="E243" s="122">
        <v>10</v>
      </c>
      <c r="F243" s="120" t="s">
        <v>441</v>
      </c>
      <c r="G243" s="704" t="s">
        <v>22</v>
      </c>
      <c r="H243" s="123">
        <v>471799.87</v>
      </c>
      <c r="I243" s="123">
        <v>463071.57</v>
      </c>
      <c r="J243" s="123">
        <v>8728.2999999999993</v>
      </c>
      <c r="K243" s="705" t="s">
        <v>68</v>
      </c>
    </row>
    <row r="244" spans="1:11" s="91" customFormat="1" ht="26.4" x14ac:dyDescent="0.3">
      <c r="A244" s="98" t="s">
        <v>512</v>
      </c>
      <c r="B244" s="124" t="s">
        <v>517</v>
      </c>
      <c r="C244" s="120" t="s">
        <v>518</v>
      </c>
      <c r="D244" s="689">
        <v>44834</v>
      </c>
      <c r="E244" s="122">
        <v>10</v>
      </c>
      <c r="F244" s="120" t="s">
        <v>258</v>
      </c>
      <c r="G244" s="704" t="s">
        <v>22</v>
      </c>
      <c r="H244" s="123">
        <v>496162.44</v>
      </c>
      <c r="I244" s="123">
        <v>0</v>
      </c>
      <c r="J244" s="123">
        <v>496162.44</v>
      </c>
      <c r="K244" s="705"/>
    </row>
    <row r="245" spans="1:11" s="91" customFormat="1" ht="26.4" x14ac:dyDescent="0.3">
      <c r="A245" s="98" t="s">
        <v>512</v>
      </c>
      <c r="B245" s="124" t="s">
        <v>519</v>
      </c>
      <c r="C245" s="120" t="s">
        <v>520</v>
      </c>
      <c r="D245" s="689">
        <v>43637</v>
      </c>
      <c r="E245" s="122">
        <v>10</v>
      </c>
      <c r="F245" s="120" t="s">
        <v>441</v>
      </c>
      <c r="G245" s="704" t="s">
        <v>22</v>
      </c>
      <c r="H245" s="123">
        <v>92250</v>
      </c>
      <c r="I245" s="123">
        <v>29942.79</v>
      </c>
      <c r="J245" s="123">
        <v>62307.21</v>
      </c>
      <c r="K245" s="705" t="s">
        <v>68</v>
      </c>
    </row>
    <row r="246" spans="1:11" s="91" customFormat="1" ht="26.4" x14ac:dyDescent="0.3">
      <c r="A246" s="98" t="s">
        <v>512</v>
      </c>
      <c r="B246" s="124" t="s">
        <v>521</v>
      </c>
      <c r="C246" s="120" t="s">
        <v>522</v>
      </c>
      <c r="D246" s="689">
        <v>43133</v>
      </c>
      <c r="E246" s="122">
        <v>10</v>
      </c>
      <c r="F246" s="120" t="s">
        <v>441</v>
      </c>
      <c r="G246" s="704" t="s">
        <v>22</v>
      </c>
      <c r="H246" s="123">
        <v>96200</v>
      </c>
      <c r="I246" s="123">
        <v>44171.8</v>
      </c>
      <c r="J246" s="123">
        <v>52028.2</v>
      </c>
      <c r="K246" s="705" t="s">
        <v>68</v>
      </c>
    </row>
    <row r="247" spans="1:11" s="91" customFormat="1" ht="26.4" x14ac:dyDescent="0.3">
      <c r="A247" s="98" t="s">
        <v>512</v>
      </c>
      <c r="B247" s="124" t="s">
        <v>523</v>
      </c>
      <c r="C247" s="120" t="s">
        <v>524</v>
      </c>
      <c r="D247" s="689">
        <v>43528</v>
      </c>
      <c r="E247" s="122">
        <v>10</v>
      </c>
      <c r="F247" s="120" t="s">
        <v>441</v>
      </c>
      <c r="G247" s="704" t="s">
        <v>22</v>
      </c>
      <c r="H247" s="123">
        <v>488630.11</v>
      </c>
      <c r="I247" s="123">
        <v>174074.46</v>
      </c>
      <c r="J247" s="123">
        <v>314555.65000000002</v>
      </c>
      <c r="K247" s="705" t="s">
        <v>68</v>
      </c>
    </row>
    <row r="248" spans="1:11" s="91" customFormat="1" ht="26.4" x14ac:dyDescent="0.3">
      <c r="A248" s="98" t="s">
        <v>512</v>
      </c>
      <c r="B248" s="124" t="s">
        <v>525</v>
      </c>
      <c r="C248" s="120" t="s">
        <v>526</v>
      </c>
      <c r="D248" s="689">
        <v>43637</v>
      </c>
      <c r="E248" s="122">
        <v>10</v>
      </c>
      <c r="F248" s="120" t="s">
        <v>441</v>
      </c>
      <c r="G248" s="704" t="s">
        <v>22</v>
      </c>
      <c r="H248" s="123">
        <v>490359.41</v>
      </c>
      <c r="I248" s="123">
        <v>159162.47</v>
      </c>
      <c r="J248" s="123">
        <v>331196.94</v>
      </c>
      <c r="K248" s="705" t="s">
        <v>68</v>
      </c>
    </row>
    <row r="249" spans="1:11" s="91" customFormat="1" ht="26.4" x14ac:dyDescent="0.3">
      <c r="A249" s="98" t="s">
        <v>512</v>
      </c>
      <c r="B249" s="124" t="s">
        <v>527</v>
      </c>
      <c r="C249" s="120" t="s">
        <v>528</v>
      </c>
      <c r="D249" s="689">
        <v>43670</v>
      </c>
      <c r="E249" s="122">
        <v>10</v>
      </c>
      <c r="F249" s="120" t="s">
        <v>441</v>
      </c>
      <c r="G249" s="704" t="s">
        <v>22</v>
      </c>
      <c r="H249" s="123">
        <v>193147.1</v>
      </c>
      <c r="I249" s="123">
        <v>61163.23</v>
      </c>
      <c r="J249" s="123">
        <v>131983.87</v>
      </c>
      <c r="K249" s="705" t="s">
        <v>68</v>
      </c>
    </row>
    <row r="250" spans="1:11" s="91" customFormat="1" ht="26.4" x14ac:dyDescent="0.3">
      <c r="A250" s="98" t="s">
        <v>512</v>
      </c>
      <c r="B250" s="124" t="s">
        <v>529</v>
      </c>
      <c r="C250" s="120" t="s">
        <v>530</v>
      </c>
      <c r="D250" s="689">
        <v>43620</v>
      </c>
      <c r="E250" s="122">
        <v>10</v>
      </c>
      <c r="F250" s="120" t="s">
        <v>441</v>
      </c>
      <c r="G250" s="704" t="s">
        <v>22</v>
      </c>
      <c r="H250" s="123">
        <v>990765.27</v>
      </c>
      <c r="I250" s="123">
        <v>329429.46999999997</v>
      </c>
      <c r="J250" s="123">
        <v>661335.80000000005</v>
      </c>
      <c r="K250" s="705" t="s">
        <v>68</v>
      </c>
    </row>
    <row r="251" spans="1:11" s="91" customFormat="1" ht="26.4" x14ac:dyDescent="0.3">
      <c r="A251" s="98" t="s">
        <v>512</v>
      </c>
      <c r="B251" s="124" t="s">
        <v>531</v>
      </c>
      <c r="C251" s="120" t="s">
        <v>532</v>
      </c>
      <c r="D251" s="689">
        <v>43681</v>
      </c>
      <c r="E251" s="122">
        <v>10</v>
      </c>
      <c r="F251" s="120" t="s">
        <v>441</v>
      </c>
      <c r="G251" s="704" t="s">
        <v>22</v>
      </c>
      <c r="H251" s="123">
        <v>497723.1</v>
      </c>
      <c r="I251" s="123">
        <v>157612.32999999999</v>
      </c>
      <c r="J251" s="123">
        <v>340110.77</v>
      </c>
      <c r="K251" s="705" t="s">
        <v>68</v>
      </c>
    </row>
    <row r="252" spans="1:11" s="91" customFormat="1" ht="26.4" x14ac:dyDescent="0.3">
      <c r="A252" s="98" t="s">
        <v>512</v>
      </c>
      <c r="B252" s="124" t="s">
        <v>533</v>
      </c>
      <c r="C252" s="120" t="s">
        <v>534</v>
      </c>
      <c r="D252" s="689">
        <v>43700</v>
      </c>
      <c r="E252" s="122">
        <v>10</v>
      </c>
      <c r="F252" s="120" t="s">
        <v>441</v>
      </c>
      <c r="G252" s="704" t="s">
        <v>22</v>
      </c>
      <c r="H252" s="123">
        <v>492824.91</v>
      </c>
      <c r="I252" s="123">
        <v>152159.69</v>
      </c>
      <c r="J252" s="123">
        <v>340665.22</v>
      </c>
      <c r="K252" s="705" t="s">
        <v>68</v>
      </c>
    </row>
    <row r="253" spans="1:11" s="91" customFormat="1" ht="26.4" x14ac:dyDescent="0.3">
      <c r="A253" s="98" t="s">
        <v>512</v>
      </c>
      <c r="B253" s="124" t="s">
        <v>535</v>
      </c>
      <c r="C253" s="120" t="s">
        <v>536</v>
      </c>
      <c r="D253" s="689">
        <v>43773</v>
      </c>
      <c r="E253" s="122">
        <v>10</v>
      </c>
      <c r="F253" s="120" t="s">
        <v>441</v>
      </c>
      <c r="G253" s="704" t="s">
        <v>22</v>
      </c>
      <c r="H253" s="123">
        <v>433215.75</v>
      </c>
      <c r="I253" s="123">
        <v>126896.07</v>
      </c>
      <c r="J253" s="123">
        <v>306319.68</v>
      </c>
      <c r="K253" s="705" t="s">
        <v>68</v>
      </c>
    </row>
    <row r="254" spans="1:11" s="91" customFormat="1" ht="26.4" x14ac:dyDescent="0.3">
      <c r="A254" s="98" t="s">
        <v>512</v>
      </c>
      <c r="B254" s="124" t="s">
        <v>537</v>
      </c>
      <c r="C254" s="120" t="s">
        <v>538</v>
      </c>
      <c r="D254" s="689">
        <v>43794</v>
      </c>
      <c r="E254" s="122">
        <v>10</v>
      </c>
      <c r="F254" s="120" t="s">
        <v>441</v>
      </c>
      <c r="G254" s="704" t="s">
        <v>22</v>
      </c>
      <c r="H254" s="123">
        <v>410310.57</v>
      </c>
      <c r="I254" s="123">
        <v>116938.49</v>
      </c>
      <c r="J254" s="123">
        <v>293372.08</v>
      </c>
      <c r="K254" s="705" t="s">
        <v>68</v>
      </c>
    </row>
    <row r="255" spans="1:11" s="91" customFormat="1" ht="26.4" x14ac:dyDescent="0.3">
      <c r="A255" s="98" t="s">
        <v>512</v>
      </c>
      <c r="B255" s="124" t="s">
        <v>539</v>
      </c>
      <c r="C255" s="120" t="s">
        <v>540</v>
      </c>
      <c r="D255" s="689">
        <v>43788</v>
      </c>
      <c r="E255" s="122">
        <v>10</v>
      </c>
      <c r="F255" s="120" t="s">
        <v>441</v>
      </c>
      <c r="G255" s="704" t="s">
        <v>22</v>
      </c>
      <c r="H255" s="123">
        <v>477109.67</v>
      </c>
      <c r="I255" s="123">
        <v>135976.28</v>
      </c>
      <c r="J255" s="123">
        <v>341133.39</v>
      </c>
      <c r="K255" s="705" t="s">
        <v>68</v>
      </c>
    </row>
    <row r="256" spans="1:11" s="91" customFormat="1" ht="26.4" x14ac:dyDescent="0.3">
      <c r="A256" s="98" t="s">
        <v>512</v>
      </c>
      <c r="B256" s="124" t="s">
        <v>541</v>
      </c>
      <c r="C256" s="120" t="s">
        <v>542</v>
      </c>
      <c r="D256" s="689">
        <v>43789</v>
      </c>
      <c r="E256" s="122">
        <v>10</v>
      </c>
      <c r="F256" s="120" t="s">
        <v>441</v>
      </c>
      <c r="G256" s="704" t="s">
        <v>22</v>
      </c>
      <c r="H256" s="123">
        <v>433810.14</v>
      </c>
      <c r="I256" s="123">
        <v>123635.88</v>
      </c>
      <c r="J256" s="123">
        <v>310174.26</v>
      </c>
      <c r="K256" s="705"/>
    </row>
    <row r="257" spans="1:11" s="91" customFormat="1" ht="39.6" x14ac:dyDescent="0.3">
      <c r="A257" s="98" t="s">
        <v>512</v>
      </c>
      <c r="B257" s="124" t="s">
        <v>543</v>
      </c>
      <c r="C257" s="120" t="s">
        <v>544</v>
      </c>
      <c r="D257" s="689">
        <v>44105</v>
      </c>
      <c r="E257" s="122">
        <v>10</v>
      </c>
      <c r="F257" s="120" t="s">
        <v>441</v>
      </c>
      <c r="G257" s="704" t="s">
        <v>22</v>
      </c>
      <c r="H257" s="123">
        <v>499546.76</v>
      </c>
      <c r="I257" s="123">
        <v>102823.43</v>
      </c>
      <c r="J257" s="123">
        <v>396723.33</v>
      </c>
      <c r="K257" s="705" t="s">
        <v>68</v>
      </c>
    </row>
    <row r="258" spans="1:11" s="91" customFormat="1" ht="26.4" x14ac:dyDescent="0.3">
      <c r="A258" s="98" t="s">
        <v>512</v>
      </c>
      <c r="B258" s="124" t="s">
        <v>545</v>
      </c>
      <c r="C258" s="120" t="s">
        <v>546</v>
      </c>
      <c r="D258" s="689">
        <v>44300</v>
      </c>
      <c r="E258" s="122">
        <v>10</v>
      </c>
      <c r="F258" s="120" t="s">
        <v>441</v>
      </c>
      <c r="G258" s="704" t="s">
        <v>22</v>
      </c>
      <c r="H258" s="123">
        <v>499343.67</v>
      </c>
      <c r="I258" s="123">
        <v>79062.78</v>
      </c>
      <c r="J258" s="123">
        <v>420280.89</v>
      </c>
      <c r="K258" s="705" t="s">
        <v>68</v>
      </c>
    </row>
    <row r="259" spans="1:11" s="91" customFormat="1" ht="26.4" x14ac:dyDescent="0.3">
      <c r="A259" s="98" t="s">
        <v>512</v>
      </c>
      <c r="B259" s="124" t="s">
        <v>547</v>
      </c>
      <c r="C259" s="120" t="s">
        <v>548</v>
      </c>
      <c r="D259" s="689">
        <v>44319</v>
      </c>
      <c r="E259" s="122">
        <v>10</v>
      </c>
      <c r="F259" s="120" t="s">
        <v>441</v>
      </c>
      <c r="G259" s="704" t="s">
        <v>22</v>
      </c>
      <c r="H259" s="123">
        <v>498622.37</v>
      </c>
      <c r="I259" s="123">
        <v>75001.149999999994</v>
      </c>
      <c r="J259" s="123">
        <v>423621.22</v>
      </c>
      <c r="K259" s="705" t="s">
        <v>68</v>
      </c>
    </row>
    <row r="260" spans="1:11" s="91" customFormat="1" ht="39.6" x14ac:dyDescent="0.3">
      <c r="A260" s="98" t="s">
        <v>512</v>
      </c>
      <c r="B260" s="124" t="s">
        <v>549</v>
      </c>
      <c r="C260" s="120" t="s">
        <v>550</v>
      </c>
      <c r="D260" s="689">
        <v>44314</v>
      </c>
      <c r="E260" s="122">
        <v>10</v>
      </c>
      <c r="F260" s="120" t="s">
        <v>441</v>
      </c>
      <c r="G260" s="704" t="s">
        <v>22</v>
      </c>
      <c r="H260" s="123">
        <v>432414.94</v>
      </c>
      <c r="I260" s="123">
        <v>65042.36</v>
      </c>
      <c r="J260" s="123">
        <v>367372.58</v>
      </c>
      <c r="K260" s="705" t="s">
        <v>68</v>
      </c>
    </row>
    <row r="261" spans="1:11" s="91" customFormat="1" ht="26.4" x14ac:dyDescent="0.3">
      <c r="A261" s="98" t="s">
        <v>512</v>
      </c>
      <c r="B261" s="124" t="s">
        <v>551</v>
      </c>
      <c r="C261" s="120" t="s">
        <v>552</v>
      </c>
      <c r="D261" s="689">
        <v>44413</v>
      </c>
      <c r="E261" s="122">
        <v>10</v>
      </c>
      <c r="F261" s="120" t="s">
        <v>441</v>
      </c>
      <c r="G261" s="704" t="s">
        <v>22</v>
      </c>
      <c r="H261" s="123">
        <v>498547.02</v>
      </c>
      <c r="I261" s="123">
        <v>63149.279999999999</v>
      </c>
      <c r="J261" s="123">
        <v>435397.74</v>
      </c>
      <c r="K261" s="705"/>
    </row>
    <row r="262" spans="1:11" s="91" customFormat="1" ht="39.6" x14ac:dyDescent="0.3">
      <c r="A262" s="98" t="s">
        <v>512</v>
      </c>
      <c r="B262" s="124" t="s">
        <v>553</v>
      </c>
      <c r="C262" s="120" t="s">
        <v>554</v>
      </c>
      <c r="D262" s="689">
        <v>44400</v>
      </c>
      <c r="E262" s="122">
        <v>10</v>
      </c>
      <c r="F262" s="120" t="s">
        <v>441</v>
      </c>
      <c r="G262" s="704" t="s">
        <v>22</v>
      </c>
      <c r="H262" s="123">
        <v>499350.62</v>
      </c>
      <c r="I262" s="123">
        <v>63251.05</v>
      </c>
      <c r="J262" s="123">
        <v>436099.57</v>
      </c>
      <c r="K262" s="705" t="s">
        <v>68</v>
      </c>
    </row>
    <row r="263" spans="1:11" s="91" customFormat="1" ht="26.4" x14ac:dyDescent="0.3">
      <c r="A263" s="98" t="s">
        <v>512</v>
      </c>
      <c r="B263" s="124" t="s">
        <v>555</v>
      </c>
      <c r="C263" s="120" t="s">
        <v>556</v>
      </c>
      <c r="D263" s="689">
        <v>44413</v>
      </c>
      <c r="E263" s="122">
        <v>10</v>
      </c>
      <c r="F263" s="120" t="s">
        <v>441</v>
      </c>
      <c r="G263" s="704" t="s">
        <v>22</v>
      </c>
      <c r="H263" s="123">
        <v>498639.45</v>
      </c>
      <c r="I263" s="123">
        <v>63160.97</v>
      </c>
      <c r="J263" s="123">
        <v>435478.48</v>
      </c>
      <c r="K263" s="705" t="s">
        <v>68</v>
      </c>
    </row>
    <row r="264" spans="1:11" s="91" customFormat="1" ht="26.4" x14ac:dyDescent="0.3">
      <c r="A264" s="98" t="s">
        <v>512</v>
      </c>
      <c r="B264" s="124" t="s">
        <v>557</v>
      </c>
      <c r="C264" s="120" t="s">
        <v>558</v>
      </c>
      <c r="D264" s="689">
        <v>44412</v>
      </c>
      <c r="E264" s="122">
        <v>10</v>
      </c>
      <c r="F264" s="120" t="s">
        <v>441</v>
      </c>
      <c r="G264" s="704" t="s">
        <v>22</v>
      </c>
      <c r="H264" s="123">
        <v>499308.05</v>
      </c>
      <c r="I264" s="123">
        <v>63245.74</v>
      </c>
      <c r="J264" s="123">
        <v>436062.31</v>
      </c>
      <c r="K264" s="705" t="s">
        <v>68</v>
      </c>
    </row>
    <row r="265" spans="1:11" s="91" customFormat="1" ht="26.4" x14ac:dyDescent="0.3">
      <c r="A265" s="98" t="s">
        <v>512</v>
      </c>
      <c r="B265" s="124" t="s">
        <v>559</v>
      </c>
      <c r="C265" s="120" t="s">
        <v>560</v>
      </c>
      <c r="D265" s="689">
        <v>44413</v>
      </c>
      <c r="E265" s="122">
        <v>10</v>
      </c>
      <c r="F265" s="120" t="s">
        <v>441</v>
      </c>
      <c r="G265" s="704" t="s">
        <v>22</v>
      </c>
      <c r="H265" s="123">
        <v>498359.4</v>
      </c>
      <c r="I265" s="123">
        <v>63125.58</v>
      </c>
      <c r="J265" s="123">
        <v>435233.82</v>
      </c>
      <c r="K265" s="705" t="s">
        <v>68</v>
      </c>
    </row>
    <row r="266" spans="1:11" s="91" customFormat="1" ht="26.4" x14ac:dyDescent="0.3">
      <c r="A266" s="98" t="s">
        <v>512</v>
      </c>
      <c r="B266" s="124" t="s">
        <v>561</v>
      </c>
      <c r="C266" s="120" t="s">
        <v>562</v>
      </c>
      <c r="D266" s="689">
        <v>44391</v>
      </c>
      <c r="E266" s="122">
        <v>10</v>
      </c>
      <c r="F266" s="120" t="s">
        <v>441</v>
      </c>
      <c r="G266" s="704" t="s">
        <v>22</v>
      </c>
      <c r="H266" s="123">
        <v>498564.77</v>
      </c>
      <c r="I266" s="123">
        <v>67098.5</v>
      </c>
      <c r="J266" s="123">
        <v>431466.27</v>
      </c>
      <c r="K266" s="705" t="s">
        <v>68</v>
      </c>
    </row>
    <row r="267" spans="1:11" s="91" customFormat="1" ht="26.4" x14ac:dyDescent="0.3">
      <c r="A267" s="98" t="s">
        <v>512</v>
      </c>
      <c r="B267" s="124" t="s">
        <v>563</v>
      </c>
      <c r="C267" s="120" t="s">
        <v>564</v>
      </c>
      <c r="D267" s="689">
        <v>44524</v>
      </c>
      <c r="E267" s="122">
        <v>10</v>
      </c>
      <c r="F267" s="120" t="s">
        <v>441</v>
      </c>
      <c r="G267" s="704" t="s">
        <v>22</v>
      </c>
      <c r="H267" s="123">
        <v>491544.21</v>
      </c>
      <c r="I267" s="123">
        <v>46696.68</v>
      </c>
      <c r="J267" s="123">
        <v>444847.53</v>
      </c>
      <c r="K267" s="705" t="s">
        <v>68</v>
      </c>
    </row>
    <row r="268" spans="1:11" s="91" customFormat="1" ht="26.4" x14ac:dyDescent="0.3">
      <c r="A268" s="98" t="s">
        <v>512</v>
      </c>
      <c r="B268" s="124" t="s">
        <v>565</v>
      </c>
      <c r="C268" s="120" t="s">
        <v>566</v>
      </c>
      <c r="D268" s="689">
        <v>44503</v>
      </c>
      <c r="E268" s="122">
        <v>10</v>
      </c>
      <c r="F268" s="120" t="s">
        <v>441</v>
      </c>
      <c r="G268" s="704" t="s">
        <v>22</v>
      </c>
      <c r="H268" s="123">
        <v>493329.88</v>
      </c>
      <c r="I268" s="123">
        <v>50771.89</v>
      </c>
      <c r="J268" s="123">
        <v>442557.99</v>
      </c>
      <c r="K268" s="705" t="s">
        <v>68</v>
      </c>
    </row>
    <row r="269" spans="1:11" s="91" customFormat="1" ht="26.4" x14ac:dyDescent="0.3">
      <c r="A269" s="98" t="s">
        <v>512</v>
      </c>
      <c r="B269" s="124" t="s">
        <v>567</v>
      </c>
      <c r="C269" s="120" t="s">
        <v>568</v>
      </c>
      <c r="D269" s="689">
        <v>44505</v>
      </c>
      <c r="E269" s="122">
        <v>10</v>
      </c>
      <c r="F269" s="120" t="s">
        <v>441</v>
      </c>
      <c r="G269" s="704" t="s">
        <v>22</v>
      </c>
      <c r="H269" s="123">
        <v>494247.58</v>
      </c>
      <c r="I269" s="123">
        <v>50866.28</v>
      </c>
      <c r="J269" s="123">
        <v>443381.3</v>
      </c>
      <c r="K269" s="705" t="s">
        <v>68</v>
      </c>
    </row>
    <row r="270" spans="1:11" s="91" customFormat="1" ht="26.4" x14ac:dyDescent="0.3">
      <c r="A270" s="98" t="s">
        <v>512</v>
      </c>
      <c r="B270" s="124" t="s">
        <v>569</v>
      </c>
      <c r="C270" s="120" t="s">
        <v>570</v>
      </c>
      <c r="D270" s="689">
        <v>44586</v>
      </c>
      <c r="E270" s="122">
        <v>10</v>
      </c>
      <c r="F270" s="120" t="s">
        <v>441</v>
      </c>
      <c r="G270" s="704" t="s">
        <v>22</v>
      </c>
      <c r="H270" s="123">
        <v>497211.05</v>
      </c>
      <c r="I270" s="123">
        <v>39362.5</v>
      </c>
      <c r="J270" s="123">
        <v>457848.55</v>
      </c>
      <c r="K270" s="705"/>
    </row>
    <row r="271" spans="1:11" s="91" customFormat="1" ht="26.4" x14ac:dyDescent="0.3">
      <c r="A271" s="98" t="s">
        <v>512</v>
      </c>
      <c r="B271" s="124" t="s">
        <v>571</v>
      </c>
      <c r="C271" s="120" t="s">
        <v>572</v>
      </c>
      <c r="D271" s="689">
        <v>44743</v>
      </c>
      <c r="E271" s="122">
        <v>10</v>
      </c>
      <c r="F271" s="120" t="s">
        <v>66</v>
      </c>
      <c r="G271" s="704" t="s">
        <v>22</v>
      </c>
      <c r="H271" s="123">
        <v>496956.42</v>
      </c>
      <c r="I271" s="123">
        <v>19671.2</v>
      </c>
      <c r="J271" s="123">
        <v>477285.22</v>
      </c>
      <c r="K271" s="705"/>
    </row>
    <row r="272" spans="1:11" s="91" customFormat="1" x14ac:dyDescent="0.3">
      <c r="A272" s="798" t="s">
        <v>573</v>
      </c>
      <c r="B272" s="799"/>
      <c r="C272" s="799"/>
      <c r="D272" s="799"/>
      <c r="E272" s="799"/>
      <c r="F272" s="799"/>
      <c r="G272" s="800"/>
      <c r="H272" s="708">
        <f>SUM(H242:H271)</f>
        <v>13519719.530000001</v>
      </c>
      <c r="I272" s="708">
        <f t="shared" ref="I272:J272" si="8">SUM(I242:I271)</f>
        <v>3041179.87</v>
      </c>
      <c r="J272" s="708">
        <f t="shared" si="8"/>
        <v>10478539.660000002</v>
      </c>
      <c r="K272" s="709"/>
    </row>
    <row r="273" spans="1:11" s="91" customFormat="1" x14ac:dyDescent="0.3">
      <c r="A273" s="801" t="s">
        <v>574</v>
      </c>
      <c r="B273" s="802"/>
      <c r="C273" s="802"/>
      <c r="D273" s="802"/>
      <c r="E273" s="802"/>
      <c r="F273" s="802"/>
      <c r="G273" s="802"/>
      <c r="H273" s="802"/>
      <c r="I273" s="802"/>
      <c r="J273" s="802"/>
      <c r="K273" s="803"/>
    </row>
    <row r="274" spans="1:11" s="91" customFormat="1" ht="26.4" x14ac:dyDescent="0.3">
      <c r="A274" s="98" t="s">
        <v>575</v>
      </c>
      <c r="B274" s="124" t="s">
        <v>576</v>
      </c>
      <c r="C274" s="120" t="s">
        <v>577</v>
      </c>
      <c r="D274" s="689">
        <v>44774</v>
      </c>
      <c r="E274" s="122">
        <v>5</v>
      </c>
      <c r="F274" s="120" t="s">
        <v>258</v>
      </c>
      <c r="G274" s="704" t="s">
        <v>22</v>
      </c>
      <c r="H274" s="123">
        <v>24980</v>
      </c>
      <c r="I274" s="123">
        <v>395.52</v>
      </c>
      <c r="J274" s="123">
        <v>24584.48</v>
      </c>
      <c r="K274" s="705"/>
    </row>
    <row r="275" spans="1:11" s="91" customFormat="1" x14ac:dyDescent="0.3">
      <c r="A275" s="798" t="s">
        <v>578</v>
      </c>
      <c r="B275" s="799"/>
      <c r="C275" s="799"/>
      <c r="D275" s="799"/>
      <c r="E275" s="799"/>
      <c r="F275" s="799"/>
      <c r="G275" s="800"/>
      <c r="H275" s="708">
        <f>H274</f>
        <v>24980</v>
      </c>
      <c r="I275" s="708">
        <f t="shared" ref="I275:J275" si="9">I274</f>
        <v>395.52</v>
      </c>
      <c r="J275" s="708">
        <f t="shared" si="9"/>
        <v>24584.48</v>
      </c>
      <c r="K275" s="709"/>
    </row>
    <row r="276" spans="1:11" s="91" customFormat="1" x14ac:dyDescent="0.3">
      <c r="A276" s="801" t="s">
        <v>235</v>
      </c>
      <c r="B276" s="802"/>
      <c r="C276" s="802"/>
      <c r="D276" s="802"/>
      <c r="E276" s="802"/>
      <c r="F276" s="802"/>
      <c r="G276" s="802"/>
      <c r="H276" s="802"/>
      <c r="I276" s="802"/>
      <c r="J276" s="802"/>
      <c r="K276" s="803"/>
    </row>
    <row r="277" spans="1:11" s="91" customFormat="1" ht="26.4" x14ac:dyDescent="0.3">
      <c r="A277" s="98" t="s">
        <v>579</v>
      </c>
      <c r="B277" s="124" t="s">
        <v>580</v>
      </c>
      <c r="C277" s="120" t="s">
        <v>581</v>
      </c>
      <c r="D277" s="689">
        <v>44112</v>
      </c>
      <c r="E277" s="122">
        <v>30</v>
      </c>
      <c r="F277" s="120" t="s">
        <v>258</v>
      </c>
      <c r="G277" s="704" t="s">
        <v>22</v>
      </c>
      <c r="H277" s="123">
        <v>494643.18</v>
      </c>
      <c r="I277" s="123">
        <v>33938.04</v>
      </c>
      <c r="J277" s="123">
        <v>460705.14</v>
      </c>
      <c r="K277" s="705"/>
    </row>
    <row r="278" spans="1:11" s="91" customFormat="1" ht="26.4" x14ac:dyDescent="0.3">
      <c r="A278" s="98" t="s">
        <v>579</v>
      </c>
      <c r="B278" s="124" t="s">
        <v>582</v>
      </c>
      <c r="C278" s="120" t="s">
        <v>583</v>
      </c>
      <c r="D278" s="689">
        <v>44280</v>
      </c>
      <c r="E278" s="122">
        <v>30</v>
      </c>
      <c r="F278" s="120" t="s">
        <v>441</v>
      </c>
      <c r="G278" s="704" t="s">
        <v>22</v>
      </c>
      <c r="H278" s="123">
        <v>497052.43</v>
      </c>
      <c r="I278" s="123">
        <v>26233.37</v>
      </c>
      <c r="J278" s="123">
        <v>470819.06</v>
      </c>
      <c r="K278" s="705"/>
    </row>
    <row r="279" spans="1:11" s="91" customFormat="1" ht="26.4" x14ac:dyDescent="0.3">
      <c r="A279" s="98" t="s">
        <v>579</v>
      </c>
      <c r="B279" s="124" t="s">
        <v>584</v>
      </c>
      <c r="C279" s="120" t="s">
        <v>585</v>
      </c>
      <c r="D279" s="689">
        <v>38656</v>
      </c>
      <c r="E279" s="122">
        <v>20</v>
      </c>
      <c r="F279" s="120" t="s">
        <v>66</v>
      </c>
      <c r="G279" s="704" t="s">
        <v>22</v>
      </c>
      <c r="H279" s="123">
        <v>79751.350000000006</v>
      </c>
      <c r="I279" s="123">
        <v>65291.27</v>
      </c>
      <c r="J279" s="123">
        <v>14460.08</v>
      </c>
      <c r="K279" s="705"/>
    </row>
    <row r="280" spans="1:11" s="91" customFormat="1" ht="26.4" x14ac:dyDescent="0.3">
      <c r="A280" s="98" t="s">
        <v>579</v>
      </c>
      <c r="B280" s="124" t="s">
        <v>586</v>
      </c>
      <c r="C280" s="120" t="s">
        <v>587</v>
      </c>
      <c r="D280" s="689">
        <v>42894</v>
      </c>
      <c r="E280" s="122">
        <v>10</v>
      </c>
      <c r="F280" s="120" t="s">
        <v>66</v>
      </c>
      <c r="G280" s="704" t="s">
        <v>22</v>
      </c>
      <c r="H280" s="123">
        <v>474159.93</v>
      </c>
      <c r="I280" s="123">
        <v>247748.6</v>
      </c>
      <c r="J280" s="123">
        <v>226411.33</v>
      </c>
      <c r="K280" s="705"/>
    </row>
    <row r="281" spans="1:11" s="91" customFormat="1" ht="26.4" x14ac:dyDescent="0.3">
      <c r="A281" s="98" t="s">
        <v>579</v>
      </c>
      <c r="B281" s="124" t="s">
        <v>588</v>
      </c>
      <c r="C281" s="120" t="s">
        <v>589</v>
      </c>
      <c r="D281" s="689">
        <v>44875</v>
      </c>
      <c r="E281" s="122">
        <v>5</v>
      </c>
      <c r="F281" s="120" t="s">
        <v>258</v>
      </c>
      <c r="G281" s="704" t="s">
        <v>22</v>
      </c>
      <c r="H281" s="123">
        <v>1497411.74</v>
      </c>
      <c r="I281" s="123">
        <v>0</v>
      </c>
      <c r="J281" s="123">
        <v>1497411.74</v>
      </c>
      <c r="K281" s="705"/>
    </row>
    <row r="282" spans="1:11" s="91" customFormat="1" ht="26.4" x14ac:dyDescent="0.3">
      <c r="A282" s="98" t="s">
        <v>579</v>
      </c>
      <c r="B282" s="124" t="s">
        <v>590</v>
      </c>
      <c r="C282" s="120" t="s">
        <v>591</v>
      </c>
      <c r="D282" s="689">
        <v>44853</v>
      </c>
      <c r="E282" s="122">
        <v>5</v>
      </c>
      <c r="F282" s="120" t="s">
        <v>258</v>
      </c>
      <c r="G282" s="704" t="s">
        <v>22</v>
      </c>
      <c r="H282" s="123">
        <v>3987492.1</v>
      </c>
      <c r="I282" s="123">
        <v>126270.58</v>
      </c>
      <c r="J282" s="123">
        <v>3861221.52</v>
      </c>
      <c r="K282" s="705"/>
    </row>
    <row r="283" spans="1:11" s="91" customFormat="1" ht="26.4" x14ac:dyDescent="0.3">
      <c r="A283" s="98" t="s">
        <v>579</v>
      </c>
      <c r="B283" s="124" t="s">
        <v>592</v>
      </c>
      <c r="C283" s="120" t="s">
        <v>593</v>
      </c>
      <c r="D283" s="689">
        <v>44543</v>
      </c>
      <c r="E283" s="122">
        <v>30</v>
      </c>
      <c r="F283" s="120" t="s">
        <v>258</v>
      </c>
      <c r="G283" s="704" t="s">
        <v>22</v>
      </c>
      <c r="H283" s="123">
        <v>497585.94</v>
      </c>
      <c r="I283" s="123">
        <v>14443.77</v>
      </c>
      <c r="J283" s="123">
        <v>483142.17</v>
      </c>
      <c r="K283" s="705"/>
    </row>
    <row r="284" spans="1:11" s="91" customFormat="1" ht="39.6" x14ac:dyDescent="0.3">
      <c r="A284" s="98" t="s">
        <v>579</v>
      </c>
      <c r="B284" s="124" t="s">
        <v>594</v>
      </c>
      <c r="C284" s="120" t="s">
        <v>595</v>
      </c>
      <c r="D284" s="689">
        <v>44595</v>
      </c>
      <c r="E284" s="122">
        <v>25</v>
      </c>
      <c r="F284" s="120" t="s">
        <v>66</v>
      </c>
      <c r="G284" s="704" t="s">
        <v>22</v>
      </c>
      <c r="H284" s="123">
        <v>495442.77</v>
      </c>
      <c r="I284" s="123">
        <v>15689</v>
      </c>
      <c r="J284" s="123">
        <v>479753.77</v>
      </c>
      <c r="K284" s="705"/>
    </row>
    <row r="285" spans="1:11" s="91" customFormat="1" x14ac:dyDescent="0.3">
      <c r="A285" s="798" t="s">
        <v>596</v>
      </c>
      <c r="B285" s="799"/>
      <c r="C285" s="799"/>
      <c r="D285" s="799"/>
      <c r="E285" s="799"/>
      <c r="F285" s="799"/>
      <c r="G285" s="800"/>
      <c r="H285" s="708">
        <f>SUM(H277:H284)</f>
        <v>8023539.4400000013</v>
      </c>
      <c r="I285" s="708">
        <f t="shared" ref="I285:J285" si="10">SUM(I277:I284)</f>
        <v>529614.63000000012</v>
      </c>
      <c r="J285" s="708">
        <f t="shared" si="10"/>
        <v>7493924.8099999987</v>
      </c>
      <c r="K285" s="709"/>
    </row>
    <row r="286" spans="1:11" s="91" customFormat="1" x14ac:dyDescent="0.3">
      <c r="A286" s="717"/>
      <c r="B286" s="717"/>
      <c r="C286" s="717"/>
      <c r="D286" s="717"/>
      <c r="E286" s="717"/>
      <c r="F286" s="717"/>
      <c r="G286" s="717"/>
      <c r="H286" s="718"/>
      <c r="I286" s="718"/>
      <c r="J286" s="718"/>
      <c r="K286" s="719"/>
    </row>
    <row r="287" spans="1:11" s="91" customFormat="1" x14ac:dyDescent="0.3">
      <c r="A287" s="720"/>
      <c r="B287" s="720"/>
      <c r="C287" s="720"/>
      <c r="D287" s="720"/>
      <c r="E287" s="720"/>
      <c r="F287" s="720"/>
      <c r="G287" s="720"/>
      <c r="H287" s="721"/>
      <c r="I287" s="721"/>
      <c r="J287" s="721"/>
      <c r="K287" s="722"/>
    </row>
    <row r="288" spans="1:11" s="91" customFormat="1" x14ac:dyDescent="0.3">
      <c r="A288" s="801" t="s">
        <v>240</v>
      </c>
      <c r="B288" s="802"/>
      <c r="C288" s="802"/>
      <c r="D288" s="802"/>
      <c r="E288" s="802"/>
      <c r="F288" s="802"/>
      <c r="G288" s="802"/>
      <c r="H288" s="802"/>
      <c r="I288" s="802"/>
      <c r="J288" s="802"/>
      <c r="K288" s="803"/>
    </row>
    <row r="289" spans="1:11" s="91" customFormat="1" ht="26.4" x14ac:dyDescent="0.3">
      <c r="A289" s="98" t="s">
        <v>597</v>
      </c>
      <c r="B289" s="124" t="s">
        <v>598</v>
      </c>
      <c r="C289" s="120" t="s">
        <v>599</v>
      </c>
      <c r="D289" s="689">
        <v>40544</v>
      </c>
      <c r="E289" s="122">
        <v>30</v>
      </c>
      <c r="F289" s="120" t="s">
        <v>248</v>
      </c>
      <c r="G289" s="704" t="s">
        <v>22</v>
      </c>
      <c r="H289" s="123">
        <v>1620111.82</v>
      </c>
      <c r="I289" s="123">
        <v>606486.13</v>
      </c>
      <c r="J289" s="123">
        <v>1013625.69</v>
      </c>
      <c r="K289" s="705" t="s">
        <v>68</v>
      </c>
    </row>
    <row r="290" spans="1:11" s="91" customFormat="1" ht="26.4" x14ac:dyDescent="0.3">
      <c r="A290" s="98" t="s">
        <v>597</v>
      </c>
      <c r="B290" s="124" t="s">
        <v>600</v>
      </c>
      <c r="C290" s="120" t="s">
        <v>601</v>
      </c>
      <c r="D290" s="689">
        <v>40544</v>
      </c>
      <c r="E290" s="122">
        <v>30</v>
      </c>
      <c r="F290" s="120" t="s">
        <v>248</v>
      </c>
      <c r="G290" s="704" t="s">
        <v>22</v>
      </c>
      <c r="H290" s="123">
        <v>1552692.42</v>
      </c>
      <c r="I290" s="123">
        <v>581247.74</v>
      </c>
      <c r="J290" s="123">
        <v>971444.68</v>
      </c>
      <c r="K290" s="705" t="s">
        <v>68</v>
      </c>
    </row>
    <row r="291" spans="1:11" s="91" customFormat="1" ht="39.6" x14ac:dyDescent="0.3">
      <c r="A291" s="98" t="s">
        <v>597</v>
      </c>
      <c r="B291" s="124" t="s">
        <v>602</v>
      </c>
      <c r="C291" s="120" t="s">
        <v>603</v>
      </c>
      <c r="D291" s="689">
        <v>44778</v>
      </c>
      <c r="E291" s="122">
        <v>30</v>
      </c>
      <c r="F291" s="120" t="s">
        <v>258</v>
      </c>
      <c r="G291" s="704" t="s">
        <v>22</v>
      </c>
      <c r="H291" s="123">
        <v>2996610.32</v>
      </c>
      <c r="I291" s="123">
        <v>23723.16</v>
      </c>
      <c r="J291" s="123">
        <v>2972887.16</v>
      </c>
      <c r="K291" s="705"/>
    </row>
    <row r="292" spans="1:11" s="91" customFormat="1" ht="39.6" x14ac:dyDescent="0.3">
      <c r="A292" s="98" t="s">
        <v>597</v>
      </c>
      <c r="B292" s="124" t="s">
        <v>604</v>
      </c>
      <c r="C292" s="120" t="s">
        <v>605</v>
      </c>
      <c r="D292" s="689">
        <v>44806</v>
      </c>
      <c r="E292" s="122">
        <v>30</v>
      </c>
      <c r="F292" s="120" t="s">
        <v>258</v>
      </c>
      <c r="G292" s="704" t="s">
        <v>22</v>
      </c>
      <c r="H292" s="123">
        <v>2998978.81</v>
      </c>
      <c r="I292" s="123">
        <v>23741.91</v>
      </c>
      <c r="J292" s="123">
        <v>2975236.9</v>
      </c>
      <c r="K292" s="705"/>
    </row>
    <row r="293" spans="1:11" s="91" customFormat="1" ht="26.4" x14ac:dyDescent="0.3">
      <c r="A293" s="98" t="s">
        <v>597</v>
      </c>
      <c r="B293" s="124" t="s">
        <v>606</v>
      </c>
      <c r="C293" s="120" t="s">
        <v>607</v>
      </c>
      <c r="D293" s="689">
        <v>42231</v>
      </c>
      <c r="E293" s="122">
        <v>30</v>
      </c>
      <c r="F293" s="120" t="s">
        <v>441</v>
      </c>
      <c r="G293" s="704" t="s">
        <v>22</v>
      </c>
      <c r="H293" s="123">
        <v>1562885.02</v>
      </c>
      <c r="I293" s="123">
        <v>362936.63</v>
      </c>
      <c r="J293" s="123">
        <v>1199948.3899999999</v>
      </c>
      <c r="K293" s="705" t="s">
        <v>68</v>
      </c>
    </row>
    <row r="294" spans="1:11" s="91" customFormat="1" ht="26.4" x14ac:dyDescent="0.3">
      <c r="A294" s="98" t="s">
        <v>597</v>
      </c>
      <c r="B294" s="124" t="s">
        <v>608</v>
      </c>
      <c r="C294" s="120" t="s">
        <v>609</v>
      </c>
      <c r="D294" s="689">
        <v>42250</v>
      </c>
      <c r="E294" s="122">
        <v>30</v>
      </c>
      <c r="F294" s="120" t="s">
        <v>441</v>
      </c>
      <c r="G294" s="704" t="s">
        <v>22</v>
      </c>
      <c r="H294" s="123">
        <v>1570729.22</v>
      </c>
      <c r="I294" s="123">
        <v>360613.25</v>
      </c>
      <c r="J294" s="123">
        <v>1210115.97</v>
      </c>
      <c r="K294" s="705" t="s">
        <v>68</v>
      </c>
    </row>
    <row r="295" spans="1:11" s="91" customFormat="1" ht="26.4" x14ac:dyDescent="0.3">
      <c r="A295" s="98" t="s">
        <v>597</v>
      </c>
      <c r="B295" s="124" t="s">
        <v>610</v>
      </c>
      <c r="C295" s="120" t="s">
        <v>611</v>
      </c>
      <c r="D295" s="689">
        <v>42278</v>
      </c>
      <c r="E295" s="122">
        <v>30</v>
      </c>
      <c r="F295" s="120" t="s">
        <v>441</v>
      </c>
      <c r="G295" s="704" t="s">
        <v>22</v>
      </c>
      <c r="H295" s="123">
        <v>1558694.56</v>
      </c>
      <c r="I295" s="123">
        <v>353737.05</v>
      </c>
      <c r="J295" s="123">
        <v>1204957.51</v>
      </c>
      <c r="K295" s="705" t="s">
        <v>68</v>
      </c>
    </row>
    <row r="296" spans="1:11" s="91" customFormat="1" ht="26.4" x14ac:dyDescent="0.3">
      <c r="A296" s="98" t="s">
        <v>597</v>
      </c>
      <c r="B296" s="124" t="s">
        <v>612</v>
      </c>
      <c r="C296" s="120" t="s">
        <v>613</v>
      </c>
      <c r="D296" s="689">
        <v>42242</v>
      </c>
      <c r="E296" s="122">
        <v>30</v>
      </c>
      <c r="F296" s="120" t="s">
        <v>441</v>
      </c>
      <c r="G296" s="704" t="s">
        <v>22</v>
      </c>
      <c r="H296" s="123">
        <v>1990131.98</v>
      </c>
      <c r="I296" s="123">
        <v>456901.17</v>
      </c>
      <c r="J296" s="123">
        <v>1533230.81</v>
      </c>
      <c r="K296" s="705"/>
    </row>
    <row r="297" spans="1:11" s="91" customFormat="1" ht="52.8" x14ac:dyDescent="0.3">
      <c r="A297" s="98" t="s">
        <v>597</v>
      </c>
      <c r="B297" s="124" t="s">
        <v>614</v>
      </c>
      <c r="C297" s="120" t="s">
        <v>615</v>
      </c>
      <c r="D297" s="689">
        <v>44112</v>
      </c>
      <c r="E297" s="122">
        <v>30</v>
      </c>
      <c r="F297" s="120" t="s">
        <v>258</v>
      </c>
      <c r="G297" s="704" t="s">
        <v>22</v>
      </c>
      <c r="H297" s="123">
        <v>2197825.29</v>
      </c>
      <c r="I297" s="123">
        <v>150795.26999999999</v>
      </c>
      <c r="J297" s="123">
        <v>2047030.02</v>
      </c>
      <c r="K297" s="705" t="s">
        <v>68</v>
      </c>
    </row>
    <row r="298" spans="1:11" s="91" customFormat="1" ht="26.4" x14ac:dyDescent="0.3">
      <c r="A298" s="98" t="s">
        <v>597</v>
      </c>
      <c r="B298" s="124" t="s">
        <v>616</v>
      </c>
      <c r="C298" s="120" t="s">
        <v>617</v>
      </c>
      <c r="D298" s="689">
        <v>41702</v>
      </c>
      <c r="E298" s="122">
        <v>30</v>
      </c>
      <c r="F298" s="120" t="s">
        <v>441</v>
      </c>
      <c r="G298" s="704" t="s">
        <v>22</v>
      </c>
      <c r="H298" s="123">
        <v>188471.4</v>
      </c>
      <c r="I298" s="123">
        <v>52088.46</v>
      </c>
      <c r="J298" s="123">
        <v>136382.94</v>
      </c>
      <c r="K298" s="705" t="s">
        <v>68</v>
      </c>
    </row>
    <row r="299" spans="1:11" s="91" customFormat="1" ht="26.4" x14ac:dyDescent="0.3">
      <c r="A299" s="98" t="s">
        <v>597</v>
      </c>
      <c r="B299" s="124" t="s">
        <v>618</v>
      </c>
      <c r="C299" s="120" t="s">
        <v>619</v>
      </c>
      <c r="D299" s="689">
        <v>38883</v>
      </c>
      <c r="E299" s="122">
        <v>10</v>
      </c>
      <c r="F299" s="120" t="s">
        <v>620</v>
      </c>
      <c r="G299" s="704" t="s">
        <v>22</v>
      </c>
      <c r="H299" s="123">
        <v>209712.5</v>
      </c>
      <c r="I299" s="123">
        <v>207327.02</v>
      </c>
      <c r="J299" s="123">
        <v>2385.48</v>
      </c>
      <c r="K299" s="705" t="s">
        <v>68</v>
      </c>
    </row>
    <row r="300" spans="1:11" s="91" customFormat="1" ht="26.4" x14ac:dyDescent="0.3">
      <c r="A300" s="98" t="s">
        <v>597</v>
      </c>
      <c r="B300" s="124" t="s">
        <v>621</v>
      </c>
      <c r="C300" s="120" t="s">
        <v>622</v>
      </c>
      <c r="D300" s="689">
        <v>38813</v>
      </c>
      <c r="E300" s="122">
        <v>20</v>
      </c>
      <c r="F300" s="120" t="s">
        <v>66</v>
      </c>
      <c r="G300" s="704" t="s">
        <v>22</v>
      </c>
      <c r="H300" s="123">
        <v>109800</v>
      </c>
      <c r="I300" s="123">
        <v>87565.53</v>
      </c>
      <c r="J300" s="123">
        <v>22234.47</v>
      </c>
      <c r="K300" s="705" t="s">
        <v>68</v>
      </c>
    </row>
    <row r="301" spans="1:11" s="91" customFormat="1" ht="26.4" x14ac:dyDescent="0.3">
      <c r="A301" s="98" t="s">
        <v>597</v>
      </c>
      <c r="B301" s="124" t="s">
        <v>623</v>
      </c>
      <c r="C301" s="120" t="s">
        <v>624</v>
      </c>
      <c r="D301" s="689">
        <v>41276</v>
      </c>
      <c r="E301" s="122">
        <v>20</v>
      </c>
      <c r="F301" s="120" t="s">
        <v>441</v>
      </c>
      <c r="G301" s="704" t="s">
        <v>22</v>
      </c>
      <c r="H301" s="123">
        <v>462621.64</v>
      </c>
      <c r="I301" s="123">
        <v>217432.19</v>
      </c>
      <c r="J301" s="123">
        <v>245189.45</v>
      </c>
      <c r="K301" s="705" t="s">
        <v>68</v>
      </c>
    </row>
    <row r="302" spans="1:11" s="91" customFormat="1" ht="26.4" x14ac:dyDescent="0.3">
      <c r="A302" s="98" t="s">
        <v>597</v>
      </c>
      <c r="B302" s="124" t="s">
        <v>625</v>
      </c>
      <c r="C302" s="120" t="s">
        <v>626</v>
      </c>
      <c r="D302" s="689">
        <v>44015</v>
      </c>
      <c r="E302" s="122">
        <v>30</v>
      </c>
      <c r="F302" s="120" t="s">
        <v>441</v>
      </c>
      <c r="G302" s="704" t="s">
        <v>22</v>
      </c>
      <c r="H302" s="123">
        <v>2843703.24</v>
      </c>
      <c r="I302" s="123">
        <v>217622.32</v>
      </c>
      <c r="J302" s="123">
        <v>2626080.92</v>
      </c>
      <c r="K302" s="705" t="s">
        <v>68</v>
      </c>
    </row>
    <row r="303" spans="1:11" s="91" customFormat="1" ht="26.4" x14ac:dyDescent="0.3">
      <c r="A303" s="98" t="s">
        <v>597</v>
      </c>
      <c r="B303" s="124" t="s">
        <v>627</v>
      </c>
      <c r="C303" s="120" t="s">
        <v>628</v>
      </c>
      <c r="D303" s="689">
        <v>44081</v>
      </c>
      <c r="E303" s="122">
        <v>30</v>
      </c>
      <c r="F303" s="120" t="s">
        <v>441</v>
      </c>
      <c r="G303" s="704" t="s">
        <v>22</v>
      </c>
      <c r="H303" s="123">
        <v>1274343.68</v>
      </c>
      <c r="I303" s="123">
        <v>90796.98</v>
      </c>
      <c r="J303" s="123">
        <v>1183546.7</v>
      </c>
      <c r="K303" s="705"/>
    </row>
    <row r="304" spans="1:11" s="91" customFormat="1" ht="39.6" x14ac:dyDescent="0.3">
      <c r="A304" s="98" t="s">
        <v>597</v>
      </c>
      <c r="B304" s="124" t="s">
        <v>629</v>
      </c>
      <c r="C304" s="120" t="s">
        <v>630</v>
      </c>
      <c r="D304" s="689">
        <v>44710</v>
      </c>
      <c r="E304" s="122">
        <v>30</v>
      </c>
      <c r="F304" s="120" t="s">
        <v>258</v>
      </c>
      <c r="G304" s="704" t="s">
        <v>22</v>
      </c>
      <c r="H304" s="123">
        <v>2585704.7400000002</v>
      </c>
      <c r="I304" s="123">
        <v>13646.78</v>
      </c>
      <c r="J304" s="123">
        <v>2572057.96</v>
      </c>
      <c r="K304" s="705"/>
    </row>
    <row r="305" spans="1:11" s="91" customFormat="1" ht="26.4" x14ac:dyDescent="0.3">
      <c r="A305" s="98" t="s">
        <v>597</v>
      </c>
      <c r="B305" s="124" t="s">
        <v>631</v>
      </c>
      <c r="C305" s="120" t="s">
        <v>632</v>
      </c>
      <c r="D305" s="689">
        <v>44245</v>
      </c>
      <c r="E305" s="122">
        <v>30</v>
      </c>
      <c r="F305" s="120" t="s">
        <v>258</v>
      </c>
      <c r="G305" s="704" t="s">
        <v>22</v>
      </c>
      <c r="H305" s="123">
        <v>1488738.25</v>
      </c>
      <c r="I305" s="123">
        <v>82500.86</v>
      </c>
      <c r="J305" s="123">
        <v>1406237.39</v>
      </c>
      <c r="K305" s="705" t="s">
        <v>68</v>
      </c>
    </row>
    <row r="306" spans="1:11" s="91" customFormat="1" ht="26.4" x14ac:dyDescent="0.3">
      <c r="A306" s="98" t="s">
        <v>597</v>
      </c>
      <c r="B306" s="124" t="s">
        <v>633</v>
      </c>
      <c r="C306" s="120" t="s">
        <v>634</v>
      </c>
      <c r="D306" s="689">
        <v>44159</v>
      </c>
      <c r="E306" s="122">
        <v>30</v>
      </c>
      <c r="F306" s="120" t="s">
        <v>258</v>
      </c>
      <c r="G306" s="704" t="s">
        <v>22</v>
      </c>
      <c r="H306" s="123">
        <v>598105.81000000006</v>
      </c>
      <c r="I306" s="123">
        <v>37879.980000000003</v>
      </c>
      <c r="J306" s="123">
        <v>560225.82999999996</v>
      </c>
      <c r="K306" s="705" t="s">
        <v>68</v>
      </c>
    </row>
    <row r="307" spans="1:11" s="91" customFormat="1" ht="39.6" x14ac:dyDescent="0.3">
      <c r="A307" s="98" t="s">
        <v>597</v>
      </c>
      <c r="B307" s="124" t="s">
        <v>635</v>
      </c>
      <c r="C307" s="120" t="s">
        <v>636</v>
      </c>
      <c r="D307" s="689">
        <v>44323</v>
      </c>
      <c r="E307" s="122">
        <v>30</v>
      </c>
      <c r="F307" s="120" t="s">
        <v>258</v>
      </c>
      <c r="G307" s="704" t="s">
        <v>22</v>
      </c>
      <c r="H307" s="123">
        <v>2592734.54</v>
      </c>
      <c r="I307" s="123">
        <v>129996.85</v>
      </c>
      <c r="J307" s="123">
        <v>2462737.69</v>
      </c>
      <c r="K307" s="705" t="s">
        <v>68</v>
      </c>
    </row>
    <row r="308" spans="1:11" s="91" customFormat="1" ht="39.6" x14ac:dyDescent="0.3">
      <c r="A308" s="98" t="s">
        <v>597</v>
      </c>
      <c r="B308" s="124" t="s">
        <v>637</v>
      </c>
      <c r="C308" s="120" t="s">
        <v>638</v>
      </c>
      <c r="D308" s="689">
        <v>44287</v>
      </c>
      <c r="E308" s="122">
        <v>30</v>
      </c>
      <c r="F308" s="120" t="s">
        <v>258</v>
      </c>
      <c r="G308" s="704" t="s">
        <v>22</v>
      </c>
      <c r="H308" s="123">
        <v>2493444.8199999998</v>
      </c>
      <c r="I308" s="123">
        <v>131598.43</v>
      </c>
      <c r="J308" s="123">
        <v>2361846.39</v>
      </c>
      <c r="K308" s="705" t="s">
        <v>68</v>
      </c>
    </row>
    <row r="309" spans="1:11" s="91" customFormat="1" ht="39.6" x14ac:dyDescent="0.3">
      <c r="A309" s="98" t="s">
        <v>597</v>
      </c>
      <c r="B309" s="124" t="s">
        <v>639</v>
      </c>
      <c r="C309" s="120" t="s">
        <v>640</v>
      </c>
      <c r="D309" s="689">
        <v>44267</v>
      </c>
      <c r="E309" s="122">
        <v>30</v>
      </c>
      <c r="F309" s="120" t="s">
        <v>258</v>
      </c>
      <c r="G309" s="704" t="s">
        <v>22</v>
      </c>
      <c r="H309" s="123">
        <v>2577451.5299999998</v>
      </c>
      <c r="I309" s="123">
        <v>142833.79</v>
      </c>
      <c r="J309" s="123">
        <v>2434617.7400000002</v>
      </c>
      <c r="K309" s="705" t="s">
        <v>68</v>
      </c>
    </row>
    <row r="310" spans="1:11" s="91" customFormat="1" ht="39.6" x14ac:dyDescent="0.3">
      <c r="A310" s="98" t="s">
        <v>597</v>
      </c>
      <c r="B310" s="124" t="s">
        <v>641</v>
      </c>
      <c r="C310" s="120" t="s">
        <v>642</v>
      </c>
      <c r="D310" s="689">
        <v>44337</v>
      </c>
      <c r="E310" s="122">
        <v>30</v>
      </c>
      <c r="F310" s="120" t="s">
        <v>258</v>
      </c>
      <c r="G310" s="704" t="s">
        <v>22</v>
      </c>
      <c r="H310" s="123">
        <v>2731683.27</v>
      </c>
      <c r="I310" s="123">
        <v>129754.97</v>
      </c>
      <c r="J310" s="123">
        <v>2601928.2999999998</v>
      </c>
      <c r="K310" s="705" t="s">
        <v>68</v>
      </c>
    </row>
    <row r="311" spans="1:11" s="91" customFormat="1" ht="26.4" x14ac:dyDescent="0.3">
      <c r="A311" s="98" t="s">
        <v>597</v>
      </c>
      <c r="B311" s="124" t="s">
        <v>643</v>
      </c>
      <c r="C311" s="120" t="s">
        <v>644</v>
      </c>
      <c r="D311" s="689">
        <v>44596</v>
      </c>
      <c r="E311" s="122">
        <v>30</v>
      </c>
      <c r="F311" s="120" t="s">
        <v>258</v>
      </c>
      <c r="G311" s="704" t="s">
        <v>22</v>
      </c>
      <c r="H311" s="123">
        <v>2593707.0699999998</v>
      </c>
      <c r="I311" s="123">
        <v>68445</v>
      </c>
      <c r="J311" s="123">
        <v>2525262.0699999998</v>
      </c>
      <c r="K311" s="705"/>
    </row>
    <row r="312" spans="1:11" s="91" customFormat="1" ht="26.4" x14ac:dyDescent="0.3">
      <c r="A312" s="98" t="s">
        <v>597</v>
      </c>
      <c r="B312" s="124" t="s">
        <v>645</v>
      </c>
      <c r="C312" s="120" t="s">
        <v>646</v>
      </c>
      <c r="D312" s="689">
        <v>44539</v>
      </c>
      <c r="E312" s="122">
        <v>30</v>
      </c>
      <c r="F312" s="120" t="s">
        <v>258</v>
      </c>
      <c r="G312" s="704" t="s">
        <v>22</v>
      </c>
      <c r="H312" s="123">
        <v>2594206.9300000002</v>
      </c>
      <c r="I312" s="123">
        <v>75304.02</v>
      </c>
      <c r="J312" s="123">
        <v>2518902.91</v>
      </c>
      <c r="K312" s="705"/>
    </row>
    <row r="313" spans="1:11" s="91" customFormat="1" ht="39.6" x14ac:dyDescent="0.3">
      <c r="A313" s="98" t="s">
        <v>597</v>
      </c>
      <c r="B313" s="124" t="s">
        <v>647</v>
      </c>
      <c r="C313" s="120" t="s">
        <v>648</v>
      </c>
      <c r="D313" s="689">
        <v>44435</v>
      </c>
      <c r="E313" s="122">
        <v>30</v>
      </c>
      <c r="F313" s="120" t="s">
        <v>258</v>
      </c>
      <c r="G313" s="704" t="s">
        <v>22</v>
      </c>
      <c r="H313" s="123">
        <v>1986941.79</v>
      </c>
      <c r="I313" s="123">
        <v>78649.789999999994</v>
      </c>
      <c r="J313" s="123">
        <v>1908292</v>
      </c>
      <c r="K313" s="705" t="s">
        <v>68</v>
      </c>
    </row>
    <row r="314" spans="1:11" s="91" customFormat="1" ht="39.6" x14ac:dyDescent="0.3">
      <c r="A314" s="98" t="s">
        <v>597</v>
      </c>
      <c r="B314" s="124" t="s">
        <v>649</v>
      </c>
      <c r="C314" s="120" t="s">
        <v>650</v>
      </c>
      <c r="D314" s="689">
        <v>44614</v>
      </c>
      <c r="E314" s="122">
        <v>25</v>
      </c>
      <c r="F314" s="120" t="s">
        <v>258</v>
      </c>
      <c r="G314" s="704" t="s">
        <v>22</v>
      </c>
      <c r="H314" s="123">
        <v>2594045.88</v>
      </c>
      <c r="I314" s="123">
        <v>73930.320000000007</v>
      </c>
      <c r="J314" s="123">
        <v>2520115.56</v>
      </c>
      <c r="K314" s="705"/>
    </row>
    <row r="315" spans="1:11" s="91" customFormat="1" ht="66" x14ac:dyDescent="0.3">
      <c r="A315" s="98" t="s">
        <v>597</v>
      </c>
      <c r="B315" s="124" t="s">
        <v>651</v>
      </c>
      <c r="C315" s="120" t="s">
        <v>652</v>
      </c>
      <c r="D315" s="689">
        <v>44589</v>
      </c>
      <c r="E315" s="122">
        <v>30</v>
      </c>
      <c r="F315" s="120" t="s">
        <v>258</v>
      </c>
      <c r="G315" s="704" t="s">
        <v>22</v>
      </c>
      <c r="H315" s="123">
        <v>2562406.38</v>
      </c>
      <c r="I315" s="123">
        <v>67619.100000000006</v>
      </c>
      <c r="J315" s="123">
        <v>2494787.2799999998</v>
      </c>
      <c r="K315" s="705"/>
    </row>
    <row r="316" spans="1:11" s="91" customFormat="1" ht="39.6" x14ac:dyDescent="0.3">
      <c r="A316" s="98" t="s">
        <v>597</v>
      </c>
      <c r="B316" s="124" t="s">
        <v>653</v>
      </c>
      <c r="C316" s="120" t="s">
        <v>654</v>
      </c>
      <c r="D316" s="689">
        <v>44587</v>
      </c>
      <c r="E316" s="122">
        <v>30</v>
      </c>
      <c r="F316" s="120" t="s">
        <v>258</v>
      </c>
      <c r="G316" s="704" t="s">
        <v>22</v>
      </c>
      <c r="H316" s="123">
        <v>2594361.5</v>
      </c>
      <c r="I316" s="123">
        <v>68462.3</v>
      </c>
      <c r="J316" s="123">
        <v>2525899.2000000002</v>
      </c>
      <c r="K316" s="705"/>
    </row>
    <row r="317" spans="1:11" s="91" customFormat="1" ht="39.6" x14ac:dyDescent="0.3">
      <c r="A317" s="98" t="s">
        <v>597</v>
      </c>
      <c r="B317" s="124" t="s">
        <v>655</v>
      </c>
      <c r="C317" s="120" t="s">
        <v>656</v>
      </c>
      <c r="D317" s="689">
        <v>44587</v>
      </c>
      <c r="E317" s="122">
        <v>30</v>
      </c>
      <c r="F317" s="120" t="s">
        <v>258</v>
      </c>
      <c r="G317" s="704" t="s">
        <v>22</v>
      </c>
      <c r="H317" s="123">
        <v>2594202.88</v>
      </c>
      <c r="I317" s="123">
        <v>68458.100000000006</v>
      </c>
      <c r="J317" s="123">
        <v>2525744.7799999998</v>
      </c>
      <c r="K317" s="705"/>
    </row>
    <row r="318" spans="1:11" s="91" customFormat="1" ht="26.4" x14ac:dyDescent="0.3">
      <c r="A318" s="98" t="s">
        <v>597</v>
      </c>
      <c r="B318" s="124" t="s">
        <v>657</v>
      </c>
      <c r="C318" s="120" t="s">
        <v>658</v>
      </c>
      <c r="D318" s="689">
        <v>44735</v>
      </c>
      <c r="E318" s="122">
        <v>30</v>
      </c>
      <c r="F318" s="120" t="s">
        <v>258</v>
      </c>
      <c r="G318" s="704" t="s">
        <v>22</v>
      </c>
      <c r="H318" s="123">
        <v>1494758.53</v>
      </c>
      <c r="I318" s="123">
        <v>19722.5</v>
      </c>
      <c r="J318" s="123">
        <v>1475036.03</v>
      </c>
      <c r="K318" s="705"/>
    </row>
    <row r="319" spans="1:11" s="91" customFormat="1" ht="26.4" x14ac:dyDescent="0.3">
      <c r="A319" s="98" t="s">
        <v>597</v>
      </c>
      <c r="B319" s="124" t="s">
        <v>659</v>
      </c>
      <c r="C319" s="120" t="s">
        <v>660</v>
      </c>
      <c r="D319" s="689">
        <v>44757</v>
      </c>
      <c r="E319" s="122">
        <v>30</v>
      </c>
      <c r="F319" s="120" t="s">
        <v>441</v>
      </c>
      <c r="G319" s="704" t="s">
        <v>22</v>
      </c>
      <c r="H319" s="123">
        <v>6495536.1500000004</v>
      </c>
      <c r="I319" s="123">
        <v>85705</v>
      </c>
      <c r="J319" s="123">
        <v>6409831.1500000004</v>
      </c>
      <c r="K319" s="705"/>
    </row>
    <row r="320" spans="1:11" s="91" customFormat="1" ht="39.6" x14ac:dyDescent="0.3">
      <c r="A320" s="98" t="s">
        <v>597</v>
      </c>
      <c r="B320" s="124" t="s">
        <v>661</v>
      </c>
      <c r="C320" s="120" t="s">
        <v>662</v>
      </c>
      <c r="D320" s="689">
        <v>44655</v>
      </c>
      <c r="E320" s="122">
        <v>30</v>
      </c>
      <c r="F320" s="120" t="s">
        <v>258</v>
      </c>
      <c r="G320" s="704" t="s">
        <v>22</v>
      </c>
      <c r="H320" s="123">
        <v>3996543.99</v>
      </c>
      <c r="I320" s="123">
        <v>84371.520000000004</v>
      </c>
      <c r="J320" s="123">
        <v>3912172.47</v>
      </c>
      <c r="K320" s="705"/>
    </row>
    <row r="321" spans="1:11" s="91" customFormat="1" ht="26.4" x14ac:dyDescent="0.3">
      <c r="A321" s="98" t="s">
        <v>597</v>
      </c>
      <c r="B321" s="124" t="s">
        <v>663</v>
      </c>
      <c r="C321" s="120" t="s">
        <v>664</v>
      </c>
      <c r="D321" s="689">
        <v>44803</v>
      </c>
      <c r="E321" s="122">
        <v>30</v>
      </c>
      <c r="F321" s="120" t="s">
        <v>258</v>
      </c>
      <c r="G321" s="704" t="s">
        <v>22</v>
      </c>
      <c r="H321" s="123">
        <v>4290011.57</v>
      </c>
      <c r="I321" s="123">
        <v>33962.58</v>
      </c>
      <c r="J321" s="123">
        <v>4256048.99</v>
      </c>
      <c r="K321" s="705"/>
    </row>
    <row r="322" spans="1:11" s="91" customFormat="1" ht="26.4" x14ac:dyDescent="0.3">
      <c r="A322" s="98" t="s">
        <v>597</v>
      </c>
      <c r="B322" s="124" t="s">
        <v>665</v>
      </c>
      <c r="C322" s="120" t="s">
        <v>666</v>
      </c>
      <c r="D322" s="689">
        <v>44812</v>
      </c>
      <c r="E322" s="122">
        <v>30</v>
      </c>
      <c r="F322" s="120" t="s">
        <v>258</v>
      </c>
      <c r="G322" s="704" t="s">
        <v>22</v>
      </c>
      <c r="H322" s="123">
        <v>2998403.33</v>
      </c>
      <c r="I322" s="123">
        <v>23737.35</v>
      </c>
      <c r="J322" s="123">
        <v>2974665.98</v>
      </c>
      <c r="K322" s="705"/>
    </row>
    <row r="323" spans="1:11" s="91" customFormat="1" ht="26.4" x14ac:dyDescent="0.3">
      <c r="A323" s="98" t="s">
        <v>597</v>
      </c>
      <c r="B323" s="124" t="s">
        <v>667</v>
      </c>
      <c r="C323" s="120" t="s">
        <v>668</v>
      </c>
      <c r="D323" s="689">
        <v>44811</v>
      </c>
      <c r="E323" s="122">
        <v>30</v>
      </c>
      <c r="F323" s="120" t="s">
        <v>258</v>
      </c>
      <c r="G323" s="704" t="s">
        <v>22</v>
      </c>
      <c r="H323" s="123">
        <v>2998411.52</v>
      </c>
      <c r="I323" s="123">
        <v>15824.94</v>
      </c>
      <c r="J323" s="123">
        <v>2982586.58</v>
      </c>
      <c r="K323" s="705"/>
    </row>
    <row r="324" spans="1:11" s="91" customFormat="1" ht="26.4" x14ac:dyDescent="0.3">
      <c r="A324" s="98" t="s">
        <v>597</v>
      </c>
      <c r="B324" s="124" t="s">
        <v>669</v>
      </c>
      <c r="C324" s="120" t="s">
        <v>670</v>
      </c>
      <c r="D324" s="689">
        <v>44863</v>
      </c>
      <c r="E324" s="122">
        <v>30</v>
      </c>
      <c r="F324" s="120" t="s">
        <v>258</v>
      </c>
      <c r="G324" s="704" t="s">
        <v>22</v>
      </c>
      <c r="H324" s="123">
        <v>2996729.77</v>
      </c>
      <c r="I324" s="123">
        <v>15816.08</v>
      </c>
      <c r="J324" s="123">
        <v>2980913.69</v>
      </c>
      <c r="K324" s="705"/>
    </row>
    <row r="325" spans="1:11" s="91" customFormat="1" ht="26.4" x14ac:dyDescent="0.3">
      <c r="A325" s="98" t="s">
        <v>597</v>
      </c>
      <c r="B325" s="124" t="s">
        <v>671</v>
      </c>
      <c r="C325" s="120" t="s">
        <v>672</v>
      </c>
      <c r="D325" s="689">
        <v>41641</v>
      </c>
      <c r="E325" s="122">
        <v>20</v>
      </c>
      <c r="F325" s="120" t="s">
        <v>441</v>
      </c>
      <c r="G325" s="704" t="s">
        <v>22</v>
      </c>
      <c r="H325" s="123">
        <v>2203001.17</v>
      </c>
      <c r="I325" s="123">
        <v>931685.9</v>
      </c>
      <c r="J325" s="123">
        <v>1271315.27</v>
      </c>
      <c r="K325" s="705"/>
    </row>
    <row r="326" spans="1:11" s="91" customFormat="1" ht="26.4" x14ac:dyDescent="0.3">
      <c r="A326" s="98" t="s">
        <v>597</v>
      </c>
      <c r="B326" s="124" t="s">
        <v>673</v>
      </c>
      <c r="C326" s="120" t="s">
        <v>674</v>
      </c>
      <c r="D326" s="689">
        <v>41243</v>
      </c>
      <c r="E326" s="122">
        <v>30</v>
      </c>
      <c r="F326" s="120" t="s">
        <v>441</v>
      </c>
      <c r="G326" s="704" t="s">
        <v>22</v>
      </c>
      <c r="H326" s="123">
        <v>1313237.17</v>
      </c>
      <c r="I326" s="123">
        <v>413626.18</v>
      </c>
      <c r="J326" s="123">
        <v>899610.99</v>
      </c>
      <c r="K326" s="705" t="s">
        <v>68</v>
      </c>
    </row>
    <row r="327" spans="1:11" s="91" customFormat="1" x14ac:dyDescent="0.3">
      <c r="A327" s="798" t="s">
        <v>675</v>
      </c>
      <c r="B327" s="799"/>
      <c r="C327" s="799"/>
      <c r="D327" s="799"/>
      <c r="E327" s="799"/>
      <c r="F327" s="799"/>
      <c r="G327" s="800"/>
      <c r="H327" s="708">
        <f>SUM(H289:H326)</f>
        <v>84511680.489999995</v>
      </c>
      <c r="I327" s="708">
        <f t="shared" ref="I327:J327" si="11">SUM(I289:I326)</f>
        <v>6586547.1499999976</v>
      </c>
      <c r="J327" s="708">
        <f t="shared" si="11"/>
        <v>77925133.340000004</v>
      </c>
      <c r="K327" s="709"/>
    </row>
    <row r="328" spans="1:11" s="91" customFormat="1" x14ac:dyDescent="0.3">
      <c r="A328" s="804" t="s">
        <v>676</v>
      </c>
      <c r="B328" s="805"/>
      <c r="C328" s="805"/>
      <c r="D328" s="805"/>
      <c r="E328" s="805"/>
      <c r="F328" s="805"/>
      <c r="G328" s="806"/>
      <c r="H328" s="710">
        <f>SUM(H327,H285,H275,H272,H240,H203,H181,H113)</f>
        <v>132134884.50999999</v>
      </c>
      <c r="I328" s="710">
        <f>SUM(I327,I285,I275,I272,I240,I203,I181,I113)</f>
        <v>14032876.310000001</v>
      </c>
      <c r="J328" s="710">
        <f>SUM(J327,J285,J275,J272,J240,J203,J181,J113)</f>
        <v>118102008.19999999</v>
      </c>
      <c r="K328" s="711"/>
    </row>
    <row r="329" spans="1:11" s="91" customFormat="1" x14ac:dyDescent="0.3">
      <c r="A329" s="807" t="s">
        <v>677</v>
      </c>
      <c r="B329" s="808"/>
      <c r="C329" s="808"/>
      <c r="D329" s="808"/>
      <c r="E329" s="808"/>
      <c r="F329" s="808"/>
      <c r="G329" s="808"/>
      <c r="H329" s="808"/>
      <c r="I329" s="808"/>
      <c r="J329" s="808"/>
      <c r="K329" s="809"/>
    </row>
    <row r="330" spans="1:11" s="91" customFormat="1" x14ac:dyDescent="0.3">
      <c r="A330" s="801" t="s">
        <v>678</v>
      </c>
      <c r="B330" s="802"/>
      <c r="C330" s="802"/>
      <c r="D330" s="802"/>
      <c r="E330" s="802"/>
      <c r="F330" s="802"/>
      <c r="G330" s="802"/>
      <c r="H330" s="802"/>
      <c r="I330" s="802"/>
      <c r="J330" s="802"/>
      <c r="K330" s="803"/>
    </row>
    <row r="331" spans="1:11" s="91" customFormat="1" ht="26.4" x14ac:dyDescent="0.3">
      <c r="A331" s="98" t="s">
        <v>679</v>
      </c>
      <c r="B331" s="124" t="s">
        <v>680</v>
      </c>
      <c r="C331" s="120" t="s">
        <v>681</v>
      </c>
      <c r="D331" s="689">
        <v>38929</v>
      </c>
      <c r="E331" s="122">
        <v>10</v>
      </c>
      <c r="F331" s="120" t="s">
        <v>682</v>
      </c>
      <c r="G331" s="704" t="s">
        <v>192</v>
      </c>
      <c r="H331" s="123">
        <v>147143.60999999999</v>
      </c>
      <c r="I331" s="123">
        <v>0</v>
      </c>
      <c r="J331" s="123">
        <v>147143.60999999999</v>
      </c>
      <c r="K331" s="705"/>
    </row>
    <row r="332" spans="1:11" s="91" customFormat="1" x14ac:dyDescent="0.3">
      <c r="A332" s="798" t="s">
        <v>683</v>
      </c>
      <c r="B332" s="799"/>
      <c r="C332" s="799"/>
      <c r="D332" s="799"/>
      <c r="E332" s="799"/>
      <c r="F332" s="799"/>
      <c r="G332" s="800"/>
      <c r="H332" s="708">
        <f>H331</f>
        <v>147143.60999999999</v>
      </c>
      <c r="I332" s="708">
        <f t="shared" ref="I332:J332" si="12">I331</f>
        <v>0</v>
      </c>
      <c r="J332" s="708">
        <f t="shared" si="12"/>
        <v>147143.60999999999</v>
      </c>
      <c r="K332" s="709"/>
    </row>
    <row r="333" spans="1:11" s="91" customFormat="1" x14ac:dyDescent="0.3">
      <c r="A333" s="801" t="s">
        <v>62</v>
      </c>
      <c r="B333" s="802"/>
      <c r="C333" s="802"/>
      <c r="D333" s="802"/>
      <c r="E333" s="802"/>
      <c r="F333" s="802"/>
      <c r="G333" s="802"/>
      <c r="H333" s="802"/>
      <c r="I333" s="802"/>
      <c r="J333" s="802"/>
      <c r="K333" s="803"/>
    </row>
    <row r="334" spans="1:11" s="91" customFormat="1" x14ac:dyDescent="0.3">
      <c r="A334" s="98" t="s">
        <v>684</v>
      </c>
      <c r="B334" s="124" t="s">
        <v>685</v>
      </c>
      <c r="C334" s="120" t="s">
        <v>686</v>
      </c>
      <c r="D334" s="689">
        <v>43355</v>
      </c>
      <c r="E334" s="122">
        <v>25</v>
      </c>
      <c r="F334" s="120" t="s">
        <v>66</v>
      </c>
      <c r="G334" s="704" t="s">
        <v>687</v>
      </c>
      <c r="H334" s="123">
        <v>463920.75</v>
      </c>
      <c r="I334" s="123">
        <v>69201.399999999994</v>
      </c>
      <c r="J334" s="123">
        <v>394719.35</v>
      </c>
      <c r="K334" s="705" t="s">
        <v>68</v>
      </c>
    </row>
    <row r="335" spans="1:11" s="91" customFormat="1" x14ac:dyDescent="0.3">
      <c r="A335" s="98" t="s">
        <v>684</v>
      </c>
      <c r="B335" s="124" t="s">
        <v>688</v>
      </c>
      <c r="C335" s="120" t="s">
        <v>689</v>
      </c>
      <c r="D335" s="689">
        <v>43357</v>
      </c>
      <c r="E335" s="122">
        <v>25</v>
      </c>
      <c r="F335" s="120" t="s">
        <v>66</v>
      </c>
      <c r="G335" s="704" t="s">
        <v>91</v>
      </c>
      <c r="H335" s="123">
        <v>492330.32</v>
      </c>
      <c r="I335" s="123">
        <v>73439.25</v>
      </c>
      <c r="J335" s="123">
        <v>418891.07</v>
      </c>
      <c r="K335" s="705" t="s">
        <v>68</v>
      </c>
    </row>
    <row r="336" spans="1:11" s="91" customFormat="1" x14ac:dyDescent="0.3">
      <c r="A336" s="98" t="s">
        <v>684</v>
      </c>
      <c r="B336" s="124" t="s">
        <v>690</v>
      </c>
      <c r="C336" s="120" t="s">
        <v>691</v>
      </c>
      <c r="D336" s="689">
        <v>43626</v>
      </c>
      <c r="E336" s="122">
        <v>25</v>
      </c>
      <c r="F336" s="120" t="s">
        <v>66</v>
      </c>
      <c r="G336" s="704" t="s">
        <v>692</v>
      </c>
      <c r="H336" s="123">
        <v>469700</v>
      </c>
      <c r="I336" s="123">
        <v>55972.67</v>
      </c>
      <c r="J336" s="123">
        <v>413727.33</v>
      </c>
      <c r="K336" s="705" t="s">
        <v>68</v>
      </c>
    </row>
    <row r="337" spans="1:11" s="91" customFormat="1" ht="26.4" x14ac:dyDescent="0.3">
      <c r="A337" s="98" t="s">
        <v>684</v>
      </c>
      <c r="B337" s="124" t="s">
        <v>693</v>
      </c>
      <c r="C337" s="120" t="s">
        <v>694</v>
      </c>
      <c r="D337" s="689">
        <v>43626</v>
      </c>
      <c r="E337" s="122">
        <v>25</v>
      </c>
      <c r="F337" s="120" t="s">
        <v>66</v>
      </c>
      <c r="G337" s="704" t="s">
        <v>102</v>
      </c>
      <c r="H337" s="123">
        <v>497900</v>
      </c>
      <c r="I337" s="123">
        <v>59333.17</v>
      </c>
      <c r="J337" s="123">
        <v>438566.83</v>
      </c>
      <c r="K337" s="705" t="s">
        <v>68</v>
      </c>
    </row>
    <row r="338" spans="1:11" s="91" customFormat="1" ht="26.4" x14ac:dyDescent="0.3">
      <c r="A338" s="98" t="s">
        <v>684</v>
      </c>
      <c r="B338" s="124" t="s">
        <v>695</v>
      </c>
      <c r="C338" s="120" t="s">
        <v>696</v>
      </c>
      <c r="D338" s="689">
        <v>43858</v>
      </c>
      <c r="E338" s="122">
        <v>25</v>
      </c>
      <c r="F338" s="120" t="s">
        <v>66</v>
      </c>
      <c r="G338" s="704" t="s">
        <v>697</v>
      </c>
      <c r="H338" s="123">
        <v>441386.74</v>
      </c>
      <c r="I338" s="123">
        <v>40828.269999999997</v>
      </c>
      <c r="J338" s="123">
        <v>400558.47</v>
      </c>
      <c r="K338" s="705" t="s">
        <v>68</v>
      </c>
    </row>
    <row r="339" spans="1:11" s="91" customFormat="1" x14ac:dyDescent="0.3">
      <c r="A339" s="98" t="s">
        <v>684</v>
      </c>
      <c r="B339" s="124" t="s">
        <v>698</v>
      </c>
      <c r="C339" s="120" t="s">
        <v>699</v>
      </c>
      <c r="D339" s="689">
        <v>43385</v>
      </c>
      <c r="E339" s="122">
        <v>25</v>
      </c>
      <c r="F339" s="120" t="s">
        <v>66</v>
      </c>
      <c r="G339" s="704" t="s">
        <v>112</v>
      </c>
      <c r="H339" s="123">
        <v>487542.74</v>
      </c>
      <c r="I339" s="123">
        <v>71099.91</v>
      </c>
      <c r="J339" s="123">
        <v>416442.83</v>
      </c>
      <c r="K339" s="705" t="s">
        <v>68</v>
      </c>
    </row>
    <row r="340" spans="1:11" s="91" customFormat="1" x14ac:dyDescent="0.3">
      <c r="A340" s="98" t="s">
        <v>684</v>
      </c>
      <c r="B340" s="124" t="s">
        <v>700</v>
      </c>
      <c r="C340" s="120" t="s">
        <v>701</v>
      </c>
      <c r="D340" s="689">
        <v>43462</v>
      </c>
      <c r="E340" s="122">
        <v>25</v>
      </c>
      <c r="F340" s="120" t="s">
        <v>66</v>
      </c>
      <c r="G340" s="704" t="s">
        <v>171</v>
      </c>
      <c r="H340" s="123">
        <v>494542.49</v>
      </c>
      <c r="I340" s="123">
        <v>67175.17</v>
      </c>
      <c r="J340" s="123">
        <v>427367.32</v>
      </c>
      <c r="K340" s="705" t="s">
        <v>68</v>
      </c>
    </row>
    <row r="341" spans="1:11" s="91" customFormat="1" x14ac:dyDescent="0.3">
      <c r="A341" s="98" t="s">
        <v>684</v>
      </c>
      <c r="B341" s="124" t="s">
        <v>702</v>
      </c>
      <c r="C341" s="120" t="s">
        <v>703</v>
      </c>
      <c r="D341" s="689">
        <v>43413</v>
      </c>
      <c r="E341" s="122">
        <v>25</v>
      </c>
      <c r="F341" s="120" t="s">
        <v>66</v>
      </c>
      <c r="G341" s="704" t="s">
        <v>206</v>
      </c>
      <c r="H341" s="123">
        <v>495164.44</v>
      </c>
      <c r="I341" s="123">
        <v>72211.55</v>
      </c>
      <c r="J341" s="123">
        <v>422952.89</v>
      </c>
      <c r="K341" s="705" t="s">
        <v>68</v>
      </c>
    </row>
    <row r="342" spans="1:11" s="91" customFormat="1" x14ac:dyDescent="0.3">
      <c r="A342" s="98" t="s">
        <v>684</v>
      </c>
      <c r="B342" s="124" t="s">
        <v>704</v>
      </c>
      <c r="C342" s="120" t="s">
        <v>705</v>
      </c>
      <c r="D342" s="689">
        <v>43801</v>
      </c>
      <c r="E342" s="122">
        <v>25</v>
      </c>
      <c r="F342" s="120" t="s">
        <v>66</v>
      </c>
      <c r="G342" s="704" t="s">
        <v>71</v>
      </c>
      <c r="H342" s="123">
        <v>434576.47</v>
      </c>
      <c r="I342" s="123">
        <v>44544.14</v>
      </c>
      <c r="J342" s="123">
        <v>390032.33</v>
      </c>
      <c r="K342" s="705" t="s">
        <v>68</v>
      </c>
    </row>
    <row r="343" spans="1:11" s="91" customFormat="1" ht="26.4" x14ac:dyDescent="0.3">
      <c r="A343" s="98" t="s">
        <v>684</v>
      </c>
      <c r="B343" s="124" t="s">
        <v>706</v>
      </c>
      <c r="C343" s="120" t="s">
        <v>707</v>
      </c>
      <c r="D343" s="689">
        <v>43864</v>
      </c>
      <c r="E343" s="122">
        <v>25</v>
      </c>
      <c r="F343" s="120" t="s">
        <v>66</v>
      </c>
      <c r="G343" s="704" t="s">
        <v>708</v>
      </c>
      <c r="H343" s="123">
        <v>414952.54</v>
      </c>
      <c r="I343" s="123">
        <v>38383.24</v>
      </c>
      <c r="J343" s="123">
        <v>376569.3</v>
      </c>
      <c r="K343" s="705" t="s">
        <v>68</v>
      </c>
    </row>
    <row r="344" spans="1:11" s="91" customFormat="1" x14ac:dyDescent="0.3">
      <c r="A344" s="98" t="s">
        <v>684</v>
      </c>
      <c r="B344" s="124" t="s">
        <v>709</v>
      </c>
      <c r="C344" s="120" t="s">
        <v>710</v>
      </c>
      <c r="D344" s="689">
        <v>43794</v>
      </c>
      <c r="E344" s="122">
        <v>25</v>
      </c>
      <c r="F344" s="120" t="s">
        <v>66</v>
      </c>
      <c r="G344" s="704" t="s">
        <v>711</v>
      </c>
      <c r="H344" s="123">
        <v>457678.6</v>
      </c>
      <c r="I344" s="123">
        <v>45386.6</v>
      </c>
      <c r="J344" s="123">
        <v>412292</v>
      </c>
      <c r="K344" s="705" t="s">
        <v>68</v>
      </c>
    </row>
    <row r="345" spans="1:11" s="91" customFormat="1" x14ac:dyDescent="0.3">
      <c r="A345" s="98" t="s">
        <v>684</v>
      </c>
      <c r="B345" s="124" t="s">
        <v>712</v>
      </c>
      <c r="C345" s="120" t="s">
        <v>713</v>
      </c>
      <c r="D345" s="689">
        <v>43488</v>
      </c>
      <c r="E345" s="122">
        <v>25</v>
      </c>
      <c r="F345" s="120" t="s">
        <v>66</v>
      </c>
      <c r="G345" s="704" t="s">
        <v>148</v>
      </c>
      <c r="H345" s="123">
        <v>491321.3</v>
      </c>
      <c r="I345" s="123">
        <v>65100.15</v>
      </c>
      <c r="J345" s="123">
        <v>426221.15</v>
      </c>
      <c r="K345" s="705" t="s">
        <v>68</v>
      </c>
    </row>
    <row r="346" spans="1:11" s="91" customFormat="1" x14ac:dyDescent="0.3">
      <c r="A346" s="98" t="s">
        <v>684</v>
      </c>
      <c r="B346" s="124" t="s">
        <v>714</v>
      </c>
      <c r="C346" s="120" t="s">
        <v>715</v>
      </c>
      <c r="D346" s="689">
        <v>43508</v>
      </c>
      <c r="E346" s="122">
        <v>25</v>
      </c>
      <c r="F346" s="120" t="s">
        <v>66</v>
      </c>
      <c r="G346" s="704" t="s">
        <v>129</v>
      </c>
      <c r="H346" s="123">
        <v>491400.96000000002</v>
      </c>
      <c r="I346" s="123">
        <v>65110.5</v>
      </c>
      <c r="J346" s="123">
        <v>426290.46</v>
      </c>
      <c r="K346" s="705" t="s">
        <v>68</v>
      </c>
    </row>
    <row r="347" spans="1:11" s="91" customFormat="1" x14ac:dyDescent="0.3">
      <c r="A347" s="98" t="s">
        <v>684</v>
      </c>
      <c r="B347" s="124" t="s">
        <v>716</v>
      </c>
      <c r="C347" s="120" t="s">
        <v>717</v>
      </c>
      <c r="D347" s="689">
        <v>43574</v>
      </c>
      <c r="E347" s="122">
        <v>25</v>
      </c>
      <c r="F347" s="120" t="s">
        <v>66</v>
      </c>
      <c r="G347" s="704" t="s">
        <v>74</v>
      </c>
      <c r="H347" s="123">
        <v>492790.89</v>
      </c>
      <c r="I347" s="123">
        <v>60366.98</v>
      </c>
      <c r="J347" s="123">
        <v>432423.91</v>
      </c>
      <c r="K347" s="705" t="s">
        <v>68</v>
      </c>
    </row>
    <row r="348" spans="1:11" s="91" customFormat="1" ht="26.4" x14ac:dyDescent="0.3">
      <c r="A348" s="98" t="s">
        <v>684</v>
      </c>
      <c r="B348" s="124" t="s">
        <v>718</v>
      </c>
      <c r="C348" s="120" t="s">
        <v>719</v>
      </c>
      <c r="D348" s="689">
        <v>43643</v>
      </c>
      <c r="E348" s="122">
        <v>25</v>
      </c>
      <c r="F348" s="120" t="s">
        <v>66</v>
      </c>
      <c r="G348" s="704" t="s">
        <v>123</v>
      </c>
      <c r="H348" s="123">
        <v>489798.2</v>
      </c>
      <c r="I348" s="123">
        <v>56734.95</v>
      </c>
      <c r="J348" s="123">
        <v>433063.25</v>
      </c>
      <c r="K348" s="705" t="s">
        <v>68</v>
      </c>
    </row>
    <row r="349" spans="1:11" s="91" customFormat="1" x14ac:dyDescent="0.3">
      <c r="A349" s="98" t="s">
        <v>684</v>
      </c>
      <c r="B349" s="124" t="s">
        <v>720</v>
      </c>
      <c r="C349" s="120" t="s">
        <v>721</v>
      </c>
      <c r="D349" s="689">
        <v>42406</v>
      </c>
      <c r="E349" s="122">
        <v>25</v>
      </c>
      <c r="F349" s="120" t="s">
        <v>66</v>
      </c>
      <c r="G349" s="704" t="s">
        <v>123</v>
      </c>
      <c r="H349" s="123">
        <v>1453977.83</v>
      </c>
      <c r="I349" s="123">
        <v>371975.78</v>
      </c>
      <c r="J349" s="123">
        <v>1082002.05</v>
      </c>
      <c r="K349" s="705" t="s">
        <v>68</v>
      </c>
    </row>
    <row r="350" spans="1:11" s="91" customFormat="1" x14ac:dyDescent="0.3">
      <c r="A350" s="798" t="s">
        <v>722</v>
      </c>
      <c r="B350" s="799"/>
      <c r="C350" s="799"/>
      <c r="D350" s="799"/>
      <c r="E350" s="799"/>
      <c r="F350" s="799"/>
      <c r="G350" s="800"/>
      <c r="H350" s="708">
        <f>SUM(H334:H349)</f>
        <v>8568984.2699999996</v>
      </c>
      <c r="I350" s="708">
        <f t="shared" ref="I350:J350" si="13">SUM(I334:I349)</f>
        <v>1256863.73</v>
      </c>
      <c r="J350" s="708">
        <f t="shared" si="13"/>
        <v>7312120.54</v>
      </c>
      <c r="K350" s="709"/>
    </row>
    <row r="351" spans="1:11" s="91" customFormat="1" x14ac:dyDescent="0.3">
      <c r="A351" s="801" t="s">
        <v>240</v>
      </c>
      <c r="B351" s="802"/>
      <c r="C351" s="802"/>
      <c r="D351" s="802"/>
      <c r="E351" s="802"/>
      <c r="F351" s="802"/>
      <c r="G351" s="802"/>
      <c r="H351" s="802"/>
      <c r="I351" s="802"/>
      <c r="J351" s="802"/>
      <c r="K351" s="803"/>
    </row>
    <row r="352" spans="1:11" s="91" customFormat="1" ht="26.4" x14ac:dyDescent="0.3">
      <c r="A352" s="98" t="s">
        <v>241</v>
      </c>
      <c r="B352" s="124" t="s">
        <v>723</v>
      </c>
      <c r="C352" s="120" t="s">
        <v>724</v>
      </c>
      <c r="D352" s="689">
        <v>44741</v>
      </c>
      <c r="E352" s="122">
        <v>30</v>
      </c>
      <c r="F352" s="120" t="s">
        <v>66</v>
      </c>
      <c r="G352" s="704" t="s">
        <v>22</v>
      </c>
      <c r="H352" s="123">
        <v>2981988.96</v>
      </c>
      <c r="I352" s="123">
        <v>39345.699999999997</v>
      </c>
      <c r="J352" s="123">
        <v>2942643.26</v>
      </c>
      <c r="K352" s="705"/>
    </row>
    <row r="353" spans="1:11" s="91" customFormat="1" x14ac:dyDescent="0.3">
      <c r="A353" s="798" t="s">
        <v>725</v>
      </c>
      <c r="B353" s="799"/>
      <c r="C353" s="799"/>
      <c r="D353" s="799"/>
      <c r="E353" s="799"/>
      <c r="F353" s="799"/>
      <c r="G353" s="800"/>
      <c r="H353" s="712">
        <f>H352</f>
        <v>2981988.96</v>
      </c>
      <c r="I353" s="712">
        <f t="shared" ref="I353:J353" si="14">I352</f>
        <v>39345.699999999997</v>
      </c>
      <c r="J353" s="712">
        <f t="shared" si="14"/>
        <v>2942643.26</v>
      </c>
      <c r="K353" s="713"/>
    </row>
    <row r="354" spans="1:11" s="91" customFormat="1" x14ac:dyDescent="0.3">
      <c r="A354" s="804" t="s">
        <v>726</v>
      </c>
      <c r="B354" s="805"/>
      <c r="C354" s="805"/>
      <c r="D354" s="805"/>
      <c r="E354" s="805"/>
      <c r="F354" s="805"/>
      <c r="G354" s="806"/>
      <c r="H354" s="714">
        <f>SUM(H332,H350,H353)</f>
        <v>11698116.84</v>
      </c>
      <c r="I354" s="714">
        <f t="shared" ref="I354:J354" si="15">SUM(I332,I350,I353)</f>
        <v>1296209.43</v>
      </c>
      <c r="J354" s="714">
        <f t="shared" si="15"/>
        <v>10401907.41</v>
      </c>
      <c r="K354" s="715"/>
    </row>
    <row r="355" spans="1:11" s="91" customFormat="1" x14ac:dyDescent="0.3">
      <c r="A355" s="795" t="s">
        <v>727</v>
      </c>
      <c r="B355" s="796"/>
      <c r="C355" s="796"/>
      <c r="D355" s="796"/>
      <c r="E355" s="796"/>
      <c r="F355" s="796"/>
      <c r="G355" s="797"/>
      <c r="H355" s="697">
        <f>SUM(H354,H328,H109)</f>
        <v>219171361.72</v>
      </c>
      <c r="I355" s="697">
        <f>SUM(I354,I328,I109)</f>
        <v>33882237.880000003</v>
      </c>
      <c r="J355" s="697">
        <f>SUM(J354,J328,J109)</f>
        <v>185289123.84</v>
      </c>
      <c r="K355" s="716"/>
    </row>
  </sheetData>
  <sheetProtection algorithmName="SHA-512" hashValue="FB1K1KXoMspMITNp9zgoVnnHSRucRndwbhEAv2fr99Tu/JegGd1k6ZqwqDTw3eYLpu2la92GWTtQlKNnJPWvDQ==" saltValue="L7xC57ZFT0PiZn+87bvgVQ==" spinCount="100000" sheet="1" objects="1" scenarios="1" selectLockedCells="1" selectUnlockedCells="1"/>
  <mergeCells count="37">
    <mergeCell ref="A100:K100"/>
    <mergeCell ref="A7:K7"/>
    <mergeCell ref="A8:K8"/>
    <mergeCell ref="A29:G29"/>
    <mergeCell ref="A30:K30"/>
    <mergeCell ref="A99:G99"/>
    <mergeCell ref="A204:K204"/>
    <mergeCell ref="A102:G102"/>
    <mergeCell ref="A103:K103"/>
    <mergeCell ref="A108:G108"/>
    <mergeCell ref="A109:G109"/>
    <mergeCell ref="A110:K110"/>
    <mergeCell ref="A111:K111"/>
    <mergeCell ref="A113:G113"/>
    <mergeCell ref="A114:K114"/>
    <mergeCell ref="A181:G181"/>
    <mergeCell ref="A182:K182"/>
    <mergeCell ref="A203:G203"/>
    <mergeCell ref="A330:K330"/>
    <mergeCell ref="A240:G240"/>
    <mergeCell ref="A241:K241"/>
    <mergeCell ref="A272:G272"/>
    <mergeCell ref="A273:K273"/>
    <mergeCell ref="A275:G275"/>
    <mergeCell ref="A276:K276"/>
    <mergeCell ref="A285:G285"/>
    <mergeCell ref="A288:K288"/>
    <mergeCell ref="A327:G327"/>
    <mergeCell ref="A328:G328"/>
    <mergeCell ref="A329:K329"/>
    <mergeCell ref="A355:G355"/>
    <mergeCell ref="A332:G332"/>
    <mergeCell ref="A333:K333"/>
    <mergeCell ref="A350:G350"/>
    <mergeCell ref="A351:K351"/>
    <mergeCell ref="A353:G353"/>
    <mergeCell ref="A354:G354"/>
  </mergeCells>
  <printOptions horizontalCentered="1"/>
  <pageMargins left="0.70866141732283472" right="0.70866141732283472" top="1.4960629921259843" bottom="0.74803149606299213" header="0.31496062992125984" footer="0.31496062992125984"/>
  <pageSetup scale="50" fitToHeight="0" orientation="landscape" r:id="rId1"/>
  <headerFooter>
    <oddHeader>&amp;R&amp;"Times New Roman,Regular"&amp;12
Annex I
AAR Page 122</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75"/>
  <sheetViews>
    <sheetView zoomScaleNormal="100" zoomScaleSheetLayoutView="80" workbookViewId="0"/>
  </sheetViews>
  <sheetFormatPr defaultColWidth="8.88671875" defaultRowHeight="15.6" x14ac:dyDescent="0.3"/>
  <cols>
    <col min="1" max="1" width="14.6640625" style="11" customWidth="1"/>
    <col min="2" max="2" width="22.6640625" style="11" customWidth="1"/>
    <col min="3" max="3" width="20.88671875" style="11" customWidth="1"/>
    <col min="4" max="4" width="12.5546875" style="11" bestFit="1" customWidth="1"/>
    <col min="5" max="5" width="49.33203125" style="11" customWidth="1"/>
    <col min="6" max="6" width="17.44140625" style="11" bestFit="1" customWidth="1"/>
    <col min="7" max="7" width="16.109375" style="236" customWidth="1"/>
    <col min="8" max="8" width="22.6640625" style="141" customWidth="1"/>
    <col min="9" max="16384" width="8.88671875" style="11"/>
  </cols>
  <sheetData>
    <row r="1" spans="1:8" x14ac:dyDescent="0.3">
      <c r="A1" s="11" t="s">
        <v>0</v>
      </c>
    </row>
    <row r="2" spans="1:8" x14ac:dyDescent="0.3">
      <c r="A2" s="11" t="s">
        <v>3</v>
      </c>
    </row>
    <row r="3" spans="1:8" x14ac:dyDescent="0.3">
      <c r="A3" s="237" t="s">
        <v>1816</v>
      </c>
    </row>
    <row r="4" spans="1:8" x14ac:dyDescent="0.3">
      <c r="A4" s="141" t="s">
        <v>5</v>
      </c>
    </row>
    <row r="6" spans="1:8" ht="41.4" x14ac:dyDescent="0.3">
      <c r="A6" s="215" t="s">
        <v>855</v>
      </c>
      <c r="B6" s="215" t="s">
        <v>1817</v>
      </c>
      <c r="C6" s="238" t="s">
        <v>1818</v>
      </c>
      <c r="D6" s="216" t="s">
        <v>1819</v>
      </c>
      <c r="E6" s="239" t="s">
        <v>8</v>
      </c>
      <c r="F6" s="216" t="s">
        <v>1338</v>
      </c>
      <c r="G6" s="240" t="s">
        <v>1820</v>
      </c>
      <c r="H6" s="216" t="s">
        <v>1782</v>
      </c>
    </row>
    <row r="7" spans="1:8" s="540" customFormat="1" ht="27.6" x14ac:dyDescent="0.3">
      <c r="A7" s="533" t="s">
        <v>860</v>
      </c>
      <c r="B7" s="533" t="s">
        <v>1821</v>
      </c>
      <c r="C7" s="534" t="s">
        <v>511</v>
      </c>
      <c r="D7" s="535" t="s">
        <v>1822</v>
      </c>
      <c r="E7" s="536" t="s">
        <v>1823</v>
      </c>
      <c r="F7" s="537">
        <v>42551.09</v>
      </c>
      <c r="G7" s="538">
        <v>44470</v>
      </c>
      <c r="H7" s="539"/>
    </row>
    <row r="8" spans="1:8" s="540" customFormat="1" ht="41.4" x14ac:dyDescent="0.3">
      <c r="A8" s="533" t="s">
        <v>860</v>
      </c>
      <c r="B8" s="533" t="s">
        <v>1821</v>
      </c>
      <c r="C8" s="534" t="s">
        <v>511</v>
      </c>
      <c r="D8" s="535" t="s">
        <v>1824</v>
      </c>
      <c r="E8" s="536" t="s">
        <v>1825</v>
      </c>
      <c r="F8" s="537">
        <v>610731.16</v>
      </c>
      <c r="G8" s="538">
        <v>44469</v>
      </c>
      <c r="H8" s="541"/>
    </row>
    <row r="9" spans="1:8" s="540" customFormat="1" ht="27.6" x14ac:dyDescent="0.3">
      <c r="A9" s="533" t="s">
        <v>860</v>
      </c>
      <c r="B9" s="533" t="s">
        <v>1821</v>
      </c>
      <c r="C9" s="534" t="s">
        <v>511</v>
      </c>
      <c r="D9" s="535" t="s">
        <v>1826</v>
      </c>
      <c r="E9" s="536" t="s">
        <v>1827</v>
      </c>
      <c r="F9" s="537">
        <v>1108116.46</v>
      </c>
      <c r="G9" s="538">
        <v>44883</v>
      </c>
      <c r="H9" s="542"/>
    </row>
    <row r="10" spans="1:8" s="540" customFormat="1" ht="27.6" x14ac:dyDescent="0.3">
      <c r="A10" s="533" t="s">
        <v>860</v>
      </c>
      <c r="B10" s="533" t="s">
        <v>1821</v>
      </c>
      <c r="C10" s="534" t="s">
        <v>511</v>
      </c>
      <c r="D10" s="535" t="s">
        <v>1828</v>
      </c>
      <c r="E10" s="536" t="s">
        <v>1829</v>
      </c>
      <c r="F10" s="537">
        <v>977850</v>
      </c>
      <c r="G10" s="538">
        <v>44600</v>
      </c>
      <c r="H10" s="543"/>
    </row>
    <row r="11" spans="1:8" s="540" customFormat="1" x14ac:dyDescent="0.3">
      <c r="A11" s="544"/>
      <c r="B11" s="544"/>
      <c r="C11" s="545"/>
      <c r="D11" s="546"/>
      <c r="E11" s="545" t="s">
        <v>914</v>
      </c>
      <c r="F11" s="547">
        <f>SUM(F7:F10)</f>
        <v>2739248.71</v>
      </c>
      <c r="G11" s="548"/>
      <c r="H11" s="549"/>
    </row>
    <row r="12" spans="1:8" s="540" customFormat="1" ht="27.6" x14ac:dyDescent="0.3">
      <c r="A12" s="533" t="s">
        <v>860</v>
      </c>
      <c r="B12" s="533" t="s">
        <v>1830</v>
      </c>
      <c r="C12" s="550" t="s">
        <v>1831</v>
      </c>
      <c r="D12" s="535" t="s">
        <v>1832</v>
      </c>
      <c r="E12" s="536" t="s">
        <v>1833</v>
      </c>
      <c r="F12" s="537">
        <v>19985193.5</v>
      </c>
      <c r="G12" s="538">
        <v>44533</v>
      </c>
      <c r="H12" s="543"/>
    </row>
    <row r="13" spans="1:8" s="540" customFormat="1" ht="41.4" x14ac:dyDescent="0.3">
      <c r="A13" s="533" t="s">
        <v>860</v>
      </c>
      <c r="B13" s="533" t="s">
        <v>1830</v>
      </c>
      <c r="C13" s="550" t="s">
        <v>1831</v>
      </c>
      <c r="D13" s="535" t="s">
        <v>1834</v>
      </c>
      <c r="E13" s="536" t="s">
        <v>1835</v>
      </c>
      <c r="F13" s="537">
        <v>8992213.1400000006</v>
      </c>
      <c r="G13" s="538">
        <v>44484</v>
      </c>
      <c r="H13" s="543"/>
    </row>
    <row r="14" spans="1:8" s="540" customFormat="1" ht="41.4" x14ac:dyDescent="0.3">
      <c r="A14" s="533" t="s">
        <v>860</v>
      </c>
      <c r="B14" s="533" t="s">
        <v>1830</v>
      </c>
      <c r="C14" s="550" t="s">
        <v>1831</v>
      </c>
      <c r="D14" s="535" t="s">
        <v>1836</v>
      </c>
      <c r="E14" s="536" t="s">
        <v>1837</v>
      </c>
      <c r="F14" s="537">
        <v>24557640.149999999</v>
      </c>
      <c r="G14" s="538">
        <v>44844</v>
      </c>
      <c r="H14" s="543"/>
    </row>
    <row r="15" spans="1:8" s="540" customFormat="1" x14ac:dyDescent="0.3">
      <c r="A15" s="544"/>
      <c r="B15" s="544"/>
      <c r="C15" s="545"/>
      <c r="D15" s="546"/>
      <c r="E15" s="545" t="s">
        <v>914</v>
      </c>
      <c r="F15" s="547">
        <f>SUM(F12:F14)</f>
        <v>53535046.789999999</v>
      </c>
      <c r="G15" s="548"/>
      <c r="H15" s="549"/>
    </row>
    <row r="16" spans="1:8" s="540" customFormat="1" ht="41.4" x14ac:dyDescent="0.3">
      <c r="A16" s="533" t="s">
        <v>860</v>
      </c>
      <c r="B16" s="533" t="s">
        <v>1830</v>
      </c>
      <c r="C16" s="550" t="s">
        <v>1838</v>
      </c>
      <c r="D16" s="535" t="s">
        <v>1839</v>
      </c>
      <c r="E16" s="536" t="s">
        <v>1840</v>
      </c>
      <c r="F16" s="537">
        <v>2098490</v>
      </c>
      <c r="G16" s="538">
        <v>44567</v>
      </c>
      <c r="H16" s="543"/>
    </row>
    <row r="17" spans="1:8" s="540" customFormat="1" ht="27.6" x14ac:dyDescent="0.3">
      <c r="A17" s="533" t="s">
        <v>860</v>
      </c>
      <c r="B17" s="533" t="s">
        <v>1830</v>
      </c>
      <c r="C17" s="550" t="s">
        <v>1838</v>
      </c>
      <c r="D17" s="535" t="s">
        <v>1841</v>
      </c>
      <c r="E17" s="536" t="s">
        <v>1842</v>
      </c>
      <c r="F17" s="537">
        <v>29927.279999999999</v>
      </c>
      <c r="G17" s="538">
        <v>44431</v>
      </c>
      <c r="H17" s="543"/>
    </row>
    <row r="18" spans="1:8" s="540" customFormat="1" ht="41.4" x14ac:dyDescent="0.3">
      <c r="A18" s="533" t="s">
        <v>860</v>
      </c>
      <c r="B18" s="533" t="s">
        <v>1830</v>
      </c>
      <c r="C18" s="550" t="s">
        <v>1838</v>
      </c>
      <c r="D18" s="535" t="s">
        <v>1843</v>
      </c>
      <c r="E18" s="536" t="s">
        <v>1844</v>
      </c>
      <c r="F18" s="537">
        <v>847362</v>
      </c>
      <c r="G18" s="538">
        <v>44567</v>
      </c>
      <c r="H18" s="543"/>
    </row>
    <row r="19" spans="1:8" s="540" customFormat="1" x14ac:dyDescent="0.3">
      <c r="A19" s="544"/>
      <c r="B19" s="544"/>
      <c r="C19" s="545"/>
      <c r="D19" s="546"/>
      <c r="E19" s="545" t="s">
        <v>914</v>
      </c>
      <c r="F19" s="547">
        <f>SUM(F16:F18)</f>
        <v>2975779.28</v>
      </c>
      <c r="G19" s="548"/>
      <c r="H19" s="549"/>
    </row>
    <row r="20" spans="1:8" s="540" customFormat="1" ht="55.2" x14ac:dyDescent="0.3">
      <c r="A20" s="533" t="s">
        <v>860</v>
      </c>
      <c r="B20" s="533" t="s">
        <v>1845</v>
      </c>
      <c r="C20" s="550" t="s">
        <v>1846</v>
      </c>
      <c r="D20" s="535" t="s">
        <v>1847</v>
      </c>
      <c r="E20" s="536" t="s">
        <v>1848</v>
      </c>
      <c r="F20" s="537">
        <v>376445.2</v>
      </c>
      <c r="G20" s="538"/>
      <c r="H20" s="541" t="s">
        <v>1849</v>
      </c>
    </row>
    <row r="21" spans="1:8" s="540" customFormat="1" ht="41.4" x14ac:dyDescent="0.3">
      <c r="A21" s="533" t="s">
        <v>860</v>
      </c>
      <c r="B21" s="533" t="s">
        <v>1845</v>
      </c>
      <c r="C21" s="550" t="s">
        <v>1846</v>
      </c>
      <c r="D21" s="535" t="s">
        <v>1850</v>
      </c>
      <c r="E21" s="536" t="s">
        <v>1851</v>
      </c>
      <c r="F21" s="537">
        <v>614913.86</v>
      </c>
      <c r="G21" s="538">
        <v>43780</v>
      </c>
      <c r="H21" s="543"/>
    </row>
    <row r="22" spans="1:8" s="540" customFormat="1" x14ac:dyDescent="0.3">
      <c r="A22" s="544"/>
      <c r="B22" s="544"/>
      <c r="C22" s="545"/>
      <c r="D22" s="546"/>
      <c r="E22" s="545" t="s">
        <v>914</v>
      </c>
      <c r="F22" s="547">
        <f>SUM(F20:F21)</f>
        <v>991359.06</v>
      </c>
      <c r="G22" s="548"/>
      <c r="H22" s="549"/>
    </row>
    <row r="23" spans="1:8" s="540" customFormat="1" ht="41.4" x14ac:dyDescent="0.3">
      <c r="A23" s="533" t="s">
        <v>860</v>
      </c>
      <c r="B23" s="533" t="s">
        <v>1845</v>
      </c>
      <c r="C23" s="550" t="s">
        <v>1852</v>
      </c>
      <c r="D23" s="535" t="s">
        <v>1853</v>
      </c>
      <c r="E23" s="536" t="s">
        <v>1854</v>
      </c>
      <c r="F23" s="537">
        <v>857051.8</v>
      </c>
      <c r="G23" s="538">
        <v>43038</v>
      </c>
      <c r="H23" s="543"/>
    </row>
    <row r="24" spans="1:8" s="540" customFormat="1" x14ac:dyDescent="0.3">
      <c r="A24" s="544"/>
      <c r="B24" s="544"/>
      <c r="C24" s="545"/>
      <c r="D24" s="546"/>
      <c r="E24" s="545" t="s">
        <v>914</v>
      </c>
      <c r="F24" s="547">
        <f>F23</f>
        <v>857051.8</v>
      </c>
      <c r="G24" s="548"/>
      <c r="H24" s="549"/>
    </row>
    <row r="25" spans="1:8" s="540" customFormat="1" ht="41.4" x14ac:dyDescent="0.3">
      <c r="A25" s="533" t="s">
        <v>860</v>
      </c>
      <c r="B25" s="533" t="s">
        <v>1845</v>
      </c>
      <c r="C25" s="550" t="s">
        <v>235</v>
      </c>
      <c r="D25" s="535" t="s">
        <v>1855</v>
      </c>
      <c r="E25" s="536" t="s">
        <v>1856</v>
      </c>
      <c r="F25" s="537">
        <v>199797</v>
      </c>
      <c r="G25" s="538">
        <v>44574</v>
      </c>
      <c r="H25" s="541" t="s">
        <v>1857</v>
      </c>
    </row>
    <row r="26" spans="1:8" s="540" customFormat="1" ht="27.6" x14ac:dyDescent="0.3">
      <c r="A26" s="533" t="s">
        <v>860</v>
      </c>
      <c r="B26" s="533" t="s">
        <v>1830</v>
      </c>
      <c r="C26" s="550" t="s">
        <v>235</v>
      </c>
      <c r="D26" s="535" t="s">
        <v>1858</v>
      </c>
      <c r="E26" s="536" t="s">
        <v>1859</v>
      </c>
      <c r="F26" s="537">
        <v>711475.4</v>
      </c>
      <c r="G26" s="538">
        <v>43814</v>
      </c>
      <c r="H26" s="543"/>
    </row>
    <row r="27" spans="1:8" s="540" customFormat="1" ht="27.6" x14ac:dyDescent="0.3">
      <c r="A27" s="533" t="s">
        <v>860</v>
      </c>
      <c r="B27" s="533" t="s">
        <v>1830</v>
      </c>
      <c r="C27" s="550" t="s">
        <v>235</v>
      </c>
      <c r="D27" s="535" t="s">
        <v>1860</v>
      </c>
      <c r="E27" s="536" t="s">
        <v>1861</v>
      </c>
      <c r="F27" s="537">
        <v>2116700</v>
      </c>
      <c r="G27" s="538">
        <v>44112</v>
      </c>
      <c r="H27" s="543"/>
    </row>
    <row r="28" spans="1:8" s="540" customFormat="1" x14ac:dyDescent="0.3">
      <c r="A28" s="544"/>
      <c r="B28" s="544"/>
      <c r="C28" s="545"/>
      <c r="D28" s="546"/>
      <c r="E28" s="545" t="s">
        <v>914</v>
      </c>
      <c r="F28" s="547">
        <f>SUM(F25:F27)</f>
        <v>3027972.4</v>
      </c>
      <c r="G28" s="548"/>
      <c r="H28" s="549"/>
    </row>
    <row r="29" spans="1:8" s="540" customFormat="1" x14ac:dyDescent="0.3">
      <c r="A29" s="551"/>
      <c r="B29" s="551"/>
      <c r="C29" s="552"/>
      <c r="D29" s="553"/>
      <c r="E29" s="552" t="s">
        <v>252</v>
      </c>
      <c r="F29" s="554">
        <f>SUM(F11,F15,F19,F22,F24,F28)</f>
        <v>64126458.039999999</v>
      </c>
      <c r="G29" s="555"/>
      <c r="H29" s="556"/>
    </row>
    <row r="30" spans="1:8" s="540" customFormat="1" ht="27.6" x14ac:dyDescent="0.3">
      <c r="A30" s="533" t="s">
        <v>904</v>
      </c>
      <c r="B30" s="533" t="s">
        <v>1821</v>
      </c>
      <c r="C30" s="534" t="s">
        <v>511</v>
      </c>
      <c r="D30" s="535" t="s">
        <v>1862</v>
      </c>
      <c r="E30" s="536" t="s">
        <v>1863</v>
      </c>
      <c r="F30" s="537">
        <v>211308.2</v>
      </c>
      <c r="G30" s="538">
        <v>42548</v>
      </c>
      <c r="H30" s="543"/>
    </row>
    <row r="31" spans="1:8" s="540" customFormat="1" ht="55.2" x14ac:dyDescent="0.3">
      <c r="A31" s="533" t="s">
        <v>904</v>
      </c>
      <c r="B31" s="533" t="s">
        <v>1821</v>
      </c>
      <c r="C31" s="534" t="s">
        <v>511</v>
      </c>
      <c r="D31" s="535" t="s">
        <v>1864</v>
      </c>
      <c r="E31" s="536" t="s">
        <v>1865</v>
      </c>
      <c r="F31" s="537">
        <v>81373.570000000007</v>
      </c>
      <c r="G31" s="538"/>
      <c r="H31" s="541" t="s">
        <v>1849</v>
      </c>
    </row>
    <row r="32" spans="1:8" s="540" customFormat="1" ht="27.6" x14ac:dyDescent="0.3">
      <c r="A32" s="533" t="s">
        <v>904</v>
      </c>
      <c r="B32" s="533" t="s">
        <v>1821</v>
      </c>
      <c r="C32" s="534" t="s">
        <v>511</v>
      </c>
      <c r="D32" s="535" t="s">
        <v>1866</v>
      </c>
      <c r="E32" s="536" t="s">
        <v>1867</v>
      </c>
      <c r="F32" s="537">
        <v>8870</v>
      </c>
      <c r="G32" s="538">
        <v>42893</v>
      </c>
      <c r="H32" s="543"/>
    </row>
    <row r="33" spans="1:8" s="540" customFormat="1" ht="41.4" x14ac:dyDescent="0.3">
      <c r="A33" s="533" t="s">
        <v>904</v>
      </c>
      <c r="B33" s="533" t="s">
        <v>1821</v>
      </c>
      <c r="C33" s="534" t="s">
        <v>511</v>
      </c>
      <c r="D33" s="535" t="s">
        <v>1868</v>
      </c>
      <c r="E33" s="536" t="s">
        <v>1869</v>
      </c>
      <c r="F33" s="537">
        <v>334963.25</v>
      </c>
      <c r="G33" s="538"/>
      <c r="H33" s="543"/>
    </row>
    <row r="34" spans="1:8" s="540" customFormat="1" ht="27.6" x14ac:dyDescent="0.3">
      <c r="A34" s="533" t="s">
        <v>904</v>
      </c>
      <c r="B34" s="533" t="s">
        <v>1821</v>
      </c>
      <c r="C34" s="534" t="s">
        <v>511</v>
      </c>
      <c r="D34" s="535" t="s">
        <v>1870</v>
      </c>
      <c r="E34" s="536" t="s">
        <v>1871</v>
      </c>
      <c r="F34" s="537">
        <v>129850</v>
      </c>
      <c r="G34" s="538">
        <v>43335</v>
      </c>
      <c r="H34" s="543"/>
    </row>
    <row r="35" spans="1:8" s="540" customFormat="1" ht="41.4" x14ac:dyDescent="0.3">
      <c r="A35" s="533" t="s">
        <v>904</v>
      </c>
      <c r="B35" s="533" t="s">
        <v>1821</v>
      </c>
      <c r="C35" s="534" t="s">
        <v>511</v>
      </c>
      <c r="D35" s="535" t="s">
        <v>1872</v>
      </c>
      <c r="E35" s="536" t="s">
        <v>1873</v>
      </c>
      <c r="F35" s="537">
        <v>1290</v>
      </c>
      <c r="G35" s="538">
        <v>43133</v>
      </c>
      <c r="H35" s="543"/>
    </row>
    <row r="36" spans="1:8" s="540" customFormat="1" ht="27.6" x14ac:dyDescent="0.3">
      <c r="A36" s="533" t="s">
        <v>904</v>
      </c>
      <c r="B36" s="533" t="s">
        <v>1821</v>
      </c>
      <c r="C36" s="534" t="s">
        <v>511</v>
      </c>
      <c r="D36" s="535" t="s">
        <v>1874</v>
      </c>
      <c r="E36" s="536" t="s">
        <v>1875</v>
      </c>
      <c r="F36" s="537">
        <v>495053.34</v>
      </c>
      <c r="G36" s="538">
        <v>43782</v>
      </c>
      <c r="H36" s="543"/>
    </row>
    <row r="37" spans="1:8" s="540" customFormat="1" ht="41.4" x14ac:dyDescent="0.3">
      <c r="A37" s="533" t="s">
        <v>904</v>
      </c>
      <c r="B37" s="533" t="s">
        <v>1845</v>
      </c>
      <c r="C37" s="534" t="s">
        <v>511</v>
      </c>
      <c r="D37" s="535" t="s">
        <v>1876</v>
      </c>
      <c r="E37" s="536" t="s">
        <v>1877</v>
      </c>
      <c r="F37" s="537">
        <v>177540</v>
      </c>
      <c r="G37" s="538">
        <v>42706</v>
      </c>
      <c r="H37" s="543"/>
    </row>
    <row r="38" spans="1:8" s="540" customFormat="1" ht="41.4" x14ac:dyDescent="0.3">
      <c r="A38" s="533" t="s">
        <v>904</v>
      </c>
      <c r="B38" s="533" t="s">
        <v>1845</v>
      </c>
      <c r="C38" s="534" t="s">
        <v>511</v>
      </c>
      <c r="D38" s="535" t="s">
        <v>1872</v>
      </c>
      <c r="E38" s="536" t="s">
        <v>1878</v>
      </c>
      <c r="F38" s="537">
        <v>166653</v>
      </c>
      <c r="G38" s="538">
        <v>42402</v>
      </c>
      <c r="H38" s="543"/>
    </row>
    <row r="39" spans="1:8" s="540" customFormat="1" ht="41.4" x14ac:dyDescent="0.3">
      <c r="A39" s="533" t="s">
        <v>904</v>
      </c>
      <c r="B39" s="533" t="s">
        <v>1845</v>
      </c>
      <c r="C39" s="534" t="s">
        <v>511</v>
      </c>
      <c r="D39" s="535" t="s">
        <v>1879</v>
      </c>
      <c r="E39" s="536" t="s">
        <v>1880</v>
      </c>
      <c r="F39" s="537">
        <v>403748.93</v>
      </c>
      <c r="G39" s="538">
        <v>43789</v>
      </c>
      <c r="H39" s="543"/>
    </row>
    <row r="40" spans="1:8" s="540" customFormat="1" ht="41.4" x14ac:dyDescent="0.3">
      <c r="A40" s="533" t="s">
        <v>904</v>
      </c>
      <c r="B40" s="533" t="s">
        <v>1845</v>
      </c>
      <c r="C40" s="534" t="s">
        <v>511</v>
      </c>
      <c r="D40" s="535" t="s">
        <v>1881</v>
      </c>
      <c r="E40" s="536" t="s">
        <v>1882</v>
      </c>
      <c r="F40" s="537">
        <v>781000.67</v>
      </c>
      <c r="G40" s="538">
        <v>43819</v>
      </c>
      <c r="H40" s="543"/>
    </row>
    <row r="41" spans="1:8" s="540" customFormat="1" x14ac:dyDescent="0.3">
      <c r="A41" s="544"/>
      <c r="B41" s="544"/>
      <c r="C41" s="545"/>
      <c r="D41" s="546"/>
      <c r="E41" s="545" t="s">
        <v>914</v>
      </c>
      <c r="F41" s="547">
        <f>SUM(F30:F40)</f>
        <v>2791650.96</v>
      </c>
      <c r="G41" s="548"/>
      <c r="H41" s="549"/>
    </row>
    <row r="42" spans="1:8" s="540" customFormat="1" ht="41.4" x14ac:dyDescent="0.3">
      <c r="A42" s="533" t="s">
        <v>904</v>
      </c>
      <c r="B42" s="533" t="s">
        <v>1821</v>
      </c>
      <c r="C42" s="550" t="s">
        <v>1838</v>
      </c>
      <c r="D42" s="535" t="s">
        <v>1883</v>
      </c>
      <c r="E42" s="536" t="s">
        <v>1884</v>
      </c>
      <c r="F42" s="537">
        <v>485364.41</v>
      </c>
      <c r="G42" s="538">
        <v>43434</v>
      </c>
      <c r="H42" s="543"/>
    </row>
    <row r="43" spans="1:8" s="540" customFormat="1" ht="27.6" x14ac:dyDescent="0.3">
      <c r="A43" s="533" t="s">
        <v>904</v>
      </c>
      <c r="B43" s="533" t="s">
        <v>1830</v>
      </c>
      <c r="C43" s="550" t="s">
        <v>1838</v>
      </c>
      <c r="D43" s="535" t="s">
        <v>1885</v>
      </c>
      <c r="E43" s="536" t="s">
        <v>1886</v>
      </c>
      <c r="F43" s="537">
        <v>175323.86</v>
      </c>
      <c r="G43" s="538">
        <v>43753</v>
      </c>
      <c r="H43" s="543"/>
    </row>
    <row r="44" spans="1:8" s="540" customFormat="1" x14ac:dyDescent="0.3">
      <c r="A44" s="544"/>
      <c r="B44" s="544"/>
      <c r="C44" s="545"/>
      <c r="D44" s="546"/>
      <c r="E44" s="545" t="s">
        <v>914</v>
      </c>
      <c r="F44" s="547">
        <f>SUM(F42:F43)</f>
        <v>660688.27</v>
      </c>
      <c r="G44" s="548"/>
      <c r="H44" s="549"/>
    </row>
    <row r="45" spans="1:8" s="540" customFormat="1" ht="41.4" x14ac:dyDescent="0.3">
      <c r="A45" s="533" t="s">
        <v>904</v>
      </c>
      <c r="B45" s="533" t="s">
        <v>1845</v>
      </c>
      <c r="C45" s="550" t="s">
        <v>240</v>
      </c>
      <c r="D45" s="535" t="s">
        <v>1887</v>
      </c>
      <c r="E45" s="536" t="s">
        <v>1888</v>
      </c>
      <c r="F45" s="537">
        <v>113013</v>
      </c>
      <c r="G45" s="538">
        <v>42766</v>
      </c>
      <c r="H45" s="543"/>
    </row>
    <row r="46" spans="1:8" s="540" customFormat="1" ht="55.2" x14ac:dyDescent="0.3">
      <c r="A46" s="533" t="s">
        <v>904</v>
      </c>
      <c r="B46" s="533" t="s">
        <v>1845</v>
      </c>
      <c r="C46" s="550" t="s">
        <v>240</v>
      </c>
      <c r="D46" s="535" t="s">
        <v>1889</v>
      </c>
      <c r="E46" s="536" t="s">
        <v>1890</v>
      </c>
      <c r="F46" s="537">
        <v>2185938.0699999998</v>
      </c>
      <c r="G46" s="538"/>
      <c r="H46" s="541" t="s">
        <v>1849</v>
      </c>
    </row>
    <row r="47" spans="1:8" s="540" customFormat="1" ht="41.4" x14ac:dyDescent="0.3">
      <c r="A47" s="533" t="s">
        <v>904</v>
      </c>
      <c r="B47" s="533" t="s">
        <v>1845</v>
      </c>
      <c r="C47" s="550" t="s">
        <v>240</v>
      </c>
      <c r="D47" s="535" t="s">
        <v>1891</v>
      </c>
      <c r="E47" s="536" t="s">
        <v>1892</v>
      </c>
      <c r="F47" s="537">
        <v>488727.25</v>
      </c>
      <c r="G47" s="538">
        <v>43893</v>
      </c>
      <c r="H47" s="543"/>
    </row>
    <row r="48" spans="1:8" s="540" customFormat="1" ht="41.4" x14ac:dyDescent="0.3">
      <c r="A48" s="533" t="s">
        <v>904</v>
      </c>
      <c r="B48" s="533" t="s">
        <v>1845</v>
      </c>
      <c r="C48" s="550" t="s">
        <v>240</v>
      </c>
      <c r="D48" s="535" t="s">
        <v>1893</v>
      </c>
      <c r="E48" s="536" t="s">
        <v>1894</v>
      </c>
      <c r="F48" s="537">
        <v>123946.5</v>
      </c>
      <c r="G48" s="538">
        <v>42885</v>
      </c>
      <c r="H48" s="543"/>
    </row>
    <row r="49" spans="1:8" s="540" customFormat="1" ht="41.4" x14ac:dyDescent="0.3">
      <c r="A49" s="533" t="s">
        <v>904</v>
      </c>
      <c r="B49" s="533" t="s">
        <v>1845</v>
      </c>
      <c r="C49" s="550" t="s">
        <v>240</v>
      </c>
      <c r="D49" s="535" t="s">
        <v>1889</v>
      </c>
      <c r="E49" s="536" t="s">
        <v>1890</v>
      </c>
      <c r="F49" s="537">
        <v>2185938.0699999998</v>
      </c>
      <c r="G49" s="538">
        <v>43792</v>
      </c>
      <c r="H49" s="557"/>
    </row>
    <row r="50" spans="1:8" s="540" customFormat="1" ht="41.4" x14ac:dyDescent="0.3">
      <c r="A50" s="533" t="s">
        <v>904</v>
      </c>
      <c r="B50" s="533" t="s">
        <v>1845</v>
      </c>
      <c r="C50" s="550" t="s">
        <v>240</v>
      </c>
      <c r="D50" s="535" t="s">
        <v>1895</v>
      </c>
      <c r="E50" s="536" t="s">
        <v>1896</v>
      </c>
      <c r="F50" s="537">
        <v>38037.629999999997</v>
      </c>
      <c r="G50" s="538">
        <v>44383</v>
      </c>
      <c r="H50" s="543"/>
    </row>
    <row r="51" spans="1:8" s="540" customFormat="1" x14ac:dyDescent="0.3">
      <c r="A51" s="544"/>
      <c r="B51" s="544"/>
      <c r="C51" s="545"/>
      <c r="D51" s="546"/>
      <c r="E51" s="545" t="s">
        <v>914</v>
      </c>
      <c r="F51" s="547">
        <f>SUM(F45:F50)</f>
        <v>5135600.5199999996</v>
      </c>
      <c r="G51" s="558"/>
      <c r="H51" s="549"/>
    </row>
    <row r="52" spans="1:8" s="540" customFormat="1" ht="41.4" x14ac:dyDescent="0.3">
      <c r="A52" s="533" t="s">
        <v>904</v>
      </c>
      <c r="B52" s="533" t="s">
        <v>1845</v>
      </c>
      <c r="C52" s="550" t="s">
        <v>235</v>
      </c>
      <c r="D52" s="535" t="s">
        <v>1897</v>
      </c>
      <c r="E52" s="536" t="s">
        <v>1898</v>
      </c>
      <c r="F52" s="537">
        <v>596759.21</v>
      </c>
      <c r="G52" s="538">
        <v>44877</v>
      </c>
      <c r="H52" s="543"/>
    </row>
    <row r="53" spans="1:8" s="540" customFormat="1" ht="55.2" x14ac:dyDescent="0.3">
      <c r="A53" s="533" t="s">
        <v>904</v>
      </c>
      <c r="B53" s="533" t="s">
        <v>1845</v>
      </c>
      <c r="C53" s="550" t="s">
        <v>235</v>
      </c>
      <c r="D53" s="535" t="s">
        <v>1899</v>
      </c>
      <c r="E53" s="536" t="s">
        <v>1900</v>
      </c>
      <c r="F53" s="537">
        <v>19242.740000000002</v>
      </c>
      <c r="G53" s="538"/>
      <c r="H53" s="541" t="s">
        <v>1849</v>
      </c>
    </row>
    <row r="54" spans="1:8" s="540" customFormat="1" ht="55.2" x14ac:dyDescent="0.3">
      <c r="A54" s="533" t="s">
        <v>904</v>
      </c>
      <c r="B54" s="533" t="s">
        <v>1845</v>
      </c>
      <c r="C54" s="550" t="s">
        <v>235</v>
      </c>
      <c r="D54" s="535" t="s">
        <v>1901</v>
      </c>
      <c r="E54" s="536" t="s">
        <v>1902</v>
      </c>
      <c r="F54" s="537">
        <v>38692.74</v>
      </c>
      <c r="G54" s="538"/>
      <c r="H54" s="541" t="s">
        <v>1849</v>
      </c>
    </row>
    <row r="55" spans="1:8" s="540" customFormat="1" ht="55.2" x14ac:dyDescent="0.3">
      <c r="A55" s="533" t="s">
        <v>904</v>
      </c>
      <c r="B55" s="533" t="s">
        <v>1845</v>
      </c>
      <c r="C55" s="550" t="s">
        <v>235</v>
      </c>
      <c r="D55" s="535" t="s">
        <v>1903</v>
      </c>
      <c r="E55" s="536" t="s">
        <v>1904</v>
      </c>
      <c r="F55" s="537">
        <v>2933267.54</v>
      </c>
      <c r="G55" s="538"/>
      <c r="H55" s="541" t="s">
        <v>1849</v>
      </c>
    </row>
    <row r="56" spans="1:8" s="540" customFormat="1" ht="41.4" x14ac:dyDescent="0.3">
      <c r="A56" s="533" t="s">
        <v>904</v>
      </c>
      <c r="B56" s="533" t="s">
        <v>1845</v>
      </c>
      <c r="C56" s="550" t="s">
        <v>235</v>
      </c>
      <c r="D56" s="535" t="s">
        <v>1905</v>
      </c>
      <c r="E56" s="536" t="s">
        <v>1906</v>
      </c>
      <c r="F56" s="537">
        <v>233999</v>
      </c>
      <c r="G56" s="538">
        <v>44736</v>
      </c>
      <c r="H56" s="543"/>
    </row>
    <row r="57" spans="1:8" s="540" customFormat="1" ht="41.4" x14ac:dyDescent="0.3">
      <c r="A57" s="533" t="s">
        <v>904</v>
      </c>
      <c r="B57" s="533" t="s">
        <v>1845</v>
      </c>
      <c r="C57" s="550" t="s">
        <v>235</v>
      </c>
      <c r="D57" s="535" t="s">
        <v>1907</v>
      </c>
      <c r="E57" s="536" t="s">
        <v>1908</v>
      </c>
      <c r="F57" s="537">
        <v>164310</v>
      </c>
      <c r="G57" s="538">
        <v>44635</v>
      </c>
      <c r="H57" s="543"/>
    </row>
    <row r="58" spans="1:8" s="540" customFormat="1" ht="41.4" x14ac:dyDescent="0.3">
      <c r="A58" s="533" t="s">
        <v>904</v>
      </c>
      <c r="B58" s="533" t="s">
        <v>1845</v>
      </c>
      <c r="C58" s="550" t="s">
        <v>235</v>
      </c>
      <c r="D58" s="535" t="s">
        <v>1909</v>
      </c>
      <c r="E58" s="536" t="s">
        <v>1910</v>
      </c>
      <c r="F58" s="537">
        <v>239869</v>
      </c>
      <c r="G58" s="538">
        <v>44636</v>
      </c>
      <c r="H58" s="543"/>
    </row>
    <row r="59" spans="1:8" s="540" customFormat="1" x14ac:dyDescent="0.3">
      <c r="A59" s="559"/>
      <c r="B59" s="559"/>
      <c r="C59" s="545"/>
      <c r="D59" s="559"/>
      <c r="E59" s="545" t="s">
        <v>914</v>
      </c>
      <c r="F59" s="560">
        <f>SUM(F52:F58)</f>
        <v>4226140.2300000004</v>
      </c>
      <c r="G59" s="561"/>
      <c r="H59" s="562"/>
    </row>
    <row r="60" spans="1:8" s="540" customFormat="1" x14ac:dyDescent="0.3">
      <c r="A60" s="563"/>
      <c r="B60" s="563"/>
      <c r="C60" s="552"/>
      <c r="D60" s="563"/>
      <c r="E60" s="552" t="s">
        <v>676</v>
      </c>
      <c r="F60" s="564">
        <f>SUM(F59,F51,F44,F41)</f>
        <v>12814079.98</v>
      </c>
      <c r="G60" s="565"/>
      <c r="H60" s="566"/>
    </row>
    <row r="61" spans="1:8" s="540" customFormat="1" ht="27.6" x14ac:dyDescent="0.3">
      <c r="A61" s="533" t="s">
        <v>906</v>
      </c>
      <c r="B61" s="533" t="s">
        <v>1821</v>
      </c>
      <c r="C61" s="534" t="s">
        <v>511</v>
      </c>
      <c r="D61" s="535" t="s">
        <v>1911</v>
      </c>
      <c r="E61" s="536" t="s">
        <v>1912</v>
      </c>
      <c r="F61" s="537">
        <v>1409337.41</v>
      </c>
      <c r="G61" s="538">
        <v>44085</v>
      </c>
      <c r="H61" s="543"/>
    </row>
    <row r="62" spans="1:8" s="540" customFormat="1" x14ac:dyDescent="0.3">
      <c r="A62" s="559"/>
      <c r="B62" s="559"/>
      <c r="C62" s="545"/>
      <c r="D62" s="559"/>
      <c r="E62" s="545" t="s">
        <v>914</v>
      </c>
      <c r="F62" s="560">
        <f>F61</f>
        <v>1409337.41</v>
      </c>
      <c r="G62" s="561"/>
      <c r="H62" s="562"/>
    </row>
    <row r="63" spans="1:8" s="540" customFormat="1" ht="27.6" x14ac:dyDescent="0.3">
      <c r="A63" s="533" t="s">
        <v>906</v>
      </c>
      <c r="B63" s="533" t="s">
        <v>1830</v>
      </c>
      <c r="C63" s="550" t="s">
        <v>1831</v>
      </c>
      <c r="D63" s="535" t="s">
        <v>1913</v>
      </c>
      <c r="E63" s="536" t="s">
        <v>1914</v>
      </c>
      <c r="F63" s="537">
        <v>9950461.3000000007</v>
      </c>
      <c r="G63" s="567">
        <v>44841</v>
      </c>
      <c r="H63" s="543"/>
    </row>
    <row r="64" spans="1:8" s="540" customFormat="1" ht="27.6" x14ac:dyDescent="0.3">
      <c r="A64" s="533" t="s">
        <v>906</v>
      </c>
      <c r="B64" s="533" t="s">
        <v>1830</v>
      </c>
      <c r="C64" s="550" t="s">
        <v>1831</v>
      </c>
      <c r="D64" s="535" t="s">
        <v>1915</v>
      </c>
      <c r="E64" s="536" t="s">
        <v>1916</v>
      </c>
      <c r="F64" s="537">
        <v>3995943.68</v>
      </c>
      <c r="G64" s="567">
        <v>44910</v>
      </c>
      <c r="H64" s="543"/>
    </row>
    <row r="65" spans="1:8" s="540" customFormat="1" ht="41.4" x14ac:dyDescent="0.3">
      <c r="A65" s="533" t="s">
        <v>906</v>
      </c>
      <c r="B65" s="533" t="s">
        <v>1830</v>
      </c>
      <c r="C65" s="550" t="s">
        <v>1831</v>
      </c>
      <c r="D65" s="535" t="s">
        <v>1917</v>
      </c>
      <c r="E65" s="536" t="s">
        <v>1918</v>
      </c>
      <c r="F65" s="537">
        <v>14989544.130000001</v>
      </c>
      <c r="G65" s="538">
        <v>44807</v>
      </c>
      <c r="H65" s="543"/>
    </row>
    <row r="66" spans="1:8" s="540" customFormat="1" x14ac:dyDescent="0.3">
      <c r="A66" s="559"/>
      <c r="B66" s="559"/>
      <c r="C66" s="545"/>
      <c r="D66" s="559"/>
      <c r="E66" s="545" t="s">
        <v>914</v>
      </c>
      <c r="F66" s="560">
        <f>SUM(F63:F65)</f>
        <v>28935949.109999999</v>
      </c>
      <c r="G66" s="561"/>
      <c r="H66" s="562"/>
    </row>
    <row r="67" spans="1:8" s="540" customFormat="1" ht="27.6" x14ac:dyDescent="0.3">
      <c r="A67" s="533" t="s">
        <v>906</v>
      </c>
      <c r="B67" s="533" t="s">
        <v>1830</v>
      </c>
      <c r="C67" s="550" t="s">
        <v>1919</v>
      </c>
      <c r="D67" s="535" t="s">
        <v>1920</v>
      </c>
      <c r="E67" s="536" t="s">
        <v>1921</v>
      </c>
      <c r="F67" s="537">
        <v>35597.39</v>
      </c>
      <c r="G67" s="538">
        <v>41785</v>
      </c>
      <c r="H67" s="543"/>
    </row>
    <row r="68" spans="1:8" s="540" customFormat="1" x14ac:dyDescent="0.3">
      <c r="A68" s="559"/>
      <c r="B68" s="559"/>
      <c r="C68" s="545"/>
      <c r="D68" s="559"/>
      <c r="E68" s="545" t="s">
        <v>914</v>
      </c>
      <c r="F68" s="560">
        <f>F67</f>
        <v>35597.39</v>
      </c>
      <c r="G68" s="561"/>
      <c r="H68" s="562"/>
    </row>
    <row r="69" spans="1:8" s="540" customFormat="1" ht="27.6" x14ac:dyDescent="0.3">
      <c r="A69" s="533" t="s">
        <v>906</v>
      </c>
      <c r="B69" s="533" t="s">
        <v>1830</v>
      </c>
      <c r="C69" s="534" t="s">
        <v>678</v>
      </c>
      <c r="D69" s="535" t="s">
        <v>1922</v>
      </c>
      <c r="E69" s="536" t="s">
        <v>1923</v>
      </c>
      <c r="F69" s="537">
        <v>45001</v>
      </c>
      <c r="G69" s="538">
        <v>43293</v>
      </c>
      <c r="H69" s="543"/>
    </row>
    <row r="70" spans="1:8" s="540" customFormat="1" x14ac:dyDescent="0.3">
      <c r="A70" s="559"/>
      <c r="B70" s="559"/>
      <c r="C70" s="545"/>
      <c r="D70" s="559"/>
      <c r="E70" s="545" t="s">
        <v>914</v>
      </c>
      <c r="F70" s="560">
        <f>F69</f>
        <v>45001</v>
      </c>
      <c r="G70" s="561"/>
      <c r="H70" s="562"/>
    </row>
    <row r="71" spans="1:8" s="540" customFormat="1" ht="110.4" x14ac:dyDescent="0.3">
      <c r="A71" s="533" t="s">
        <v>906</v>
      </c>
      <c r="B71" s="533" t="s">
        <v>1830</v>
      </c>
      <c r="C71" s="550" t="s">
        <v>235</v>
      </c>
      <c r="D71" s="535" t="s">
        <v>1924</v>
      </c>
      <c r="E71" s="536" t="s">
        <v>1925</v>
      </c>
      <c r="F71" s="537">
        <v>192620</v>
      </c>
      <c r="G71" s="538"/>
      <c r="H71" s="541" t="s">
        <v>1926</v>
      </c>
    </row>
    <row r="72" spans="1:8" s="540" customFormat="1" ht="27.6" x14ac:dyDescent="0.3">
      <c r="A72" s="533" t="s">
        <v>906</v>
      </c>
      <c r="B72" s="533" t="s">
        <v>1830</v>
      </c>
      <c r="C72" s="550" t="s">
        <v>235</v>
      </c>
      <c r="D72" s="535" t="s">
        <v>1927</v>
      </c>
      <c r="E72" s="536" t="s">
        <v>1928</v>
      </c>
      <c r="F72" s="537">
        <v>32916.480000000003</v>
      </c>
      <c r="G72" s="538">
        <v>43017</v>
      </c>
      <c r="H72" s="543"/>
    </row>
    <row r="73" spans="1:8" s="540" customFormat="1" x14ac:dyDescent="0.3">
      <c r="A73" s="559"/>
      <c r="B73" s="559"/>
      <c r="C73" s="545"/>
      <c r="D73" s="559"/>
      <c r="E73" s="545" t="s">
        <v>914</v>
      </c>
      <c r="F73" s="560">
        <f>SUM(F71:F72)</f>
        <v>225536.48</v>
      </c>
      <c r="G73" s="561"/>
      <c r="H73" s="562"/>
    </row>
    <row r="74" spans="1:8" s="540" customFormat="1" x14ac:dyDescent="0.3">
      <c r="A74" s="563"/>
      <c r="B74" s="563"/>
      <c r="C74" s="552"/>
      <c r="D74" s="563"/>
      <c r="E74" s="552" t="s">
        <v>726</v>
      </c>
      <c r="F74" s="564">
        <f>SUM(F73,F70,F68,F66,F62)</f>
        <v>30651421.390000001</v>
      </c>
      <c r="G74" s="565"/>
      <c r="H74" s="566"/>
    </row>
    <row r="75" spans="1:8" s="540" customFormat="1" x14ac:dyDescent="0.3">
      <c r="A75" s="599"/>
      <c r="B75" s="599"/>
      <c r="C75" s="600"/>
      <c r="D75" s="599"/>
      <c r="E75" s="600" t="s">
        <v>727</v>
      </c>
      <c r="F75" s="601">
        <f>SUM(F74,F60,F29)</f>
        <v>107591959.41</v>
      </c>
      <c r="G75" s="602"/>
      <c r="H75" s="603"/>
    </row>
  </sheetData>
  <sheetProtection algorithmName="SHA-512" hashValue="cnlIOkhVfN1FnoxIKpoCPQ8xqKoQhYFy/vSKItVuG5J0p/NMzg4c+xwwxNOHN2bE48exRMsQifI+DaD/VflHZg==" saltValue="MS1C7l6ioEutW4TkSLdk/w==" spinCount="100000" sheet="1" objects="1" scenarios="1" selectLockedCells="1" selectUnlockedCells="1"/>
  <printOptions horizontalCentered="1"/>
  <pageMargins left="0.70866141732283472" right="0.70866141732283472" top="1.4960629921259843" bottom="0.74803149606299213" header="0.31496062992125984" footer="0.31496062992125984"/>
  <pageSetup scale="69" fitToHeight="0" orientation="landscape" r:id="rId1"/>
  <headerFooter>
    <oddHeader>&amp;R&amp;"Times New Roman,Regular"&amp;12
Annex J
AAR Page 127</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O70"/>
  <sheetViews>
    <sheetView zoomScaleNormal="100" zoomScaleSheetLayoutView="80" workbookViewId="0"/>
  </sheetViews>
  <sheetFormatPr defaultColWidth="8.88671875" defaultRowHeight="15.6" x14ac:dyDescent="0.3"/>
  <cols>
    <col min="1" max="1" width="14.33203125" style="11" customWidth="1"/>
    <col min="2" max="2" width="21.6640625" style="11" customWidth="1"/>
    <col min="3" max="3" width="19.33203125" style="11" hidden="1" customWidth="1"/>
    <col min="4" max="4" width="16.5546875" style="11" hidden="1" customWidth="1"/>
    <col min="5" max="5" width="35.33203125" style="11" customWidth="1"/>
    <col min="6" max="6" width="20.33203125" style="15" customWidth="1"/>
    <col min="7" max="7" width="0" style="15" hidden="1" customWidth="1"/>
    <col min="8" max="8" width="8.88671875" style="15"/>
    <col min="9" max="9" width="12.109375" style="15" customWidth="1"/>
    <col min="10" max="10" width="17.44140625" style="11" bestFit="1" customWidth="1"/>
    <col min="11" max="11" width="16.33203125" style="11" hidden="1" customWidth="1"/>
    <col min="12" max="12" width="15.44140625" style="11" customWidth="1"/>
    <col min="13" max="13" width="15.6640625" style="11" customWidth="1"/>
    <col min="14" max="14" width="8.88671875" style="11"/>
    <col min="15" max="15" width="16.33203125" style="11" bestFit="1" customWidth="1"/>
    <col min="16" max="16384" width="8.88671875" style="11"/>
  </cols>
  <sheetData>
    <row r="1" spans="1:15" x14ac:dyDescent="0.3">
      <c r="A1" s="11" t="s">
        <v>0</v>
      </c>
    </row>
    <row r="2" spans="1:15" x14ac:dyDescent="0.3">
      <c r="A2" s="11" t="s">
        <v>3</v>
      </c>
    </row>
    <row r="3" spans="1:15" x14ac:dyDescent="0.3">
      <c r="A3" s="237" t="s">
        <v>1929</v>
      </c>
    </row>
    <row r="4" spans="1:15" x14ac:dyDescent="0.3">
      <c r="A4" s="141" t="s">
        <v>5</v>
      </c>
    </row>
    <row r="6" spans="1:15" s="15" customFormat="1" ht="41.4" x14ac:dyDescent="0.3">
      <c r="A6" s="215" t="s">
        <v>855</v>
      </c>
      <c r="B6" s="215" t="s">
        <v>1930</v>
      </c>
      <c r="C6" s="215" t="s">
        <v>6</v>
      </c>
      <c r="D6" s="216" t="s">
        <v>1819</v>
      </c>
      <c r="E6" s="239" t="s">
        <v>8</v>
      </c>
      <c r="F6" s="215" t="s">
        <v>1818</v>
      </c>
      <c r="G6" s="568" t="s">
        <v>1931</v>
      </c>
      <c r="H6" s="568" t="s">
        <v>1932</v>
      </c>
      <c r="I6" s="568" t="s">
        <v>1933</v>
      </c>
      <c r="J6" s="216" t="s">
        <v>763</v>
      </c>
      <c r="K6" s="568" t="s">
        <v>1934</v>
      </c>
      <c r="L6" s="568" t="s">
        <v>1935</v>
      </c>
      <c r="M6" s="240" t="s">
        <v>1820</v>
      </c>
      <c r="N6" s="569"/>
      <c r="O6" s="310"/>
    </row>
    <row r="7" spans="1:15" s="540" customFormat="1" ht="27.6" x14ac:dyDescent="0.3">
      <c r="A7" s="533" t="s">
        <v>860</v>
      </c>
      <c r="B7" s="533" t="s">
        <v>1821</v>
      </c>
      <c r="C7" s="533" t="s">
        <v>1936</v>
      </c>
      <c r="D7" s="535" t="s">
        <v>1822</v>
      </c>
      <c r="E7" s="536" t="s">
        <v>1823</v>
      </c>
      <c r="F7" s="534" t="s">
        <v>511</v>
      </c>
      <c r="G7" s="550">
        <v>10</v>
      </c>
      <c r="H7" s="550">
        <f>G7*12</f>
        <v>120</v>
      </c>
      <c r="I7" s="570">
        <v>15</v>
      </c>
      <c r="J7" s="537">
        <v>42551.09</v>
      </c>
      <c r="K7" s="537">
        <f t="shared" ref="K7:K9" si="0">J7*0.95</f>
        <v>40423.535499999998</v>
      </c>
      <c r="L7" s="537">
        <f t="shared" ref="L7:L9" si="1">K7/H7*I7</f>
        <v>5052.9419374999998</v>
      </c>
      <c r="M7" s="571">
        <v>44470</v>
      </c>
    </row>
    <row r="8" spans="1:15" s="540" customFormat="1" ht="41.4" x14ac:dyDescent="0.3">
      <c r="A8" s="533" t="s">
        <v>860</v>
      </c>
      <c r="B8" s="533" t="s">
        <v>1821</v>
      </c>
      <c r="C8" s="533" t="s">
        <v>1936</v>
      </c>
      <c r="D8" s="535" t="s">
        <v>1824</v>
      </c>
      <c r="E8" s="536" t="s">
        <v>1825</v>
      </c>
      <c r="F8" s="534" t="s">
        <v>511</v>
      </c>
      <c r="G8" s="550">
        <v>10</v>
      </c>
      <c r="H8" s="550">
        <v>120</v>
      </c>
      <c r="I8" s="570">
        <v>15</v>
      </c>
      <c r="J8" s="537">
        <v>610731.16</v>
      </c>
      <c r="K8" s="537">
        <f t="shared" si="0"/>
        <v>580194.60199999996</v>
      </c>
      <c r="L8" s="537">
        <f t="shared" si="1"/>
        <v>72524.325249999994</v>
      </c>
      <c r="M8" s="567">
        <v>44469</v>
      </c>
    </row>
    <row r="9" spans="1:15" s="540" customFormat="1" ht="41.4" x14ac:dyDescent="0.3">
      <c r="A9" s="533" t="s">
        <v>860</v>
      </c>
      <c r="B9" s="533" t="s">
        <v>1821</v>
      </c>
      <c r="C9" s="533" t="s">
        <v>1936</v>
      </c>
      <c r="D9" s="535" t="s">
        <v>1826</v>
      </c>
      <c r="E9" s="536" t="s">
        <v>1827</v>
      </c>
      <c r="F9" s="534" t="s">
        <v>511</v>
      </c>
      <c r="G9" s="550">
        <v>10</v>
      </c>
      <c r="H9" s="550">
        <v>120</v>
      </c>
      <c r="I9" s="570">
        <v>1</v>
      </c>
      <c r="J9" s="537">
        <v>1108116.46</v>
      </c>
      <c r="K9" s="537">
        <f t="shared" si="0"/>
        <v>1052710.6369999999</v>
      </c>
      <c r="L9" s="537">
        <f t="shared" si="1"/>
        <v>8772.5886416666654</v>
      </c>
      <c r="M9" s="567">
        <v>44883</v>
      </c>
    </row>
    <row r="10" spans="1:15" s="540" customFormat="1" ht="27.6" x14ac:dyDescent="0.3">
      <c r="A10" s="533" t="s">
        <v>860</v>
      </c>
      <c r="B10" s="533" t="s">
        <v>1821</v>
      </c>
      <c r="C10" s="533" t="s">
        <v>1937</v>
      </c>
      <c r="D10" s="535" t="s">
        <v>1828</v>
      </c>
      <c r="E10" s="536" t="s">
        <v>1829</v>
      </c>
      <c r="F10" s="534" t="s">
        <v>511</v>
      </c>
      <c r="G10" s="550">
        <v>10</v>
      </c>
      <c r="H10" s="550">
        <v>120</v>
      </c>
      <c r="I10" s="550">
        <v>11</v>
      </c>
      <c r="J10" s="537">
        <v>977850</v>
      </c>
      <c r="K10" s="537">
        <f>J10*0.95</f>
        <v>928957.5</v>
      </c>
      <c r="L10" s="537">
        <f>K10/H10*I10</f>
        <v>85154.4375</v>
      </c>
      <c r="M10" s="538">
        <v>44600</v>
      </c>
    </row>
    <row r="11" spans="1:15" s="540" customFormat="1" x14ac:dyDescent="0.3">
      <c r="A11" s="559"/>
      <c r="B11" s="559"/>
      <c r="C11" s="559"/>
      <c r="D11" s="559"/>
      <c r="E11" s="559"/>
      <c r="F11" s="572" t="s">
        <v>914</v>
      </c>
      <c r="G11" s="559"/>
      <c r="H11" s="559"/>
      <c r="I11" s="559"/>
      <c r="J11" s="560">
        <f>SUM(J7:J10)</f>
        <v>2739248.71</v>
      </c>
      <c r="K11" s="560">
        <f>SUM(K7:K10)</f>
        <v>2602286.2744999998</v>
      </c>
      <c r="L11" s="560">
        <f>SUM(L7:L10)</f>
        <v>171504.29332916666</v>
      </c>
      <c r="M11" s="559"/>
    </row>
    <row r="12" spans="1:15" s="540" customFormat="1" ht="55.2" x14ac:dyDescent="0.3">
      <c r="A12" s="533" t="s">
        <v>860</v>
      </c>
      <c r="B12" s="533" t="s">
        <v>1830</v>
      </c>
      <c r="C12" s="533" t="s">
        <v>1938</v>
      </c>
      <c r="D12" s="535" t="s">
        <v>1832</v>
      </c>
      <c r="E12" s="536" t="s">
        <v>1833</v>
      </c>
      <c r="F12" s="550" t="s">
        <v>1831</v>
      </c>
      <c r="G12" s="550">
        <v>20</v>
      </c>
      <c r="H12" s="550">
        <v>240</v>
      </c>
      <c r="I12" s="550">
        <v>13</v>
      </c>
      <c r="J12" s="537">
        <v>19985193.5</v>
      </c>
      <c r="K12" s="537">
        <f t="shared" ref="K12:K14" si="2">J12*0.95</f>
        <v>18985933.824999999</v>
      </c>
      <c r="L12" s="537">
        <f t="shared" ref="L12:L14" si="3">K12/H12*I12</f>
        <v>1028404.7488541666</v>
      </c>
      <c r="M12" s="538">
        <v>44533</v>
      </c>
    </row>
    <row r="13" spans="1:15" s="540" customFormat="1" ht="55.2" x14ac:dyDescent="0.3">
      <c r="A13" s="533" t="s">
        <v>860</v>
      </c>
      <c r="B13" s="533" t="s">
        <v>1830</v>
      </c>
      <c r="C13" s="533" t="s">
        <v>1938</v>
      </c>
      <c r="D13" s="535" t="s">
        <v>1834</v>
      </c>
      <c r="E13" s="536" t="s">
        <v>1835</v>
      </c>
      <c r="F13" s="550" t="s">
        <v>1831</v>
      </c>
      <c r="G13" s="550">
        <v>10</v>
      </c>
      <c r="H13" s="550">
        <v>120</v>
      </c>
      <c r="I13" s="550">
        <v>15</v>
      </c>
      <c r="J13" s="537">
        <v>8992213.1400000006</v>
      </c>
      <c r="K13" s="537">
        <f t="shared" si="2"/>
        <v>8542602.4830000009</v>
      </c>
      <c r="L13" s="537">
        <f t="shared" si="3"/>
        <v>1067825.3103750001</v>
      </c>
      <c r="M13" s="538">
        <v>44484</v>
      </c>
    </row>
    <row r="14" spans="1:15" s="540" customFormat="1" ht="55.2" x14ac:dyDescent="0.3">
      <c r="A14" s="533" t="s">
        <v>860</v>
      </c>
      <c r="B14" s="533" t="s">
        <v>1830</v>
      </c>
      <c r="C14" s="533" t="s">
        <v>1938</v>
      </c>
      <c r="D14" s="535" t="s">
        <v>1836</v>
      </c>
      <c r="E14" s="536" t="s">
        <v>1837</v>
      </c>
      <c r="F14" s="550" t="s">
        <v>1831</v>
      </c>
      <c r="G14" s="550">
        <v>20</v>
      </c>
      <c r="H14" s="550">
        <v>240</v>
      </c>
      <c r="I14" s="550">
        <v>3</v>
      </c>
      <c r="J14" s="537">
        <v>24557640.149999999</v>
      </c>
      <c r="K14" s="537">
        <f t="shared" si="2"/>
        <v>23329758.142499998</v>
      </c>
      <c r="L14" s="537">
        <f t="shared" si="3"/>
        <v>291621.97678124998</v>
      </c>
      <c r="M14" s="538">
        <v>44844</v>
      </c>
    </row>
    <row r="15" spans="1:15" s="540" customFormat="1" x14ac:dyDescent="0.3">
      <c r="A15" s="559"/>
      <c r="B15" s="559"/>
      <c r="C15" s="559"/>
      <c r="D15" s="559"/>
      <c r="E15" s="559"/>
      <c r="F15" s="572" t="s">
        <v>914</v>
      </c>
      <c r="G15" s="559"/>
      <c r="H15" s="559"/>
      <c r="I15" s="559"/>
      <c r="J15" s="560">
        <f>SUM(J12:J14)</f>
        <v>53535046.789999999</v>
      </c>
      <c r="K15" s="560">
        <f t="shared" ref="K15:L15" si="4">SUM(K12:K14)</f>
        <v>50858294.450499997</v>
      </c>
      <c r="L15" s="560">
        <f t="shared" si="4"/>
        <v>2387852.0360104167</v>
      </c>
      <c r="M15" s="559"/>
    </row>
    <row r="16" spans="1:15" s="540" customFormat="1" ht="55.2" x14ac:dyDescent="0.3">
      <c r="A16" s="533" t="s">
        <v>860</v>
      </c>
      <c r="B16" s="533" t="s">
        <v>1830</v>
      </c>
      <c r="C16" s="533" t="s">
        <v>1939</v>
      </c>
      <c r="D16" s="535" t="s">
        <v>1839</v>
      </c>
      <c r="E16" s="536" t="s">
        <v>1840</v>
      </c>
      <c r="F16" s="550" t="s">
        <v>1838</v>
      </c>
      <c r="G16" s="550">
        <v>15</v>
      </c>
      <c r="H16" s="550">
        <v>180</v>
      </c>
      <c r="I16" s="550">
        <v>12</v>
      </c>
      <c r="J16" s="537">
        <v>2098490</v>
      </c>
      <c r="K16" s="537">
        <f t="shared" ref="K16:K18" si="5">J16*0.95</f>
        <v>1993565.5</v>
      </c>
      <c r="L16" s="537">
        <f t="shared" ref="L16:L18" si="6">K16/H16*I16</f>
        <v>132904.36666666667</v>
      </c>
      <c r="M16" s="538">
        <v>44567</v>
      </c>
    </row>
    <row r="17" spans="1:13" s="540" customFormat="1" ht="41.4" x14ac:dyDescent="0.3">
      <c r="A17" s="533" t="s">
        <v>860</v>
      </c>
      <c r="B17" s="533" t="s">
        <v>1830</v>
      </c>
      <c r="C17" s="533" t="s">
        <v>1939</v>
      </c>
      <c r="D17" s="535" t="s">
        <v>1841</v>
      </c>
      <c r="E17" s="536" t="s">
        <v>1842</v>
      </c>
      <c r="F17" s="550" t="s">
        <v>1838</v>
      </c>
      <c r="G17" s="550">
        <v>15</v>
      </c>
      <c r="H17" s="550">
        <v>180</v>
      </c>
      <c r="I17" s="550">
        <v>16</v>
      </c>
      <c r="J17" s="537">
        <v>29927.279999999999</v>
      </c>
      <c r="K17" s="537">
        <f t="shared" si="5"/>
        <v>28430.915999999997</v>
      </c>
      <c r="L17" s="537">
        <f t="shared" si="6"/>
        <v>2527.1925333333329</v>
      </c>
      <c r="M17" s="538">
        <v>44431</v>
      </c>
    </row>
    <row r="18" spans="1:13" s="540" customFormat="1" ht="55.2" x14ac:dyDescent="0.3">
      <c r="A18" s="533" t="s">
        <v>860</v>
      </c>
      <c r="B18" s="533" t="s">
        <v>1830</v>
      </c>
      <c r="C18" s="533" t="s">
        <v>1939</v>
      </c>
      <c r="D18" s="535" t="s">
        <v>1843</v>
      </c>
      <c r="E18" s="536" t="s">
        <v>1844</v>
      </c>
      <c r="F18" s="550" t="s">
        <v>1838</v>
      </c>
      <c r="G18" s="550">
        <v>15</v>
      </c>
      <c r="H18" s="550">
        <v>180</v>
      </c>
      <c r="I18" s="550">
        <v>12</v>
      </c>
      <c r="J18" s="537">
        <v>847362</v>
      </c>
      <c r="K18" s="537">
        <f t="shared" si="5"/>
        <v>804993.89999999991</v>
      </c>
      <c r="L18" s="537">
        <f t="shared" si="6"/>
        <v>53666.259999999995</v>
      </c>
      <c r="M18" s="538">
        <v>44567</v>
      </c>
    </row>
    <row r="19" spans="1:13" s="540" customFormat="1" x14ac:dyDescent="0.3">
      <c r="A19" s="559"/>
      <c r="B19" s="559"/>
      <c r="C19" s="559"/>
      <c r="D19" s="559"/>
      <c r="E19" s="559"/>
      <c r="F19" s="572" t="s">
        <v>914</v>
      </c>
      <c r="G19" s="559"/>
      <c r="H19" s="559"/>
      <c r="I19" s="559"/>
      <c r="J19" s="560">
        <f>SUM(J16:J18)</f>
        <v>2975779.28</v>
      </c>
      <c r="K19" s="560">
        <f t="shared" ref="K19:L19" si="7">SUM(K16:K18)</f>
        <v>2826990.3159999996</v>
      </c>
      <c r="L19" s="560">
        <f t="shared" si="7"/>
        <v>189097.81919999997</v>
      </c>
      <c r="M19" s="559"/>
    </row>
    <row r="20" spans="1:13" s="540" customFormat="1" ht="41.4" x14ac:dyDescent="0.3">
      <c r="A20" s="533" t="s">
        <v>860</v>
      </c>
      <c r="B20" s="533" t="s">
        <v>1845</v>
      </c>
      <c r="C20" s="533" t="s">
        <v>1940</v>
      </c>
      <c r="D20" s="535" t="s">
        <v>1850</v>
      </c>
      <c r="E20" s="536" t="s">
        <v>1851</v>
      </c>
      <c r="F20" s="550" t="s">
        <v>1846</v>
      </c>
      <c r="G20" s="550">
        <v>30</v>
      </c>
      <c r="H20" s="550">
        <v>360</v>
      </c>
      <c r="I20" s="550">
        <v>38</v>
      </c>
      <c r="J20" s="537">
        <v>614913.86</v>
      </c>
      <c r="K20" s="537">
        <f t="shared" ref="K20" si="8">J20*0.95</f>
        <v>584168.16700000002</v>
      </c>
      <c r="L20" s="537">
        <f t="shared" ref="L20" si="9">K20/H20*I20</f>
        <v>61662.195405555562</v>
      </c>
      <c r="M20" s="538">
        <v>43780</v>
      </c>
    </row>
    <row r="21" spans="1:13" s="540" customFormat="1" x14ac:dyDescent="0.3">
      <c r="A21" s="559"/>
      <c r="B21" s="559"/>
      <c r="C21" s="559"/>
      <c r="D21" s="559"/>
      <c r="E21" s="559"/>
      <c r="F21" s="572" t="s">
        <v>914</v>
      </c>
      <c r="G21" s="559"/>
      <c r="H21" s="559"/>
      <c r="I21" s="559"/>
      <c r="J21" s="560">
        <f>J20</f>
        <v>614913.86</v>
      </c>
      <c r="K21" s="560">
        <f t="shared" ref="K21:L21" si="10">K20</f>
        <v>584168.16700000002</v>
      </c>
      <c r="L21" s="560">
        <f t="shared" si="10"/>
        <v>61662.195405555562</v>
      </c>
      <c r="M21" s="559"/>
    </row>
    <row r="22" spans="1:13" s="540" customFormat="1" ht="55.2" x14ac:dyDescent="0.3">
      <c r="A22" s="533" t="s">
        <v>860</v>
      </c>
      <c r="B22" s="533" t="s">
        <v>1845</v>
      </c>
      <c r="C22" s="533" t="s">
        <v>1941</v>
      </c>
      <c r="D22" s="535" t="s">
        <v>1853</v>
      </c>
      <c r="E22" s="536" t="s">
        <v>1854</v>
      </c>
      <c r="F22" s="550" t="s">
        <v>1852</v>
      </c>
      <c r="G22" s="550">
        <v>30</v>
      </c>
      <c r="H22" s="550">
        <v>360</v>
      </c>
      <c r="I22" s="550">
        <v>62</v>
      </c>
      <c r="J22" s="537">
        <v>857051.8</v>
      </c>
      <c r="K22" s="537">
        <f t="shared" ref="K22" si="11">J22*0.95</f>
        <v>814199.21</v>
      </c>
      <c r="L22" s="537">
        <f t="shared" ref="L22" si="12">K22/H22*I22</f>
        <v>140223.19727777777</v>
      </c>
      <c r="M22" s="538">
        <v>43038</v>
      </c>
    </row>
    <row r="23" spans="1:13" s="540" customFormat="1" x14ac:dyDescent="0.3">
      <c r="A23" s="559"/>
      <c r="B23" s="559"/>
      <c r="C23" s="559"/>
      <c r="D23" s="559"/>
      <c r="E23" s="559"/>
      <c r="F23" s="572" t="s">
        <v>914</v>
      </c>
      <c r="G23" s="559"/>
      <c r="H23" s="559"/>
      <c r="I23" s="559"/>
      <c r="J23" s="560">
        <f>J22</f>
        <v>857051.8</v>
      </c>
      <c r="K23" s="560">
        <f t="shared" ref="K23:L23" si="13">K22</f>
        <v>814199.21</v>
      </c>
      <c r="L23" s="560">
        <f t="shared" si="13"/>
        <v>140223.19727777777</v>
      </c>
      <c r="M23" s="559"/>
    </row>
    <row r="24" spans="1:13" s="540" customFormat="1" ht="41.4" x14ac:dyDescent="0.3">
      <c r="A24" s="533" t="s">
        <v>860</v>
      </c>
      <c r="B24" s="533" t="s">
        <v>1845</v>
      </c>
      <c r="C24" s="533" t="s">
        <v>1940</v>
      </c>
      <c r="D24" s="535" t="s">
        <v>1855</v>
      </c>
      <c r="E24" s="536" t="s">
        <v>1856</v>
      </c>
      <c r="F24" s="550" t="s">
        <v>235</v>
      </c>
      <c r="G24" s="550">
        <v>30</v>
      </c>
      <c r="H24" s="550">
        <v>360</v>
      </c>
      <c r="I24" s="550">
        <v>12</v>
      </c>
      <c r="J24" s="537">
        <v>199797</v>
      </c>
      <c r="K24" s="537">
        <v>189807.15</v>
      </c>
      <c r="L24" s="537">
        <v>6326.9049999999997</v>
      </c>
      <c r="M24" s="538">
        <v>44574</v>
      </c>
    </row>
    <row r="25" spans="1:13" s="540" customFormat="1" ht="27.6" x14ac:dyDescent="0.3">
      <c r="A25" s="533" t="s">
        <v>860</v>
      </c>
      <c r="B25" s="533" t="s">
        <v>1830</v>
      </c>
      <c r="C25" s="533" t="s">
        <v>1942</v>
      </c>
      <c r="D25" s="535" t="s">
        <v>1858</v>
      </c>
      <c r="E25" s="536" t="s">
        <v>1859</v>
      </c>
      <c r="F25" s="550" t="s">
        <v>235</v>
      </c>
      <c r="G25" s="550">
        <v>30</v>
      </c>
      <c r="H25" s="550">
        <v>360</v>
      </c>
      <c r="I25" s="550">
        <v>37</v>
      </c>
      <c r="J25" s="537">
        <v>711475.4</v>
      </c>
      <c r="K25" s="537">
        <v>675901.63</v>
      </c>
      <c r="L25" s="537">
        <v>69467.667527777783</v>
      </c>
      <c r="M25" s="538">
        <v>43814</v>
      </c>
    </row>
    <row r="26" spans="1:13" s="540" customFormat="1" ht="41.4" x14ac:dyDescent="0.3">
      <c r="A26" s="533" t="s">
        <v>860</v>
      </c>
      <c r="B26" s="533" t="s">
        <v>1830</v>
      </c>
      <c r="C26" s="533" t="s">
        <v>1942</v>
      </c>
      <c r="D26" s="535" t="s">
        <v>1860</v>
      </c>
      <c r="E26" s="536" t="s">
        <v>1861</v>
      </c>
      <c r="F26" s="550" t="s">
        <v>235</v>
      </c>
      <c r="G26" s="550">
        <v>30</v>
      </c>
      <c r="H26" s="550">
        <v>360</v>
      </c>
      <c r="I26" s="550">
        <v>27</v>
      </c>
      <c r="J26" s="537">
        <v>2116700</v>
      </c>
      <c r="K26" s="537">
        <v>2010865</v>
      </c>
      <c r="L26" s="537">
        <v>150814.875</v>
      </c>
      <c r="M26" s="538">
        <v>44112</v>
      </c>
    </row>
    <row r="27" spans="1:13" s="540" customFormat="1" x14ac:dyDescent="0.3">
      <c r="A27" s="559"/>
      <c r="B27" s="559"/>
      <c r="C27" s="559"/>
      <c r="D27" s="559"/>
      <c r="E27" s="559"/>
      <c r="F27" s="572" t="s">
        <v>914</v>
      </c>
      <c r="G27" s="559"/>
      <c r="H27" s="559"/>
      <c r="I27" s="559"/>
      <c r="J27" s="560">
        <f>SUM(J24:J26)</f>
        <v>3027972.4</v>
      </c>
      <c r="K27" s="560">
        <f t="shared" ref="K27:L27" si="14">SUM(K24:K26)</f>
        <v>2876573.7800000003</v>
      </c>
      <c r="L27" s="560">
        <f t="shared" si="14"/>
        <v>226609.44752777778</v>
      </c>
      <c r="M27" s="559"/>
    </row>
    <row r="28" spans="1:13" s="540" customFormat="1" x14ac:dyDescent="0.3">
      <c r="A28" s="563"/>
      <c r="B28" s="563"/>
      <c r="C28" s="563"/>
      <c r="D28" s="563"/>
      <c r="E28" s="563"/>
      <c r="F28" s="573" t="s">
        <v>252</v>
      </c>
      <c r="G28" s="563"/>
      <c r="H28" s="563"/>
      <c r="I28" s="563"/>
      <c r="J28" s="564">
        <f>SUM(J11,J15,J19,J21,J23,J27)</f>
        <v>63750012.839999996</v>
      </c>
      <c r="K28" s="564">
        <f t="shared" ref="K28:L28" si="15">SUM(K11,K15,K19,K21,K23,K27)</f>
        <v>60562512.197999999</v>
      </c>
      <c r="L28" s="564">
        <f t="shared" si="15"/>
        <v>3176948.9887506943</v>
      </c>
      <c r="M28" s="563"/>
    </row>
    <row r="29" spans="1:13" s="540" customFormat="1" ht="41.4" x14ac:dyDescent="0.3">
      <c r="A29" s="533" t="s">
        <v>904</v>
      </c>
      <c r="B29" s="533" t="s">
        <v>1821</v>
      </c>
      <c r="C29" s="533" t="s">
        <v>1943</v>
      </c>
      <c r="D29" s="535" t="s">
        <v>1862</v>
      </c>
      <c r="E29" s="536" t="s">
        <v>1863</v>
      </c>
      <c r="F29" s="534" t="s">
        <v>511</v>
      </c>
      <c r="G29" s="550">
        <v>10</v>
      </c>
      <c r="H29" s="550">
        <v>120</v>
      </c>
      <c r="I29" s="550">
        <v>78</v>
      </c>
      <c r="J29" s="537">
        <v>211308.2</v>
      </c>
      <c r="K29" s="537">
        <v>200742.79</v>
      </c>
      <c r="L29" s="537">
        <v>130482.8135</v>
      </c>
      <c r="M29" s="538">
        <v>42548</v>
      </c>
    </row>
    <row r="30" spans="1:13" s="540" customFormat="1" ht="41.4" x14ac:dyDescent="0.3">
      <c r="A30" s="533" t="s">
        <v>904</v>
      </c>
      <c r="B30" s="533" t="s">
        <v>1821</v>
      </c>
      <c r="C30" s="533" t="s">
        <v>1943</v>
      </c>
      <c r="D30" s="535" t="s">
        <v>1866</v>
      </c>
      <c r="E30" s="536" t="s">
        <v>1867</v>
      </c>
      <c r="F30" s="534" t="s">
        <v>511</v>
      </c>
      <c r="G30" s="550">
        <v>10</v>
      </c>
      <c r="H30" s="550">
        <v>120</v>
      </c>
      <c r="I30" s="550">
        <v>67</v>
      </c>
      <c r="J30" s="537">
        <v>8870</v>
      </c>
      <c r="K30" s="537">
        <v>8426.5</v>
      </c>
      <c r="L30" s="537">
        <v>4704.7958333333336</v>
      </c>
      <c r="M30" s="538">
        <v>42893</v>
      </c>
    </row>
    <row r="31" spans="1:13" s="540" customFormat="1" ht="41.4" x14ac:dyDescent="0.3">
      <c r="A31" s="533" t="s">
        <v>904</v>
      </c>
      <c r="B31" s="533" t="s">
        <v>1821</v>
      </c>
      <c r="C31" s="533" t="s">
        <v>1943</v>
      </c>
      <c r="D31" s="535" t="s">
        <v>1870</v>
      </c>
      <c r="E31" s="536" t="s">
        <v>1871</v>
      </c>
      <c r="F31" s="534" t="s">
        <v>511</v>
      </c>
      <c r="G31" s="550">
        <v>10</v>
      </c>
      <c r="H31" s="550">
        <v>120</v>
      </c>
      <c r="I31" s="550">
        <v>52</v>
      </c>
      <c r="J31" s="537">
        <v>129850</v>
      </c>
      <c r="K31" s="537">
        <v>123357.5</v>
      </c>
      <c r="L31" s="537">
        <v>53454.916666666672</v>
      </c>
      <c r="M31" s="538">
        <v>43335</v>
      </c>
    </row>
    <row r="32" spans="1:13" s="540" customFormat="1" ht="41.4" x14ac:dyDescent="0.3">
      <c r="A32" s="533" t="s">
        <v>904</v>
      </c>
      <c r="B32" s="533" t="s">
        <v>1821</v>
      </c>
      <c r="C32" s="533" t="s">
        <v>1943</v>
      </c>
      <c r="D32" s="535" t="s">
        <v>1872</v>
      </c>
      <c r="E32" s="536" t="s">
        <v>1873</v>
      </c>
      <c r="F32" s="534" t="s">
        <v>511</v>
      </c>
      <c r="G32" s="550">
        <v>10</v>
      </c>
      <c r="H32" s="550">
        <v>120</v>
      </c>
      <c r="I32" s="550">
        <v>59</v>
      </c>
      <c r="J32" s="537">
        <v>1290</v>
      </c>
      <c r="K32" s="537">
        <v>1225.5</v>
      </c>
      <c r="L32" s="537">
        <v>602.53750000000002</v>
      </c>
      <c r="M32" s="538">
        <v>43133</v>
      </c>
    </row>
    <row r="33" spans="1:13" s="540" customFormat="1" ht="41.4" x14ac:dyDescent="0.3">
      <c r="A33" s="533" t="s">
        <v>904</v>
      </c>
      <c r="B33" s="533" t="s">
        <v>1821</v>
      </c>
      <c r="C33" s="533" t="s">
        <v>1943</v>
      </c>
      <c r="D33" s="535" t="s">
        <v>1874</v>
      </c>
      <c r="E33" s="536" t="s">
        <v>1875</v>
      </c>
      <c r="F33" s="534" t="s">
        <v>511</v>
      </c>
      <c r="G33" s="550">
        <v>10</v>
      </c>
      <c r="H33" s="550">
        <v>120</v>
      </c>
      <c r="I33" s="550">
        <v>38</v>
      </c>
      <c r="J33" s="537">
        <v>495053.34</v>
      </c>
      <c r="K33" s="537">
        <v>470300.67300000001</v>
      </c>
      <c r="L33" s="537">
        <v>148928.54644999999</v>
      </c>
      <c r="M33" s="538">
        <v>43782</v>
      </c>
    </row>
    <row r="34" spans="1:13" s="540" customFormat="1" ht="41.4" x14ac:dyDescent="0.3">
      <c r="A34" s="533" t="s">
        <v>904</v>
      </c>
      <c r="B34" s="533" t="s">
        <v>1845</v>
      </c>
      <c r="C34" s="533" t="s">
        <v>1940</v>
      </c>
      <c r="D34" s="535" t="s">
        <v>1876</v>
      </c>
      <c r="E34" s="536" t="s">
        <v>1877</v>
      </c>
      <c r="F34" s="534" t="s">
        <v>511</v>
      </c>
      <c r="G34" s="550">
        <v>10</v>
      </c>
      <c r="H34" s="550">
        <v>120</v>
      </c>
      <c r="I34" s="550">
        <v>73</v>
      </c>
      <c r="J34" s="537">
        <v>177540</v>
      </c>
      <c r="K34" s="537">
        <v>168663</v>
      </c>
      <c r="L34" s="537">
        <v>102603.32500000001</v>
      </c>
      <c r="M34" s="538">
        <v>42706</v>
      </c>
    </row>
    <row r="35" spans="1:13" s="540" customFormat="1" ht="41.4" x14ac:dyDescent="0.3">
      <c r="A35" s="533" t="s">
        <v>904</v>
      </c>
      <c r="B35" s="533" t="s">
        <v>1845</v>
      </c>
      <c r="C35" s="533" t="s">
        <v>1940</v>
      </c>
      <c r="D35" s="535" t="s">
        <v>1872</v>
      </c>
      <c r="E35" s="536" t="s">
        <v>1878</v>
      </c>
      <c r="F35" s="534" t="s">
        <v>511</v>
      </c>
      <c r="G35" s="550">
        <v>10</v>
      </c>
      <c r="H35" s="550">
        <v>120</v>
      </c>
      <c r="I35" s="550">
        <v>83</v>
      </c>
      <c r="J35" s="537">
        <v>166653</v>
      </c>
      <c r="K35" s="537">
        <v>158320.35</v>
      </c>
      <c r="L35" s="537">
        <v>109504.90875</v>
      </c>
      <c r="M35" s="538">
        <v>42402</v>
      </c>
    </row>
    <row r="36" spans="1:13" s="540" customFormat="1" ht="41.4" x14ac:dyDescent="0.3">
      <c r="A36" s="533" t="s">
        <v>904</v>
      </c>
      <c r="B36" s="533" t="s">
        <v>1845</v>
      </c>
      <c r="C36" s="533" t="s">
        <v>1940</v>
      </c>
      <c r="D36" s="535" t="s">
        <v>1879</v>
      </c>
      <c r="E36" s="536" t="s">
        <v>1880</v>
      </c>
      <c r="F36" s="534" t="s">
        <v>511</v>
      </c>
      <c r="G36" s="550">
        <v>10</v>
      </c>
      <c r="H36" s="550">
        <v>120</v>
      </c>
      <c r="I36" s="550">
        <v>37</v>
      </c>
      <c r="J36" s="537">
        <v>403748.93</v>
      </c>
      <c r="K36" s="537">
        <v>383561.48349999997</v>
      </c>
      <c r="L36" s="537">
        <v>118264.79074583332</v>
      </c>
      <c r="M36" s="538">
        <v>43789</v>
      </c>
    </row>
    <row r="37" spans="1:13" s="540" customFormat="1" ht="41.4" x14ac:dyDescent="0.3">
      <c r="A37" s="533" t="s">
        <v>904</v>
      </c>
      <c r="B37" s="533" t="s">
        <v>1845</v>
      </c>
      <c r="C37" s="533" t="s">
        <v>1940</v>
      </c>
      <c r="D37" s="535" t="s">
        <v>1881</v>
      </c>
      <c r="E37" s="536" t="s">
        <v>1882</v>
      </c>
      <c r="F37" s="534" t="s">
        <v>511</v>
      </c>
      <c r="G37" s="550">
        <v>10</v>
      </c>
      <c r="H37" s="550">
        <v>120</v>
      </c>
      <c r="I37" s="550">
        <v>36</v>
      </c>
      <c r="J37" s="537">
        <v>781000.67</v>
      </c>
      <c r="K37" s="537">
        <v>741950.63650000002</v>
      </c>
      <c r="L37" s="537">
        <v>222585.19095000002</v>
      </c>
      <c r="M37" s="538">
        <v>43819</v>
      </c>
    </row>
    <row r="38" spans="1:13" s="540" customFormat="1" x14ac:dyDescent="0.3">
      <c r="A38" s="559"/>
      <c r="B38" s="559"/>
      <c r="C38" s="559"/>
      <c r="D38" s="559"/>
      <c r="E38" s="559"/>
      <c r="F38" s="572" t="s">
        <v>914</v>
      </c>
      <c r="G38" s="559"/>
      <c r="H38" s="559"/>
      <c r="I38" s="559"/>
      <c r="J38" s="560">
        <f>SUM(J29:J37)</f>
        <v>2375314.14</v>
      </c>
      <c r="K38" s="560">
        <f t="shared" ref="K38:L38" si="16">SUM(K29:K37)</f>
        <v>2256548.4330000002</v>
      </c>
      <c r="L38" s="560">
        <f t="shared" si="16"/>
        <v>891131.82539583347</v>
      </c>
      <c r="M38" s="559"/>
    </row>
    <row r="39" spans="1:13" s="540" customFormat="1" ht="55.2" x14ac:dyDescent="0.3">
      <c r="A39" s="533" t="s">
        <v>904</v>
      </c>
      <c r="B39" s="533" t="s">
        <v>1821</v>
      </c>
      <c r="C39" s="533" t="s">
        <v>1943</v>
      </c>
      <c r="D39" s="535" t="s">
        <v>1883</v>
      </c>
      <c r="E39" s="536" t="s">
        <v>1884</v>
      </c>
      <c r="F39" s="550" t="s">
        <v>1838</v>
      </c>
      <c r="G39" s="550">
        <v>15</v>
      </c>
      <c r="H39" s="550">
        <v>180</v>
      </c>
      <c r="I39" s="550">
        <v>49</v>
      </c>
      <c r="J39" s="537">
        <v>485364.41</v>
      </c>
      <c r="K39" s="537">
        <v>461096.18949999998</v>
      </c>
      <c r="L39" s="537">
        <v>125520.62936388889</v>
      </c>
      <c r="M39" s="538">
        <v>43434</v>
      </c>
    </row>
    <row r="40" spans="1:13" s="540" customFormat="1" ht="41.4" x14ac:dyDescent="0.3">
      <c r="A40" s="533" t="s">
        <v>904</v>
      </c>
      <c r="B40" s="533" t="s">
        <v>1830</v>
      </c>
      <c r="C40" s="533" t="s">
        <v>1939</v>
      </c>
      <c r="D40" s="535" t="s">
        <v>1885</v>
      </c>
      <c r="E40" s="536" t="s">
        <v>1886</v>
      </c>
      <c r="F40" s="550" t="s">
        <v>1838</v>
      </c>
      <c r="G40" s="550">
        <v>15</v>
      </c>
      <c r="H40" s="550">
        <v>180</v>
      </c>
      <c r="I40" s="550">
        <v>39</v>
      </c>
      <c r="J40" s="537">
        <v>175323.86</v>
      </c>
      <c r="K40" s="537">
        <v>166557.66699999999</v>
      </c>
      <c r="L40" s="537">
        <v>36087.494516666666</v>
      </c>
      <c r="M40" s="538">
        <v>43753</v>
      </c>
    </row>
    <row r="41" spans="1:13" s="540" customFormat="1" x14ac:dyDescent="0.3">
      <c r="A41" s="559"/>
      <c r="B41" s="559"/>
      <c r="C41" s="559"/>
      <c r="D41" s="559"/>
      <c r="E41" s="559"/>
      <c r="F41" s="572" t="s">
        <v>914</v>
      </c>
      <c r="G41" s="559"/>
      <c r="H41" s="559"/>
      <c r="I41" s="559"/>
      <c r="J41" s="560">
        <f>SUM(J39:J40)</f>
        <v>660688.27</v>
      </c>
      <c r="K41" s="560">
        <f t="shared" ref="K41:L41" si="17">SUM(K39:K40)</f>
        <v>627653.85649999999</v>
      </c>
      <c r="L41" s="560">
        <f t="shared" si="17"/>
        <v>161608.12388055556</v>
      </c>
      <c r="M41" s="559"/>
    </row>
    <row r="42" spans="1:13" s="540" customFormat="1" ht="55.2" x14ac:dyDescent="0.3">
      <c r="A42" s="533" t="s">
        <v>904</v>
      </c>
      <c r="B42" s="533" t="s">
        <v>1845</v>
      </c>
      <c r="C42" s="533" t="s">
        <v>1944</v>
      </c>
      <c r="D42" s="535" t="s">
        <v>1887</v>
      </c>
      <c r="E42" s="536" t="s">
        <v>1888</v>
      </c>
      <c r="F42" s="550" t="s">
        <v>240</v>
      </c>
      <c r="G42" s="550">
        <v>30</v>
      </c>
      <c r="H42" s="550">
        <v>360</v>
      </c>
      <c r="I42" s="550">
        <v>71</v>
      </c>
      <c r="J42" s="537">
        <v>113013</v>
      </c>
      <c r="K42" s="537">
        <v>107362.34999999999</v>
      </c>
      <c r="L42" s="537">
        <v>21174.241249999999</v>
      </c>
      <c r="M42" s="538">
        <v>42766</v>
      </c>
    </row>
    <row r="43" spans="1:13" s="540" customFormat="1" ht="55.2" x14ac:dyDescent="0.3">
      <c r="A43" s="533" t="s">
        <v>904</v>
      </c>
      <c r="B43" s="533" t="s">
        <v>1845</v>
      </c>
      <c r="C43" s="533" t="s">
        <v>1944</v>
      </c>
      <c r="D43" s="535" t="s">
        <v>1891</v>
      </c>
      <c r="E43" s="536" t="s">
        <v>1892</v>
      </c>
      <c r="F43" s="550" t="s">
        <v>240</v>
      </c>
      <c r="G43" s="550">
        <v>30</v>
      </c>
      <c r="H43" s="550">
        <v>360</v>
      </c>
      <c r="I43" s="550">
        <v>34</v>
      </c>
      <c r="J43" s="537">
        <v>488727.25</v>
      </c>
      <c r="K43" s="537">
        <v>464290.88749999995</v>
      </c>
      <c r="L43" s="537">
        <v>43849.694930555546</v>
      </c>
      <c r="M43" s="538">
        <v>43893</v>
      </c>
    </row>
    <row r="44" spans="1:13" s="540" customFormat="1" ht="55.2" x14ac:dyDescent="0.3">
      <c r="A44" s="533" t="s">
        <v>904</v>
      </c>
      <c r="B44" s="533" t="s">
        <v>1845</v>
      </c>
      <c r="C44" s="533" t="s">
        <v>1944</v>
      </c>
      <c r="D44" s="535" t="s">
        <v>1893</v>
      </c>
      <c r="E44" s="536" t="s">
        <v>1894</v>
      </c>
      <c r="F44" s="550" t="s">
        <v>240</v>
      </c>
      <c r="G44" s="550">
        <v>30</v>
      </c>
      <c r="H44" s="550">
        <v>360</v>
      </c>
      <c r="I44" s="550">
        <v>67</v>
      </c>
      <c r="J44" s="537">
        <v>123946.5</v>
      </c>
      <c r="K44" s="537">
        <v>117749.17499999999</v>
      </c>
      <c r="L44" s="537">
        <v>21914.429791666666</v>
      </c>
      <c r="M44" s="538">
        <v>42885</v>
      </c>
    </row>
    <row r="45" spans="1:13" s="540" customFormat="1" ht="55.2" x14ac:dyDescent="0.3">
      <c r="A45" s="533" t="s">
        <v>904</v>
      </c>
      <c r="B45" s="533" t="s">
        <v>1845</v>
      </c>
      <c r="C45" s="533" t="s">
        <v>1944</v>
      </c>
      <c r="D45" s="535" t="s">
        <v>1889</v>
      </c>
      <c r="E45" s="536" t="s">
        <v>1890</v>
      </c>
      <c r="F45" s="550" t="s">
        <v>240</v>
      </c>
      <c r="G45" s="550">
        <v>30</v>
      </c>
      <c r="H45" s="550">
        <v>360</v>
      </c>
      <c r="I45" s="550">
        <v>37</v>
      </c>
      <c r="J45" s="537">
        <v>2185938.0699999998</v>
      </c>
      <c r="K45" s="537">
        <v>2076641.1664999998</v>
      </c>
      <c r="L45" s="537">
        <v>213432.56433472218</v>
      </c>
      <c r="M45" s="538">
        <v>43792</v>
      </c>
    </row>
    <row r="46" spans="1:13" s="540" customFormat="1" ht="41.4" x14ac:dyDescent="0.3">
      <c r="A46" s="533" t="s">
        <v>904</v>
      </c>
      <c r="B46" s="533" t="s">
        <v>1845</v>
      </c>
      <c r="C46" s="533" t="s">
        <v>1940</v>
      </c>
      <c r="D46" s="535" t="s">
        <v>1895</v>
      </c>
      <c r="E46" s="536" t="s">
        <v>1896</v>
      </c>
      <c r="F46" s="550" t="s">
        <v>240</v>
      </c>
      <c r="G46" s="550">
        <v>30</v>
      </c>
      <c r="H46" s="550">
        <v>360</v>
      </c>
      <c r="I46" s="550">
        <v>18</v>
      </c>
      <c r="J46" s="537">
        <v>38037.629999999997</v>
      </c>
      <c r="K46" s="537">
        <v>36135.748499999994</v>
      </c>
      <c r="L46" s="537">
        <v>1806.7874249999995</v>
      </c>
      <c r="M46" s="538">
        <v>44383</v>
      </c>
    </row>
    <row r="47" spans="1:13" s="540" customFormat="1" x14ac:dyDescent="0.3">
      <c r="A47" s="559"/>
      <c r="B47" s="559"/>
      <c r="C47" s="559"/>
      <c r="D47" s="559"/>
      <c r="E47" s="559"/>
      <c r="F47" s="572" t="s">
        <v>914</v>
      </c>
      <c r="G47" s="559"/>
      <c r="H47" s="559"/>
      <c r="I47" s="559"/>
      <c r="J47" s="560">
        <f>SUM(J42:J46)</f>
        <v>2949662.4499999997</v>
      </c>
      <c r="K47" s="560">
        <f t="shared" ref="K47:L47" si="18">SUM(K42:K46)</f>
        <v>2802179.3275000001</v>
      </c>
      <c r="L47" s="560">
        <f t="shared" si="18"/>
        <v>302177.7177319444</v>
      </c>
      <c r="M47" s="559"/>
    </row>
    <row r="48" spans="1:13" s="540" customFormat="1" ht="41.4" x14ac:dyDescent="0.3">
      <c r="A48" s="533" t="s">
        <v>904</v>
      </c>
      <c r="B48" s="533" t="s">
        <v>1845</v>
      </c>
      <c r="C48" s="533" t="s">
        <v>1940</v>
      </c>
      <c r="D48" s="535" t="s">
        <v>1897</v>
      </c>
      <c r="E48" s="536" t="s">
        <v>1898</v>
      </c>
      <c r="F48" s="550" t="s">
        <v>235</v>
      </c>
      <c r="G48" s="550">
        <v>30</v>
      </c>
      <c r="H48" s="550">
        <v>360</v>
      </c>
      <c r="I48" s="550">
        <v>2</v>
      </c>
      <c r="J48" s="537">
        <v>596759.21</v>
      </c>
      <c r="K48" s="537">
        <v>566921.24949999992</v>
      </c>
      <c r="L48" s="537">
        <v>3149.5624972222217</v>
      </c>
      <c r="M48" s="538">
        <v>44877</v>
      </c>
    </row>
    <row r="49" spans="1:13" s="540" customFormat="1" ht="41.4" x14ac:dyDescent="0.3">
      <c r="A49" s="533" t="s">
        <v>904</v>
      </c>
      <c r="B49" s="533" t="s">
        <v>1845</v>
      </c>
      <c r="C49" s="533" t="s">
        <v>1940</v>
      </c>
      <c r="D49" s="535" t="s">
        <v>1905</v>
      </c>
      <c r="E49" s="536" t="s">
        <v>1906</v>
      </c>
      <c r="F49" s="550" t="s">
        <v>235</v>
      </c>
      <c r="G49" s="550">
        <v>30</v>
      </c>
      <c r="H49" s="550">
        <v>360</v>
      </c>
      <c r="I49" s="550">
        <v>6</v>
      </c>
      <c r="J49" s="537">
        <v>233999</v>
      </c>
      <c r="K49" s="537">
        <v>222299.05</v>
      </c>
      <c r="L49" s="537">
        <v>3704.9841666666666</v>
      </c>
      <c r="M49" s="538">
        <v>44736</v>
      </c>
    </row>
    <row r="50" spans="1:13" s="540" customFormat="1" ht="41.4" x14ac:dyDescent="0.3">
      <c r="A50" s="533" t="s">
        <v>904</v>
      </c>
      <c r="B50" s="533" t="s">
        <v>1845</v>
      </c>
      <c r="C50" s="533" t="s">
        <v>1940</v>
      </c>
      <c r="D50" s="535" t="s">
        <v>1907</v>
      </c>
      <c r="E50" s="536" t="s">
        <v>1908</v>
      </c>
      <c r="F50" s="550" t="s">
        <v>235</v>
      </c>
      <c r="G50" s="550">
        <v>30</v>
      </c>
      <c r="H50" s="550">
        <v>360</v>
      </c>
      <c r="I50" s="550">
        <v>10</v>
      </c>
      <c r="J50" s="537">
        <v>164310</v>
      </c>
      <c r="K50" s="537">
        <v>156094.5</v>
      </c>
      <c r="L50" s="537">
        <v>4335.9583333333339</v>
      </c>
      <c r="M50" s="538">
        <v>44635</v>
      </c>
    </row>
    <row r="51" spans="1:13" s="540" customFormat="1" ht="41.4" x14ac:dyDescent="0.3">
      <c r="A51" s="533" t="s">
        <v>904</v>
      </c>
      <c r="B51" s="533" t="s">
        <v>1845</v>
      </c>
      <c r="C51" s="533" t="s">
        <v>1940</v>
      </c>
      <c r="D51" s="535" t="s">
        <v>1909</v>
      </c>
      <c r="E51" s="536" t="s">
        <v>1910</v>
      </c>
      <c r="F51" s="550" t="s">
        <v>235</v>
      </c>
      <c r="G51" s="550">
        <v>30</v>
      </c>
      <c r="H51" s="550">
        <v>360</v>
      </c>
      <c r="I51" s="550">
        <v>9</v>
      </c>
      <c r="J51" s="537">
        <v>239869</v>
      </c>
      <c r="K51" s="537">
        <v>227875.55</v>
      </c>
      <c r="L51" s="537">
        <v>5696.8887500000001</v>
      </c>
      <c r="M51" s="538">
        <v>44636</v>
      </c>
    </row>
    <row r="52" spans="1:13" s="540" customFormat="1" x14ac:dyDescent="0.3">
      <c r="A52" s="559"/>
      <c r="B52" s="559"/>
      <c r="C52" s="559"/>
      <c r="D52" s="559"/>
      <c r="E52" s="559"/>
      <c r="F52" s="572" t="s">
        <v>914</v>
      </c>
      <c r="G52" s="559"/>
      <c r="H52" s="559"/>
      <c r="I52" s="559"/>
      <c r="J52" s="560">
        <f>SUM(J48:J51)</f>
        <v>1234937.21</v>
      </c>
      <c r="K52" s="560">
        <f t="shared" ref="K52:L52" si="19">SUM(K48:K51)</f>
        <v>1173190.3495</v>
      </c>
      <c r="L52" s="560">
        <f t="shared" si="19"/>
        <v>16887.393747222224</v>
      </c>
      <c r="M52" s="559"/>
    </row>
    <row r="53" spans="1:13" s="540" customFormat="1" x14ac:dyDescent="0.3">
      <c r="A53" s="563"/>
      <c r="B53" s="563"/>
      <c r="C53" s="563"/>
      <c r="D53" s="563"/>
      <c r="E53" s="563"/>
      <c r="F53" s="573" t="s">
        <v>676</v>
      </c>
      <c r="G53" s="563"/>
      <c r="H53" s="563"/>
      <c r="I53" s="563"/>
      <c r="J53" s="564">
        <f>SUM(J38,J41,J47,J52)</f>
        <v>7220602.0699999994</v>
      </c>
      <c r="K53" s="564">
        <f t="shared" ref="K53:L53" si="20">SUM(K38,K41,K47,K52)</f>
        <v>6859571.966500001</v>
      </c>
      <c r="L53" s="564">
        <f t="shared" si="20"/>
        <v>1371805.0607555555</v>
      </c>
      <c r="M53" s="563"/>
    </row>
    <row r="54" spans="1:13" s="540" customFormat="1" ht="41.4" x14ac:dyDescent="0.3">
      <c r="A54" s="533" t="s">
        <v>906</v>
      </c>
      <c r="B54" s="533" t="s">
        <v>1821</v>
      </c>
      <c r="C54" s="533" t="s">
        <v>1945</v>
      </c>
      <c r="D54" s="535" t="s">
        <v>1911</v>
      </c>
      <c r="E54" s="536" t="s">
        <v>1912</v>
      </c>
      <c r="F54" s="534" t="s">
        <v>511</v>
      </c>
      <c r="G54" s="534">
        <v>10</v>
      </c>
      <c r="H54" s="550">
        <v>120</v>
      </c>
      <c r="I54" s="550">
        <v>28</v>
      </c>
      <c r="J54" s="537">
        <v>1409337.41</v>
      </c>
      <c r="K54" s="537">
        <f t="shared" ref="K54:K64" si="21">J54*0.95</f>
        <v>1338870.5395</v>
      </c>
      <c r="L54" s="537">
        <f t="shared" ref="L54:L64" si="22">K54/H54*I54</f>
        <v>312403.12588333333</v>
      </c>
      <c r="M54" s="538">
        <v>44085</v>
      </c>
    </row>
    <row r="55" spans="1:13" s="540" customFormat="1" x14ac:dyDescent="0.3">
      <c r="A55" s="544"/>
      <c r="B55" s="544"/>
      <c r="C55" s="544"/>
      <c r="D55" s="546"/>
      <c r="E55" s="574"/>
      <c r="F55" s="572" t="s">
        <v>914</v>
      </c>
      <c r="G55" s="575"/>
      <c r="H55" s="576"/>
      <c r="I55" s="576"/>
      <c r="J55" s="547">
        <f>J54</f>
        <v>1409337.41</v>
      </c>
      <c r="K55" s="547">
        <f t="shared" ref="K55:L55" si="23">K54</f>
        <v>1338870.5395</v>
      </c>
      <c r="L55" s="547">
        <f t="shared" si="23"/>
        <v>312403.12588333333</v>
      </c>
      <c r="M55" s="548"/>
    </row>
    <row r="56" spans="1:13" s="540" customFormat="1" ht="41.4" x14ac:dyDescent="0.3">
      <c r="A56" s="533" t="s">
        <v>906</v>
      </c>
      <c r="B56" s="533" t="s">
        <v>1830</v>
      </c>
      <c r="C56" s="533" t="s">
        <v>1938</v>
      </c>
      <c r="D56" s="535" t="s">
        <v>1913</v>
      </c>
      <c r="E56" s="536" t="s">
        <v>1914</v>
      </c>
      <c r="F56" s="550" t="s">
        <v>1831</v>
      </c>
      <c r="G56" s="550">
        <v>20</v>
      </c>
      <c r="H56" s="550">
        <v>240</v>
      </c>
      <c r="I56" s="550">
        <v>3</v>
      </c>
      <c r="J56" s="537">
        <v>9950461.3000000007</v>
      </c>
      <c r="K56" s="537">
        <f t="shared" si="21"/>
        <v>9452938.2349999994</v>
      </c>
      <c r="L56" s="537">
        <f t="shared" si="22"/>
        <v>118161.72793749999</v>
      </c>
      <c r="M56" s="567">
        <v>44841</v>
      </c>
    </row>
    <row r="57" spans="1:13" s="540" customFormat="1" ht="27.6" x14ac:dyDescent="0.3">
      <c r="A57" s="533" t="s">
        <v>906</v>
      </c>
      <c r="B57" s="533" t="s">
        <v>1830</v>
      </c>
      <c r="C57" s="533" t="s">
        <v>1938</v>
      </c>
      <c r="D57" s="535" t="s">
        <v>1915</v>
      </c>
      <c r="E57" s="536" t="s">
        <v>1916</v>
      </c>
      <c r="F57" s="550" t="s">
        <v>1831</v>
      </c>
      <c r="G57" s="550">
        <v>20</v>
      </c>
      <c r="H57" s="550">
        <v>240</v>
      </c>
      <c r="I57" s="550">
        <v>1</v>
      </c>
      <c r="J57" s="537">
        <v>3995943.68</v>
      </c>
      <c r="K57" s="537">
        <f t="shared" si="21"/>
        <v>3796146.4959999998</v>
      </c>
      <c r="L57" s="537">
        <f t="shared" si="22"/>
        <v>15817.277066666666</v>
      </c>
      <c r="M57" s="567">
        <v>44910</v>
      </c>
    </row>
    <row r="58" spans="1:13" s="540" customFormat="1" ht="55.2" x14ac:dyDescent="0.3">
      <c r="A58" s="533" t="s">
        <v>906</v>
      </c>
      <c r="B58" s="533" t="s">
        <v>1830</v>
      </c>
      <c r="C58" s="533" t="s">
        <v>1938</v>
      </c>
      <c r="D58" s="535" t="s">
        <v>1917</v>
      </c>
      <c r="E58" s="536" t="s">
        <v>1918</v>
      </c>
      <c r="F58" s="550" t="s">
        <v>1831</v>
      </c>
      <c r="G58" s="550">
        <v>20</v>
      </c>
      <c r="H58" s="550">
        <v>240</v>
      </c>
      <c r="I58" s="550">
        <v>4</v>
      </c>
      <c r="J58" s="537">
        <v>14989544.130000001</v>
      </c>
      <c r="K58" s="537">
        <f t="shared" si="21"/>
        <v>14240066.9235</v>
      </c>
      <c r="L58" s="537">
        <f t="shared" si="22"/>
        <v>237334.44872499999</v>
      </c>
      <c r="M58" s="538">
        <v>44807</v>
      </c>
    </row>
    <row r="59" spans="1:13" s="540" customFormat="1" x14ac:dyDescent="0.3">
      <c r="A59" s="544"/>
      <c r="B59" s="544"/>
      <c r="C59" s="544"/>
      <c r="D59" s="546"/>
      <c r="E59" s="574"/>
      <c r="F59" s="572" t="s">
        <v>914</v>
      </c>
      <c r="G59" s="576"/>
      <c r="H59" s="576"/>
      <c r="I59" s="576"/>
      <c r="J59" s="547">
        <f>SUM(J56:J58)</f>
        <v>28935949.109999999</v>
      </c>
      <c r="K59" s="547">
        <f t="shared" ref="K59:L59" si="24">SUM(K56:K58)</f>
        <v>27489151.6545</v>
      </c>
      <c r="L59" s="547">
        <f t="shared" si="24"/>
        <v>371313.45372916665</v>
      </c>
      <c r="M59" s="548"/>
    </row>
    <row r="60" spans="1:13" s="540" customFormat="1" ht="41.4" x14ac:dyDescent="0.3">
      <c r="A60" s="533" t="s">
        <v>906</v>
      </c>
      <c r="B60" s="533" t="s">
        <v>1830</v>
      </c>
      <c r="C60" s="533" t="s">
        <v>1946</v>
      </c>
      <c r="D60" s="535" t="s">
        <v>1920</v>
      </c>
      <c r="E60" s="536" t="s">
        <v>1921</v>
      </c>
      <c r="F60" s="550" t="s">
        <v>1919</v>
      </c>
      <c r="G60" s="550">
        <v>5</v>
      </c>
      <c r="H60" s="550">
        <v>60</v>
      </c>
      <c r="I60" s="550">
        <v>103</v>
      </c>
      <c r="J60" s="537">
        <v>35597.39</v>
      </c>
      <c r="K60" s="537">
        <f t="shared" si="21"/>
        <v>33817.520499999999</v>
      </c>
      <c r="L60" s="537"/>
      <c r="M60" s="538">
        <v>41785</v>
      </c>
    </row>
    <row r="61" spans="1:13" s="540" customFormat="1" x14ac:dyDescent="0.3">
      <c r="A61" s="544"/>
      <c r="B61" s="544"/>
      <c r="C61" s="544"/>
      <c r="D61" s="546"/>
      <c r="E61" s="574"/>
      <c r="F61" s="572" t="s">
        <v>914</v>
      </c>
      <c r="G61" s="576"/>
      <c r="H61" s="576"/>
      <c r="I61" s="576"/>
      <c r="J61" s="547">
        <f>J60</f>
        <v>35597.39</v>
      </c>
      <c r="K61" s="547">
        <f t="shared" ref="K61:L61" si="25">K60</f>
        <v>33817.520499999999</v>
      </c>
      <c r="L61" s="547">
        <f t="shared" si="25"/>
        <v>0</v>
      </c>
      <c r="M61" s="548"/>
    </row>
    <row r="62" spans="1:13" s="540" customFormat="1" ht="41.4" x14ac:dyDescent="0.3">
      <c r="A62" s="533" t="s">
        <v>906</v>
      </c>
      <c r="B62" s="533" t="s">
        <v>1830</v>
      </c>
      <c r="C62" s="533" t="s">
        <v>1946</v>
      </c>
      <c r="D62" s="535" t="s">
        <v>1922</v>
      </c>
      <c r="E62" s="536" t="s">
        <v>1923</v>
      </c>
      <c r="F62" s="534" t="s">
        <v>678</v>
      </c>
      <c r="G62" s="534">
        <v>30</v>
      </c>
      <c r="H62" s="550">
        <v>360</v>
      </c>
      <c r="I62" s="550">
        <v>54</v>
      </c>
      <c r="J62" s="537">
        <v>45001</v>
      </c>
      <c r="K62" s="537">
        <f t="shared" si="21"/>
        <v>42750.95</v>
      </c>
      <c r="L62" s="537">
        <f t="shared" si="22"/>
        <v>6412.6424999999999</v>
      </c>
      <c r="M62" s="538">
        <v>43293</v>
      </c>
    </row>
    <row r="63" spans="1:13" s="540" customFormat="1" x14ac:dyDescent="0.3">
      <c r="A63" s="544"/>
      <c r="B63" s="544"/>
      <c r="C63" s="544"/>
      <c r="D63" s="546"/>
      <c r="E63" s="574"/>
      <c r="F63" s="572" t="s">
        <v>914</v>
      </c>
      <c r="G63" s="575"/>
      <c r="H63" s="576"/>
      <c r="I63" s="576"/>
      <c r="J63" s="547">
        <f>J62</f>
        <v>45001</v>
      </c>
      <c r="K63" s="547">
        <f t="shared" ref="K63:L63" si="26">K62</f>
        <v>42750.95</v>
      </c>
      <c r="L63" s="547">
        <f t="shared" si="26"/>
        <v>6412.6424999999999</v>
      </c>
      <c r="M63" s="548"/>
    </row>
    <row r="64" spans="1:13" s="540" customFormat="1" ht="41.4" x14ac:dyDescent="0.3">
      <c r="A64" s="533" t="s">
        <v>906</v>
      </c>
      <c r="B64" s="533" t="s">
        <v>1830</v>
      </c>
      <c r="C64" s="533" t="s">
        <v>1946</v>
      </c>
      <c r="D64" s="535" t="s">
        <v>1927</v>
      </c>
      <c r="E64" s="536" t="s">
        <v>1928</v>
      </c>
      <c r="F64" s="550" t="s">
        <v>235</v>
      </c>
      <c r="G64" s="550">
        <v>30</v>
      </c>
      <c r="H64" s="550">
        <v>360</v>
      </c>
      <c r="I64" s="550">
        <v>63</v>
      </c>
      <c r="J64" s="537">
        <v>32916.480000000003</v>
      </c>
      <c r="K64" s="537">
        <f t="shared" si="21"/>
        <v>31270.656000000003</v>
      </c>
      <c r="L64" s="537">
        <f t="shared" si="22"/>
        <v>5472.3648000000003</v>
      </c>
      <c r="M64" s="538">
        <v>43017</v>
      </c>
    </row>
    <row r="65" spans="1:13" s="540" customFormat="1" x14ac:dyDescent="0.3">
      <c r="A65" s="559"/>
      <c r="B65" s="559"/>
      <c r="C65" s="559"/>
      <c r="D65" s="559"/>
      <c r="E65" s="559"/>
      <c r="F65" s="572" t="s">
        <v>914</v>
      </c>
      <c r="G65" s="559"/>
      <c r="H65" s="559"/>
      <c r="I65" s="559"/>
      <c r="J65" s="560">
        <f>J64</f>
        <v>32916.480000000003</v>
      </c>
      <c r="K65" s="560">
        <f t="shared" ref="K65:L65" si="27">K64</f>
        <v>31270.656000000003</v>
      </c>
      <c r="L65" s="560">
        <f t="shared" si="27"/>
        <v>5472.3648000000003</v>
      </c>
      <c r="M65" s="559"/>
    </row>
    <row r="66" spans="1:13" s="540" customFormat="1" x14ac:dyDescent="0.3">
      <c r="A66" s="563"/>
      <c r="B66" s="563"/>
      <c r="C66" s="563"/>
      <c r="D66" s="563"/>
      <c r="E66" s="563"/>
      <c r="F66" s="573" t="s">
        <v>726</v>
      </c>
      <c r="G66" s="563"/>
      <c r="H66" s="563"/>
      <c r="I66" s="563"/>
      <c r="J66" s="564">
        <f>SUM(J55,J59,J61,J63,J65)</f>
        <v>30458801.390000001</v>
      </c>
      <c r="K66" s="564">
        <f t="shared" ref="K66:L66" si="28">SUM(K55,K59,K61,K63,K65)</f>
        <v>28935861.320499998</v>
      </c>
      <c r="L66" s="564">
        <f t="shared" si="28"/>
        <v>695601.58691249997</v>
      </c>
      <c r="M66" s="563"/>
    </row>
    <row r="67" spans="1:13" s="540" customFormat="1" x14ac:dyDescent="0.3">
      <c r="A67" s="599"/>
      <c r="B67" s="599"/>
      <c r="C67" s="599"/>
      <c r="D67" s="599"/>
      <c r="E67" s="599"/>
      <c r="F67" s="600" t="s">
        <v>955</v>
      </c>
      <c r="G67" s="599"/>
      <c r="H67" s="599"/>
      <c r="I67" s="599"/>
      <c r="J67" s="601">
        <f>SUM(J28,J53,J66)</f>
        <v>101429416.3</v>
      </c>
      <c r="K67" s="601">
        <f t="shared" ref="K67:L67" si="29">SUM(K28,K53,K66)</f>
        <v>96357945.484999999</v>
      </c>
      <c r="L67" s="601">
        <f t="shared" si="29"/>
        <v>5244355.6364187496</v>
      </c>
      <c r="M67" s="599"/>
    </row>
    <row r="68" spans="1:13" x14ac:dyDescent="0.3">
      <c r="A68" s="212" t="s">
        <v>1947</v>
      </c>
    </row>
    <row r="69" spans="1:13" x14ac:dyDescent="0.3">
      <c r="A69" s="11" t="s">
        <v>1948</v>
      </c>
    </row>
    <row r="70" spans="1:13" x14ac:dyDescent="0.3">
      <c r="A70" s="11" t="s">
        <v>1949</v>
      </c>
    </row>
  </sheetData>
  <sheetProtection algorithmName="SHA-512" hashValue="VL5n+Io+ilYIYzrSg6QCfaAU9+FrdKVTh9FPqMUpVceSEt0tz5JP0g6dyEP6lAenoxJ1VBaBYBAL3YFBy/UNTQ==" saltValue="+LI74AxfG8Nl3fMcpSx2Vg==" spinCount="100000" sheet="1" objects="1" scenarios="1" selectLockedCells="1" selectUnlockedCells="1"/>
  <printOptions horizontalCentered="1"/>
  <pageMargins left="0.70866141732283472" right="0.70866141732283472" top="1.4960629921259843" bottom="0.74803149606299213" header="0.31496062992125984" footer="0.31496062992125984"/>
  <pageSetup scale="75" fitToHeight="0" orientation="landscape" r:id="rId1"/>
  <headerFooter>
    <oddHeader>&amp;R&amp;"Times New Roman,Regular"&amp;12
Annex K
AAR Page 128</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H15"/>
  <sheetViews>
    <sheetView zoomScaleNormal="100" zoomScaleSheetLayoutView="80" workbookViewId="0"/>
  </sheetViews>
  <sheetFormatPr defaultColWidth="8.88671875" defaultRowHeight="15.6" x14ac:dyDescent="0.3"/>
  <cols>
    <col min="1" max="1" width="14.6640625" style="11" customWidth="1"/>
    <col min="2" max="2" width="19.5546875" style="11" customWidth="1"/>
    <col min="3" max="3" width="16.5546875" style="11" customWidth="1"/>
    <col min="4" max="4" width="12.5546875" style="11" bestFit="1" customWidth="1"/>
    <col min="5" max="5" width="52.5546875" style="11" customWidth="1"/>
    <col min="6" max="6" width="13.88671875" style="11" bestFit="1" customWidth="1"/>
    <col min="7" max="7" width="23.88671875" style="11" customWidth="1"/>
    <col min="8" max="16384" width="8.88671875" style="11"/>
  </cols>
  <sheetData>
    <row r="1" spans="1:8" x14ac:dyDescent="0.3">
      <c r="A1" s="11" t="s">
        <v>0</v>
      </c>
    </row>
    <row r="2" spans="1:8" x14ac:dyDescent="0.3">
      <c r="A2" s="11" t="s">
        <v>3</v>
      </c>
    </row>
    <row r="3" spans="1:8" x14ac:dyDescent="0.3">
      <c r="A3" s="237" t="s">
        <v>1950</v>
      </c>
    </row>
    <row r="4" spans="1:8" x14ac:dyDescent="0.3">
      <c r="A4" s="141" t="s">
        <v>5</v>
      </c>
    </row>
    <row r="6" spans="1:8" ht="46.8" x14ac:dyDescent="0.3">
      <c r="A6" s="205" t="s">
        <v>855</v>
      </c>
      <c r="B6" s="205" t="s">
        <v>1930</v>
      </c>
      <c r="C6" s="205" t="s">
        <v>6</v>
      </c>
      <c r="D6" s="206" t="s">
        <v>1819</v>
      </c>
      <c r="E6" s="245" t="s">
        <v>8</v>
      </c>
      <c r="F6" s="206" t="s">
        <v>1338</v>
      </c>
      <c r="G6" s="206" t="s">
        <v>1782</v>
      </c>
      <c r="H6" s="212"/>
    </row>
    <row r="7" spans="1:8" s="540" customFormat="1" ht="46.8" x14ac:dyDescent="0.3">
      <c r="A7" s="578" t="s">
        <v>860</v>
      </c>
      <c r="B7" s="578" t="s">
        <v>1845</v>
      </c>
      <c r="C7" s="578" t="s">
        <v>1940</v>
      </c>
      <c r="D7" s="577" t="s">
        <v>1847</v>
      </c>
      <c r="E7" s="579" t="s">
        <v>1848</v>
      </c>
      <c r="F7" s="580">
        <v>376445.2</v>
      </c>
      <c r="G7" s="813" t="s">
        <v>1951</v>
      </c>
      <c r="H7" s="210"/>
    </row>
    <row r="8" spans="1:8" s="540" customFormat="1" ht="46.8" x14ac:dyDescent="0.3">
      <c r="A8" s="578" t="s">
        <v>904</v>
      </c>
      <c r="B8" s="578" t="s">
        <v>1821</v>
      </c>
      <c r="C8" s="578" t="s">
        <v>1943</v>
      </c>
      <c r="D8" s="577" t="s">
        <v>1864</v>
      </c>
      <c r="E8" s="579" t="s">
        <v>1865</v>
      </c>
      <c r="F8" s="580">
        <v>81373.570000000007</v>
      </c>
      <c r="G8" s="814"/>
      <c r="H8" s="210"/>
    </row>
    <row r="9" spans="1:8" s="540" customFormat="1" ht="46.8" x14ac:dyDescent="0.3">
      <c r="A9" s="578" t="s">
        <v>904</v>
      </c>
      <c r="B9" s="578" t="s">
        <v>1821</v>
      </c>
      <c r="C9" s="578" t="s">
        <v>1943</v>
      </c>
      <c r="D9" s="577" t="s">
        <v>1868</v>
      </c>
      <c r="E9" s="579" t="s">
        <v>1869</v>
      </c>
      <c r="F9" s="580">
        <v>334963.25</v>
      </c>
      <c r="G9" s="814"/>
      <c r="H9" s="210"/>
    </row>
    <row r="10" spans="1:8" s="540" customFormat="1" ht="46.8" x14ac:dyDescent="0.3">
      <c r="A10" s="578" t="s">
        <v>904</v>
      </c>
      <c r="B10" s="578" t="s">
        <v>1845</v>
      </c>
      <c r="C10" s="578" t="s">
        <v>1944</v>
      </c>
      <c r="D10" s="577" t="s">
        <v>1889</v>
      </c>
      <c r="E10" s="579" t="s">
        <v>1890</v>
      </c>
      <c r="F10" s="580">
        <v>2185938.0699999998</v>
      </c>
      <c r="G10" s="814"/>
      <c r="H10" s="210"/>
    </row>
    <row r="11" spans="1:8" s="540" customFormat="1" ht="46.8" x14ac:dyDescent="0.3">
      <c r="A11" s="578" t="s">
        <v>904</v>
      </c>
      <c r="B11" s="578" t="s">
        <v>1845</v>
      </c>
      <c r="C11" s="578" t="s">
        <v>1940</v>
      </c>
      <c r="D11" s="577" t="s">
        <v>1899</v>
      </c>
      <c r="E11" s="579" t="s">
        <v>1900</v>
      </c>
      <c r="F11" s="580">
        <v>19242.740000000002</v>
      </c>
      <c r="G11" s="814"/>
      <c r="H11" s="210"/>
    </row>
    <row r="12" spans="1:8" s="540" customFormat="1" ht="46.8" x14ac:dyDescent="0.3">
      <c r="A12" s="578" t="s">
        <v>904</v>
      </c>
      <c r="B12" s="578" t="s">
        <v>1845</v>
      </c>
      <c r="C12" s="578" t="s">
        <v>1940</v>
      </c>
      <c r="D12" s="577" t="s">
        <v>1901</v>
      </c>
      <c r="E12" s="579" t="s">
        <v>1902</v>
      </c>
      <c r="F12" s="580">
        <v>38692.74</v>
      </c>
      <c r="G12" s="814"/>
      <c r="H12" s="210"/>
    </row>
    <row r="13" spans="1:8" s="540" customFormat="1" ht="46.8" x14ac:dyDescent="0.3">
      <c r="A13" s="578" t="s">
        <v>904</v>
      </c>
      <c r="B13" s="578" t="s">
        <v>1845</v>
      </c>
      <c r="C13" s="578" t="s">
        <v>1940</v>
      </c>
      <c r="D13" s="577" t="s">
        <v>1903</v>
      </c>
      <c r="E13" s="579" t="s">
        <v>1904</v>
      </c>
      <c r="F13" s="580">
        <v>2933267.54</v>
      </c>
      <c r="G13" s="815"/>
      <c r="H13" s="210"/>
    </row>
    <row r="14" spans="1:8" s="540" customFormat="1" ht="124.8" x14ac:dyDescent="0.3">
      <c r="A14" s="578" t="s">
        <v>906</v>
      </c>
      <c r="B14" s="578" t="s">
        <v>1830</v>
      </c>
      <c r="C14" s="578" t="s">
        <v>1946</v>
      </c>
      <c r="D14" s="577" t="s">
        <v>1924</v>
      </c>
      <c r="E14" s="578" t="s">
        <v>1925</v>
      </c>
      <c r="F14" s="580">
        <v>192620</v>
      </c>
      <c r="G14" s="581" t="s">
        <v>1952</v>
      </c>
      <c r="H14" s="210"/>
    </row>
    <row r="15" spans="1:8" x14ac:dyDescent="0.3">
      <c r="A15" s="596"/>
      <c r="B15" s="596"/>
      <c r="C15" s="596"/>
      <c r="D15" s="596"/>
      <c r="E15" s="597" t="s">
        <v>1338</v>
      </c>
      <c r="F15" s="598">
        <f>SUM(F7:F14)</f>
        <v>6162543.1100000003</v>
      </c>
      <c r="G15" s="596"/>
    </row>
  </sheetData>
  <sheetProtection algorithmName="SHA-512" hashValue="N5IHyQ8mDbVOxNr3YC8ZdW5kmGPw0du1Cr1Dr1+jCHX4bPp8m1RHtfZwTLdpOchw+83e4ZIv/mtZSxY4RB2raw==" saltValue="j/sfbew/rx8g3NNajPH1vA==" spinCount="100000" sheet="1" objects="1" scenarios="1" selectLockedCells="1" selectUnlockedCells="1"/>
  <mergeCells count="1">
    <mergeCell ref="G7:G13"/>
  </mergeCells>
  <printOptions horizontalCentered="1"/>
  <pageMargins left="0.70866141732283472" right="0.70866141732283472" top="1.4960629921259843" bottom="0.74803149606299213" header="0.31496062992125984" footer="0.31496062992125984"/>
  <pageSetup scale="75" orientation="landscape" r:id="rId1"/>
  <headerFooter>
    <oddHeader>&amp;R&amp;"Times New Roman,Regular"&amp;12
Annex L
AAR Page 128</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M237"/>
  <sheetViews>
    <sheetView zoomScaleNormal="100" zoomScaleSheetLayoutView="90" workbookViewId="0"/>
  </sheetViews>
  <sheetFormatPr defaultColWidth="11.5546875" defaultRowHeight="13.8" x14ac:dyDescent="0.3"/>
  <cols>
    <col min="1" max="1" width="25.5546875" style="189" customWidth="1"/>
    <col min="2" max="2" width="14.5546875" style="188" bestFit="1" customWidth="1"/>
    <col min="3" max="3" width="12.109375" style="188" customWidth="1"/>
    <col min="4" max="5" width="12.6640625" style="188" bestFit="1" customWidth="1"/>
    <col min="6" max="6" width="10.44140625" style="188" bestFit="1" customWidth="1"/>
    <col min="7" max="8" width="11.5546875" style="188" bestFit="1" customWidth="1"/>
    <col min="9" max="9" width="12.6640625" style="188" bestFit="1" customWidth="1"/>
    <col min="10" max="12" width="10.44140625" style="188" bestFit="1" customWidth="1"/>
    <col min="13" max="13" width="32.109375" style="189" customWidth="1"/>
    <col min="14" max="257" width="11.5546875" style="187"/>
    <col min="258" max="258" width="37.44140625" style="187" customWidth="1"/>
    <col min="259" max="260" width="11.5546875" style="187"/>
    <col min="261" max="266" width="0" style="187" hidden="1" customWidth="1"/>
    <col min="267" max="267" width="15.109375" style="187" customWidth="1"/>
    <col min="268" max="268" width="14.6640625" style="187" customWidth="1"/>
    <col min="269" max="513" width="11.5546875" style="187"/>
    <col min="514" max="514" width="37.44140625" style="187" customWidth="1"/>
    <col min="515" max="516" width="11.5546875" style="187"/>
    <col min="517" max="522" width="0" style="187" hidden="1" customWidth="1"/>
    <col min="523" max="523" width="15.109375" style="187" customWidth="1"/>
    <col min="524" max="524" width="14.6640625" style="187" customWidth="1"/>
    <col min="525" max="769" width="11.5546875" style="187"/>
    <col min="770" max="770" width="37.44140625" style="187" customWidth="1"/>
    <col min="771" max="772" width="11.5546875" style="187"/>
    <col min="773" max="778" width="0" style="187" hidden="1" customWidth="1"/>
    <col min="779" max="779" width="15.109375" style="187" customWidth="1"/>
    <col min="780" max="780" width="14.6640625" style="187" customWidth="1"/>
    <col min="781" max="1025" width="11.5546875" style="187"/>
    <col min="1026" max="1026" width="37.44140625" style="187" customWidth="1"/>
    <col min="1027" max="1028" width="11.5546875" style="187"/>
    <col min="1029" max="1034" width="0" style="187" hidden="1" customWidth="1"/>
    <col min="1035" max="1035" width="15.109375" style="187" customWidth="1"/>
    <col min="1036" max="1036" width="14.6640625" style="187" customWidth="1"/>
    <col min="1037" max="1281" width="11.5546875" style="187"/>
    <col min="1282" max="1282" width="37.44140625" style="187" customWidth="1"/>
    <col min="1283" max="1284" width="11.5546875" style="187"/>
    <col min="1285" max="1290" width="0" style="187" hidden="1" customWidth="1"/>
    <col min="1291" max="1291" width="15.109375" style="187" customWidth="1"/>
    <col min="1292" max="1292" width="14.6640625" style="187" customWidth="1"/>
    <col min="1293" max="1537" width="11.5546875" style="187"/>
    <col min="1538" max="1538" width="37.44140625" style="187" customWidth="1"/>
    <col min="1539" max="1540" width="11.5546875" style="187"/>
    <col min="1541" max="1546" width="0" style="187" hidden="1" customWidth="1"/>
    <col min="1547" max="1547" width="15.109375" style="187" customWidth="1"/>
    <col min="1548" max="1548" width="14.6640625" style="187" customWidth="1"/>
    <col min="1549" max="1793" width="11.5546875" style="187"/>
    <col min="1794" max="1794" width="37.44140625" style="187" customWidth="1"/>
    <col min="1795" max="1796" width="11.5546875" style="187"/>
    <col min="1797" max="1802" width="0" style="187" hidden="1" customWidth="1"/>
    <col min="1803" max="1803" width="15.109375" style="187" customWidth="1"/>
    <col min="1804" max="1804" width="14.6640625" style="187" customWidth="1"/>
    <col min="1805" max="2049" width="11.5546875" style="187"/>
    <col min="2050" max="2050" width="37.44140625" style="187" customWidth="1"/>
    <col min="2051" max="2052" width="11.5546875" style="187"/>
    <col min="2053" max="2058" width="0" style="187" hidden="1" customWidth="1"/>
    <col min="2059" max="2059" width="15.109375" style="187" customWidth="1"/>
    <col min="2060" max="2060" width="14.6640625" style="187" customWidth="1"/>
    <col min="2061" max="2305" width="11.5546875" style="187"/>
    <col min="2306" max="2306" width="37.44140625" style="187" customWidth="1"/>
    <col min="2307" max="2308" width="11.5546875" style="187"/>
    <col min="2309" max="2314" width="0" style="187" hidden="1" customWidth="1"/>
    <col min="2315" max="2315" width="15.109375" style="187" customWidth="1"/>
    <col min="2316" max="2316" width="14.6640625" style="187" customWidth="1"/>
    <col min="2317" max="2561" width="11.5546875" style="187"/>
    <col min="2562" max="2562" width="37.44140625" style="187" customWidth="1"/>
    <col min="2563" max="2564" width="11.5546875" style="187"/>
    <col min="2565" max="2570" width="0" style="187" hidden="1" customWidth="1"/>
    <col min="2571" max="2571" width="15.109375" style="187" customWidth="1"/>
    <col min="2572" max="2572" width="14.6640625" style="187" customWidth="1"/>
    <col min="2573" max="2817" width="11.5546875" style="187"/>
    <col min="2818" max="2818" width="37.44140625" style="187" customWidth="1"/>
    <col min="2819" max="2820" width="11.5546875" style="187"/>
    <col min="2821" max="2826" width="0" style="187" hidden="1" customWidth="1"/>
    <col min="2827" max="2827" width="15.109375" style="187" customWidth="1"/>
    <col min="2828" max="2828" width="14.6640625" style="187" customWidth="1"/>
    <col min="2829" max="3073" width="11.5546875" style="187"/>
    <col min="3074" max="3074" width="37.44140625" style="187" customWidth="1"/>
    <col min="3075" max="3076" width="11.5546875" style="187"/>
    <col min="3077" max="3082" width="0" style="187" hidden="1" customWidth="1"/>
    <col min="3083" max="3083" width="15.109375" style="187" customWidth="1"/>
    <col min="3084" max="3084" width="14.6640625" style="187" customWidth="1"/>
    <col min="3085" max="3329" width="11.5546875" style="187"/>
    <col min="3330" max="3330" width="37.44140625" style="187" customWidth="1"/>
    <col min="3331" max="3332" width="11.5546875" style="187"/>
    <col min="3333" max="3338" width="0" style="187" hidden="1" customWidth="1"/>
    <col min="3339" max="3339" width="15.109375" style="187" customWidth="1"/>
    <col min="3340" max="3340" width="14.6640625" style="187" customWidth="1"/>
    <col min="3341" max="3585" width="11.5546875" style="187"/>
    <col min="3586" max="3586" width="37.44140625" style="187" customWidth="1"/>
    <col min="3587" max="3588" width="11.5546875" style="187"/>
    <col min="3589" max="3594" width="0" style="187" hidden="1" customWidth="1"/>
    <col min="3595" max="3595" width="15.109375" style="187" customWidth="1"/>
    <col min="3596" max="3596" width="14.6640625" style="187" customWidth="1"/>
    <col min="3597" max="3841" width="11.5546875" style="187"/>
    <col min="3842" max="3842" width="37.44140625" style="187" customWidth="1"/>
    <col min="3843" max="3844" width="11.5546875" style="187"/>
    <col min="3845" max="3850" width="0" style="187" hidden="1" customWidth="1"/>
    <col min="3851" max="3851" width="15.109375" style="187" customWidth="1"/>
    <col min="3852" max="3852" width="14.6640625" style="187" customWidth="1"/>
    <col min="3853" max="4097" width="11.5546875" style="187"/>
    <col min="4098" max="4098" width="37.44140625" style="187" customWidth="1"/>
    <col min="4099" max="4100" width="11.5546875" style="187"/>
    <col min="4101" max="4106" width="0" style="187" hidden="1" customWidth="1"/>
    <col min="4107" max="4107" width="15.109375" style="187" customWidth="1"/>
    <col min="4108" max="4108" width="14.6640625" style="187" customWidth="1"/>
    <col min="4109" max="4353" width="11.5546875" style="187"/>
    <col min="4354" max="4354" width="37.44140625" style="187" customWidth="1"/>
    <col min="4355" max="4356" width="11.5546875" style="187"/>
    <col min="4357" max="4362" width="0" style="187" hidden="1" customWidth="1"/>
    <col min="4363" max="4363" width="15.109375" style="187" customWidth="1"/>
    <col min="4364" max="4364" width="14.6640625" style="187" customWidth="1"/>
    <col min="4365" max="4609" width="11.5546875" style="187"/>
    <col min="4610" max="4610" width="37.44140625" style="187" customWidth="1"/>
    <col min="4611" max="4612" width="11.5546875" style="187"/>
    <col min="4613" max="4618" width="0" style="187" hidden="1" customWidth="1"/>
    <col min="4619" max="4619" width="15.109375" style="187" customWidth="1"/>
    <col min="4620" max="4620" width="14.6640625" style="187" customWidth="1"/>
    <col min="4621" max="4865" width="11.5546875" style="187"/>
    <col min="4866" max="4866" width="37.44140625" style="187" customWidth="1"/>
    <col min="4867" max="4868" width="11.5546875" style="187"/>
    <col min="4869" max="4874" width="0" style="187" hidden="1" customWidth="1"/>
    <col min="4875" max="4875" width="15.109375" style="187" customWidth="1"/>
    <col min="4876" max="4876" width="14.6640625" style="187" customWidth="1"/>
    <col min="4877" max="5121" width="11.5546875" style="187"/>
    <col min="5122" max="5122" width="37.44140625" style="187" customWidth="1"/>
    <col min="5123" max="5124" width="11.5546875" style="187"/>
    <col min="5125" max="5130" width="0" style="187" hidden="1" customWidth="1"/>
    <col min="5131" max="5131" width="15.109375" style="187" customWidth="1"/>
    <col min="5132" max="5132" width="14.6640625" style="187" customWidth="1"/>
    <col min="5133" max="5377" width="11.5546875" style="187"/>
    <col min="5378" max="5378" width="37.44140625" style="187" customWidth="1"/>
    <col min="5379" max="5380" width="11.5546875" style="187"/>
    <col min="5381" max="5386" width="0" style="187" hidden="1" customWidth="1"/>
    <col min="5387" max="5387" width="15.109375" style="187" customWidth="1"/>
    <col min="5388" max="5388" width="14.6640625" style="187" customWidth="1"/>
    <col min="5389" max="5633" width="11.5546875" style="187"/>
    <col min="5634" max="5634" width="37.44140625" style="187" customWidth="1"/>
    <col min="5635" max="5636" width="11.5546875" style="187"/>
    <col min="5637" max="5642" width="0" style="187" hidden="1" customWidth="1"/>
    <col min="5643" max="5643" width="15.109375" style="187" customWidth="1"/>
    <col min="5644" max="5644" width="14.6640625" style="187" customWidth="1"/>
    <col min="5645" max="5889" width="11.5546875" style="187"/>
    <col min="5890" max="5890" width="37.44140625" style="187" customWidth="1"/>
    <col min="5891" max="5892" width="11.5546875" style="187"/>
    <col min="5893" max="5898" width="0" style="187" hidden="1" customWidth="1"/>
    <col min="5899" max="5899" width="15.109375" style="187" customWidth="1"/>
    <col min="5900" max="5900" width="14.6640625" style="187" customWidth="1"/>
    <col min="5901" max="6145" width="11.5546875" style="187"/>
    <col min="6146" max="6146" width="37.44140625" style="187" customWidth="1"/>
    <col min="6147" max="6148" width="11.5546875" style="187"/>
    <col min="6149" max="6154" width="0" style="187" hidden="1" customWidth="1"/>
    <col min="6155" max="6155" width="15.109375" style="187" customWidth="1"/>
    <col min="6156" max="6156" width="14.6640625" style="187" customWidth="1"/>
    <col min="6157" max="6401" width="11.5546875" style="187"/>
    <col min="6402" max="6402" width="37.44140625" style="187" customWidth="1"/>
    <col min="6403" max="6404" width="11.5546875" style="187"/>
    <col min="6405" max="6410" width="0" style="187" hidden="1" customWidth="1"/>
    <col min="6411" max="6411" width="15.109375" style="187" customWidth="1"/>
    <col min="6412" max="6412" width="14.6640625" style="187" customWidth="1"/>
    <col min="6413" max="6657" width="11.5546875" style="187"/>
    <col min="6658" max="6658" width="37.44140625" style="187" customWidth="1"/>
    <col min="6659" max="6660" width="11.5546875" style="187"/>
    <col min="6661" max="6666" width="0" style="187" hidden="1" customWidth="1"/>
    <col min="6667" max="6667" width="15.109375" style="187" customWidth="1"/>
    <col min="6668" max="6668" width="14.6640625" style="187" customWidth="1"/>
    <col min="6669" max="6913" width="11.5546875" style="187"/>
    <col min="6914" max="6914" width="37.44140625" style="187" customWidth="1"/>
    <col min="6915" max="6916" width="11.5546875" style="187"/>
    <col min="6917" max="6922" width="0" style="187" hidden="1" customWidth="1"/>
    <col min="6923" max="6923" width="15.109375" style="187" customWidth="1"/>
    <col min="6924" max="6924" width="14.6640625" style="187" customWidth="1"/>
    <col min="6925" max="7169" width="11.5546875" style="187"/>
    <col min="7170" max="7170" width="37.44140625" style="187" customWidth="1"/>
    <col min="7171" max="7172" width="11.5546875" style="187"/>
    <col min="7173" max="7178" width="0" style="187" hidden="1" customWidth="1"/>
    <col min="7179" max="7179" width="15.109375" style="187" customWidth="1"/>
    <col min="7180" max="7180" width="14.6640625" style="187" customWidth="1"/>
    <col min="7181" max="7425" width="11.5546875" style="187"/>
    <col min="7426" max="7426" width="37.44140625" style="187" customWidth="1"/>
    <col min="7427" max="7428" width="11.5546875" style="187"/>
    <col min="7429" max="7434" width="0" style="187" hidden="1" customWidth="1"/>
    <col min="7435" max="7435" width="15.109375" style="187" customWidth="1"/>
    <col min="7436" max="7436" width="14.6640625" style="187" customWidth="1"/>
    <col min="7437" max="7681" width="11.5546875" style="187"/>
    <col min="7682" max="7682" width="37.44140625" style="187" customWidth="1"/>
    <col min="7683" max="7684" width="11.5546875" style="187"/>
    <col min="7685" max="7690" width="0" style="187" hidden="1" customWidth="1"/>
    <col min="7691" max="7691" width="15.109375" style="187" customWidth="1"/>
    <col min="7692" max="7692" width="14.6640625" style="187" customWidth="1"/>
    <col min="7693" max="7937" width="11.5546875" style="187"/>
    <col min="7938" max="7938" width="37.44140625" style="187" customWidth="1"/>
    <col min="7939" max="7940" width="11.5546875" style="187"/>
    <col min="7941" max="7946" width="0" style="187" hidden="1" customWidth="1"/>
    <col min="7947" max="7947" width="15.109375" style="187" customWidth="1"/>
    <col min="7948" max="7948" width="14.6640625" style="187" customWidth="1"/>
    <col min="7949" max="8193" width="11.5546875" style="187"/>
    <col min="8194" max="8194" width="37.44140625" style="187" customWidth="1"/>
    <col min="8195" max="8196" width="11.5546875" style="187"/>
    <col min="8197" max="8202" width="0" style="187" hidden="1" customWidth="1"/>
    <col min="8203" max="8203" width="15.109375" style="187" customWidth="1"/>
    <col min="8204" max="8204" width="14.6640625" style="187" customWidth="1"/>
    <col min="8205" max="8449" width="11.5546875" style="187"/>
    <col min="8450" max="8450" width="37.44140625" style="187" customWidth="1"/>
    <col min="8451" max="8452" width="11.5546875" style="187"/>
    <col min="8453" max="8458" width="0" style="187" hidden="1" customWidth="1"/>
    <col min="8459" max="8459" width="15.109375" style="187" customWidth="1"/>
    <col min="8460" max="8460" width="14.6640625" style="187" customWidth="1"/>
    <col min="8461" max="8705" width="11.5546875" style="187"/>
    <col min="8706" max="8706" width="37.44140625" style="187" customWidth="1"/>
    <col min="8707" max="8708" width="11.5546875" style="187"/>
    <col min="8709" max="8714" width="0" style="187" hidden="1" customWidth="1"/>
    <col min="8715" max="8715" width="15.109375" style="187" customWidth="1"/>
    <col min="8716" max="8716" width="14.6640625" style="187" customWidth="1"/>
    <col min="8717" max="8961" width="11.5546875" style="187"/>
    <col min="8962" max="8962" width="37.44140625" style="187" customWidth="1"/>
    <col min="8963" max="8964" width="11.5546875" style="187"/>
    <col min="8965" max="8970" width="0" style="187" hidden="1" customWidth="1"/>
    <col min="8971" max="8971" width="15.109375" style="187" customWidth="1"/>
    <col min="8972" max="8972" width="14.6640625" style="187" customWidth="1"/>
    <col min="8973" max="9217" width="11.5546875" style="187"/>
    <col min="9218" max="9218" width="37.44140625" style="187" customWidth="1"/>
    <col min="9219" max="9220" width="11.5546875" style="187"/>
    <col min="9221" max="9226" width="0" style="187" hidden="1" customWidth="1"/>
    <col min="9227" max="9227" width="15.109375" style="187" customWidth="1"/>
    <col min="9228" max="9228" width="14.6640625" style="187" customWidth="1"/>
    <col min="9229" max="9473" width="11.5546875" style="187"/>
    <col min="9474" max="9474" width="37.44140625" style="187" customWidth="1"/>
    <col min="9475" max="9476" width="11.5546875" style="187"/>
    <col min="9477" max="9482" width="0" style="187" hidden="1" customWidth="1"/>
    <col min="9483" max="9483" width="15.109375" style="187" customWidth="1"/>
    <col min="9484" max="9484" width="14.6640625" style="187" customWidth="1"/>
    <col min="9485" max="9729" width="11.5546875" style="187"/>
    <col min="9730" max="9730" width="37.44140625" style="187" customWidth="1"/>
    <col min="9731" max="9732" width="11.5546875" style="187"/>
    <col min="9733" max="9738" width="0" style="187" hidden="1" customWidth="1"/>
    <col min="9739" max="9739" width="15.109375" style="187" customWidth="1"/>
    <col min="9740" max="9740" width="14.6640625" style="187" customWidth="1"/>
    <col min="9741" max="9985" width="11.5546875" style="187"/>
    <col min="9986" max="9986" width="37.44140625" style="187" customWidth="1"/>
    <col min="9987" max="9988" width="11.5546875" style="187"/>
    <col min="9989" max="9994" width="0" style="187" hidden="1" customWidth="1"/>
    <col min="9995" max="9995" width="15.109375" style="187" customWidth="1"/>
    <col min="9996" max="9996" width="14.6640625" style="187" customWidth="1"/>
    <col min="9997" max="10241" width="11.5546875" style="187"/>
    <col min="10242" max="10242" width="37.44140625" style="187" customWidth="1"/>
    <col min="10243" max="10244" width="11.5546875" style="187"/>
    <col min="10245" max="10250" width="0" style="187" hidden="1" customWidth="1"/>
    <col min="10251" max="10251" width="15.109375" style="187" customWidth="1"/>
    <col min="10252" max="10252" width="14.6640625" style="187" customWidth="1"/>
    <col min="10253" max="10497" width="11.5546875" style="187"/>
    <col min="10498" max="10498" width="37.44140625" style="187" customWidth="1"/>
    <col min="10499" max="10500" width="11.5546875" style="187"/>
    <col min="10501" max="10506" width="0" style="187" hidden="1" customWidth="1"/>
    <col min="10507" max="10507" width="15.109375" style="187" customWidth="1"/>
    <col min="10508" max="10508" width="14.6640625" style="187" customWidth="1"/>
    <col min="10509" max="10753" width="11.5546875" style="187"/>
    <col min="10754" max="10754" width="37.44140625" style="187" customWidth="1"/>
    <col min="10755" max="10756" width="11.5546875" style="187"/>
    <col min="10757" max="10762" width="0" style="187" hidden="1" customWidth="1"/>
    <col min="10763" max="10763" width="15.109375" style="187" customWidth="1"/>
    <col min="10764" max="10764" width="14.6640625" style="187" customWidth="1"/>
    <col min="10765" max="11009" width="11.5546875" style="187"/>
    <col min="11010" max="11010" width="37.44140625" style="187" customWidth="1"/>
    <col min="11011" max="11012" width="11.5546875" style="187"/>
    <col min="11013" max="11018" width="0" style="187" hidden="1" customWidth="1"/>
    <col min="11019" max="11019" width="15.109375" style="187" customWidth="1"/>
    <col min="11020" max="11020" width="14.6640625" style="187" customWidth="1"/>
    <col min="11021" max="11265" width="11.5546875" style="187"/>
    <col min="11266" max="11266" width="37.44140625" style="187" customWidth="1"/>
    <col min="11267" max="11268" width="11.5546875" style="187"/>
    <col min="11269" max="11274" width="0" style="187" hidden="1" customWidth="1"/>
    <col min="11275" max="11275" width="15.109375" style="187" customWidth="1"/>
    <col min="11276" max="11276" width="14.6640625" style="187" customWidth="1"/>
    <col min="11277" max="11521" width="11.5546875" style="187"/>
    <col min="11522" max="11522" width="37.44140625" style="187" customWidth="1"/>
    <col min="11523" max="11524" width="11.5546875" style="187"/>
    <col min="11525" max="11530" width="0" style="187" hidden="1" customWidth="1"/>
    <col min="11531" max="11531" width="15.109375" style="187" customWidth="1"/>
    <col min="11532" max="11532" width="14.6640625" style="187" customWidth="1"/>
    <col min="11533" max="11777" width="11.5546875" style="187"/>
    <col min="11778" max="11778" width="37.44140625" style="187" customWidth="1"/>
    <col min="11779" max="11780" width="11.5546875" style="187"/>
    <col min="11781" max="11786" width="0" style="187" hidden="1" customWidth="1"/>
    <col min="11787" max="11787" width="15.109375" style="187" customWidth="1"/>
    <col min="11788" max="11788" width="14.6640625" style="187" customWidth="1"/>
    <col min="11789" max="12033" width="11.5546875" style="187"/>
    <col min="12034" max="12034" width="37.44140625" style="187" customWidth="1"/>
    <col min="12035" max="12036" width="11.5546875" style="187"/>
    <col min="12037" max="12042" width="0" style="187" hidden="1" customWidth="1"/>
    <col min="12043" max="12043" width="15.109375" style="187" customWidth="1"/>
    <col min="12044" max="12044" width="14.6640625" style="187" customWidth="1"/>
    <col min="12045" max="12289" width="11.5546875" style="187"/>
    <col min="12290" max="12290" width="37.44140625" style="187" customWidth="1"/>
    <col min="12291" max="12292" width="11.5546875" style="187"/>
    <col min="12293" max="12298" width="0" style="187" hidden="1" customWidth="1"/>
    <col min="12299" max="12299" width="15.109375" style="187" customWidth="1"/>
    <col min="12300" max="12300" width="14.6640625" style="187" customWidth="1"/>
    <col min="12301" max="12545" width="11.5546875" style="187"/>
    <col min="12546" max="12546" width="37.44140625" style="187" customWidth="1"/>
    <col min="12547" max="12548" width="11.5546875" style="187"/>
    <col min="12549" max="12554" width="0" style="187" hidden="1" customWidth="1"/>
    <col min="12555" max="12555" width="15.109375" style="187" customWidth="1"/>
    <col min="12556" max="12556" width="14.6640625" style="187" customWidth="1"/>
    <col min="12557" max="12801" width="11.5546875" style="187"/>
    <col min="12802" max="12802" width="37.44140625" style="187" customWidth="1"/>
    <col min="12803" max="12804" width="11.5546875" style="187"/>
    <col min="12805" max="12810" width="0" style="187" hidden="1" customWidth="1"/>
    <col min="12811" max="12811" width="15.109375" style="187" customWidth="1"/>
    <col min="12812" max="12812" width="14.6640625" style="187" customWidth="1"/>
    <col min="12813" max="13057" width="11.5546875" style="187"/>
    <col min="13058" max="13058" width="37.44140625" style="187" customWidth="1"/>
    <col min="13059" max="13060" width="11.5546875" style="187"/>
    <col min="13061" max="13066" width="0" style="187" hidden="1" customWidth="1"/>
    <col min="13067" max="13067" width="15.109375" style="187" customWidth="1"/>
    <col min="13068" max="13068" width="14.6640625" style="187" customWidth="1"/>
    <col min="13069" max="13313" width="11.5546875" style="187"/>
    <col min="13314" max="13314" width="37.44140625" style="187" customWidth="1"/>
    <col min="13315" max="13316" width="11.5546875" style="187"/>
    <col min="13317" max="13322" width="0" style="187" hidden="1" customWidth="1"/>
    <col min="13323" max="13323" width="15.109375" style="187" customWidth="1"/>
    <col min="13324" max="13324" width="14.6640625" style="187" customWidth="1"/>
    <col min="13325" max="13569" width="11.5546875" style="187"/>
    <col min="13570" max="13570" width="37.44140625" style="187" customWidth="1"/>
    <col min="13571" max="13572" width="11.5546875" style="187"/>
    <col min="13573" max="13578" width="0" style="187" hidden="1" customWidth="1"/>
    <col min="13579" max="13579" width="15.109375" style="187" customWidth="1"/>
    <col min="13580" max="13580" width="14.6640625" style="187" customWidth="1"/>
    <col min="13581" max="13825" width="11.5546875" style="187"/>
    <col min="13826" max="13826" width="37.44140625" style="187" customWidth="1"/>
    <col min="13827" max="13828" width="11.5546875" style="187"/>
    <col min="13829" max="13834" width="0" style="187" hidden="1" customWidth="1"/>
    <col min="13835" max="13835" width="15.109375" style="187" customWidth="1"/>
    <col min="13836" max="13836" width="14.6640625" style="187" customWidth="1"/>
    <col min="13837" max="14081" width="11.5546875" style="187"/>
    <col min="14082" max="14082" width="37.44140625" style="187" customWidth="1"/>
    <col min="14083" max="14084" width="11.5546875" style="187"/>
    <col min="14085" max="14090" width="0" style="187" hidden="1" customWidth="1"/>
    <col min="14091" max="14091" width="15.109375" style="187" customWidth="1"/>
    <col min="14092" max="14092" width="14.6640625" style="187" customWidth="1"/>
    <col min="14093" max="14337" width="11.5546875" style="187"/>
    <col min="14338" max="14338" width="37.44140625" style="187" customWidth="1"/>
    <col min="14339" max="14340" width="11.5546875" style="187"/>
    <col min="14341" max="14346" width="0" style="187" hidden="1" customWidth="1"/>
    <col min="14347" max="14347" width="15.109375" style="187" customWidth="1"/>
    <col min="14348" max="14348" width="14.6640625" style="187" customWidth="1"/>
    <col min="14349" max="14593" width="11.5546875" style="187"/>
    <col min="14594" max="14594" width="37.44140625" style="187" customWidth="1"/>
    <col min="14595" max="14596" width="11.5546875" style="187"/>
    <col min="14597" max="14602" width="0" style="187" hidden="1" customWidth="1"/>
    <col min="14603" max="14603" width="15.109375" style="187" customWidth="1"/>
    <col min="14604" max="14604" width="14.6640625" style="187" customWidth="1"/>
    <col min="14605" max="14849" width="11.5546875" style="187"/>
    <col min="14850" max="14850" width="37.44140625" style="187" customWidth="1"/>
    <col min="14851" max="14852" width="11.5546875" style="187"/>
    <col min="14853" max="14858" width="0" style="187" hidden="1" customWidth="1"/>
    <col min="14859" max="14859" width="15.109375" style="187" customWidth="1"/>
    <col min="14860" max="14860" width="14.6640625" style="187" customWidth="1"/>
    <col min="14861" max="15105" width="11.5546875" style="187"/>
    <col min="15106" max="15106" width="37.44140625" style="187" customWidth="1"/>
    <col min="15107" max="15108" width="11.5546875" style="187"/>
    <col min="15109" max="15114" width="0" style="187" hidden="1" customWidth="1"/>
    <col min="15115" max="15115" width="15.109375" style="187" customWidth="1"/>
    <col min="15116" max="15116" width="14.6640625" style="187" customWidth="1"/>
    <col min="15117" max="15361" width="11.5546875" style="187"/>
    <col min="15362" max="15362" width="37.44140625" style="187" customWidth="1"/>
    <col min="15363" max="15364" width="11.5546875" style="187"/>
    <col min="15365" max="15370" width="0" style="187" hidden="1" customWidth="1"/>
    <col min="15371" max="15371" width="15.109375" style="187" customWidth="1"/>
    <col min="15372" max="15372" width="14.6640625" style="187" customWidth="1"/>
    <col min="15373" max="15617" width="11.5546875" style="187"/>
    <col min="15618" max="15618" width="37.44140625" style="187" customWidth="1"/>
    <col min="15619" max="15620" width="11.5546875" style="187"/>
    <col min="15621" max="15626" width="0" style="187" hidden="1" customWidth="1"/>
    <col min="15627" max="15627" width="15.109375" style="187" customWidth="1"/>
    <col min="15628" max="15628" width="14.6640625" style="187" customWidth="1"/>
    <col min="15629" max="15873" width="11.5546875" style="187"/>
    <col min="15874" max="15874" width="37.44140625" style="187" customWidth="1"/>
    <col min="15875" max="15876" width="11.5546875" style="187"/>
    <col min="15877" max="15882" width="0" style="187" hidden="1" customWidth="1"/>
    <col min="15883" max="15883" width="15.109375" style="187" customWidth="1"/>
    <col min="15884" max="15884" width="14.6640625" style="187" customWidth="1"/>
    <col min="15885" max="16129" width="11.5546875" style="187"/>
    <col min="16130" max="16130" width="37.44140625" style="187" customWidth="1"/>
    <col min="16131" max="16132" width="11.5546875" style="187"/>
    <col min="16133" max="16138" width="0" style="187" hidden="1" customWidth="1"/>
    <col min="16139" max="16139" width="15.109375" style="187" customWidth="1"/>
    <col min="16140" max="16140" width="14.6640625" style="187" customWidth="1"/>
    <col min="16141" max="16384" width="11.5546875" style="187"/>
  </cols>
  <sheetData>
    <row r="1" spans="1:13" x14ac:dyDescent="0.3">
      <c r="A1" s="187" t="s">
        <v>0</v>
      </c>
    </row>
    <row r="2" spans="1:13" x14ac:dyDescent="0.3">
      <c r="A2" s="190" t="s">
        <v>1336</v>
      </c>
    </row>
    <row r="3" spans="1:13" x14ac:dyDescent="0.3">
      <c r="A3" s="190" t="s">
        <v>860</v>
      </c>
    </row>
    <row r="4" spans="1:13" x14ac:dyDescent="0.3">
      <c r="A4" s="187" t="s">
        <v>5</v>
      </c>
    </row>
    <row r="5" spans="1:13" x14ac:dyDescent="0.3">
      <c r="A5" s="187"/>
    </row>
    <row r="7" spans="1:13" x14ac:dyDescent="0.3">
      <c r="A7" s="816" t="s">
        <v>1337</v>
      </c>
      <c r="B7" s="817" t="s">
        <v>1339</v>
      </c>
      <c r="C7" s="817"/>
      <c r="D7" s="817"/>
      <c r="E7" s="817"/>
      <c r="F7" s="817"/>
      <c r="G7" s="817"/>
      <c r="H7" s="817"/>
      <c r="I7" s="817"/>
      <c r="J7" s="817"/>
      <c r="K7" s="817"/>
      <c r="L7" s="818"/>
      <c r="M7" s="816" t="s">
        <v>1</v>
      </c>
    </row>
    <row r="8" spans="1:13" x14ac:dyDescent="0.3">
      <c r="A8" s="816"/>
      <c r="B8" s="191">
        <v>2020</v>
      </c>
      <c r="C8" s="191">
        <v>2019</v>
      </c>
      <c r="D8" s="191">
        <v>2018</v>
      </c>
      <c r="E8" s="191">
        <v>2017</v>
      </c>
      <c r="F8" s="191">
        <v>2016</v>
      </c>
      <c r="G8" s="191">
        <v>2015</v>
      </c>
      <c r="H8" s="191">
        <v>2014</v>
      </c>
      <c r="I8" s="191">
        <v>2013</v>
      </c>
      <c r="J8" s="191">
        <v>2012</v>
      </c>
      <c r="K8" s="191">
        <v>2011</v>
      </c>
      <c r="L8" s="192">
        <v>2008</v>
      </c>
      <c r="M8" s="816"/>
    </row>
    <row r="9" spans="1:13" ht="41.4" hidden="1" x14ac:dyDescent="0.3">
      <c r="A9" s="193" t="s">
        <v>1340</v>
      </c>
      <c r="B9" s="194"/>
      <c r="C9" s="194"/>
      <c r="D9" s="194"/>
      <c r="E9" s="194"/>
      <c r="F9" s="194"/>
      <c r="G9" s="194"/>
      <c r="H9" s="194"/>
      <c r="I9" s="194"/>
      <c r="J9" s="194"/>
      <c r="K9" s="194"/>
      <c r="L9" s="195"/>
      <c r="M9" s="196"/>
    </row>
    <row r="10" spans="1:13" s="585" customFormat="1" ht="27.6" x14ac:dyDescent="0.3">
      <c r="A10" s="582" t="s">
        <v>1341</v>
      </c>
      <c r="B10" s="583">
        <v>45982</v>
      </c>
      <c r="C10" s="583">
        <v>68721</v>
      </c>
      <c r="D10" s="583">
        <v>11045</v>
      </c>
      <c r="E10" s="583">
        <v>63470</v>
      </c>
      <c r="F10" s="583"/>
      <c r="G10" s="583"/>
      <c r="H10" s="583"/>
      <c r="I10" s="583"/>
      <c r="J10" s="583"/>
      <c r="K10" s="583"/>
      <c r="L10" s="584"/>
      <c r="M10" s="582" t="s">
        <v>1342</v>
      </c>
    </row>
    <row r="11" spans="1:13" s="586" customFormat="1" ht="55.2" hidden="1" x14ac:dyDescent="0.3">
      <c r="A11" s="582" t="s">
        <v>1344</v>
      </c>
      <c r="B11" s="583"/>
      <c r="C11" s="583"/>
      <c r="D11" s="583"/>
      <c r="E11" s="583"/>
      <c r="F11" s="583"/>
      <c r="G11" s="583"/>
      <c r="H11" s="583"/>
      <c r="I11" s="583"/>
      <c r="J11" s="583"/>
      <c r="K11" s="583"/>
      <c r="L11" s="584"/>
      <c r="M11" s="582"/>
    </row>
    <row r="12" spans="1:13" s="586" customFormat="1" ht="41.4" hidden="1" x14ac:dyDescent="0.3">
      <c r="A12" s="582" t="s">
        <v>1345</v>
      </c>
      <c r="B12" s="583"/>
      <c r="C12" s="583"/>
      <c r="D12" s="583"/>
      <c r="E12" s="583"/>
      <c r="F12" s="583"/>
      <c r="G12" s="583"/>
      <c r="H12" s="583"/>
      <c r="I12" s="583"/>
      <c r="J12" s="583"/>
      <c r="K12" s="583"/>
      <c r="L12" s="584"/>
      <c r="M12" s="582"/>
    </row>
    <row r="13" spans="1:13" s="585" customFormat="1" ht="55.2" x14ac:dyDescent="0.3">
      <c r="A13" s="582" t="s">
        <v>1346</v>
      </c>
      <c r="B13" s="583">
        <v>24065.5</v>
      </c>
      <c r="C13" s="583">
        <v>1710.38</v>
      </c>
      <c r="D13" s="583">
        <v>63801</v>
      </c>
      <c r="E13" s="583"/>
      <c r="F13" s="583"/>
      <c r="G13" s="583"/>
      <c r="H13" s="583"/>
      <c r="I13" s="583"/>
      <c r="J13" s="583"/>
      <c r="K13" s="583"/>
      <c r="L13" s="584"/>
      <c r="M13" s="582" t="s">
        <v>1347</v>
      </c>
    </row>
    <row r="14" spans="1:13" s="586" customFormat="1" ht="27.6" hidden="1" x14ac:dyDescent="0.3">
      <c r="A14" s="582" t="s">
        <v>1348</v>
      </c>
      <c r="B14" s="583"/>
      <c r="C14" s="583"/>
      <c r="D14" s="583"/>
      <c r="E14" s="583"/>
      <c r="F14" s="583"/>
      <c r="G14" s="583"/>
      <c r="H14" s="583"/>
      <c r="I14" s="583"/>
      <c r="J14" s="583"/>
      <c r="K14" s="583"/>
      <c r="L14" s="584"/>
      <c r="M14" s="582"/>
    </row>
    <row r="15" spans="1:13" s="586" customFormat="1" ht="41.4" hidden="1" x14ac:dyDescent="0.3">
      <c r="A15" s="582" t="s">
        <v>1349</v>
      </c>
      <c r="B15" s="583"/>
      <c r="C15" s="583"/>
      <c r="D15" s="583"/>
      <c r="E15" s="583"/>
      <c r="F15" s="583"/>
      <c r="G15" s="583"/>
      <c r="H15" s="583"/>
      <c r="I15" s="583"/>
      <c r="J15" s="583"/>
      <c r="K15" s="583"/>
      <c r="L15" s="584"/>
      <c r="M15" s="582"/>
    </row>
    <row r="16" spans="1:13" s="585" customFormat="1" ht="41.4" x14ac:dyDescent="0.3">
      <c r="A16" s="582" t="s">
        <v>1350</v>
      </c>
      <c r="B16" s="587">
        <v>365170</v>
      </c>
      <c r="C16" s="587"/>
      <c r="D16" s="587"/>
      <c r="E16" s="587"/>
      <c r="F16" s="587"/>
      <c r="G16" s="587"/>
      <c r="H16" s="587"/>
      <c r="I16" s="587"/>
      <c r="J16" s="587"/>
      <c r="K16" s="587"/>
      <c r="L16" s="588"/>
      <c r="M16" s="582" t="s">
        <v>1351</v>
      </c>
    </row>
    <row r="17" spans="1:13" s="586" customFormat="1" ht="41.4" hidden="1" x14ac:dyDescent="0.3">
      <c r="A17" s="582" t="s">
        <v>1352</v>
      </c>
      <c r="B17" s="583"/>
      <c r="C17" s="583"/>
      <c r="D17" s="583"/>
      <c r="E17" s="583"/>
      <c r="F17" s="583"/>
      <c r="G17" s="583"/>
      <c r="H17" s="583"/>
      <c r="I17" s="583"/>
      <c r="J17" s="583"/>
      <c r="K17" s="583"/>
      <c r="L17" s="584"/>
      <c r="M17" s="582"/>
    </row>
    <row r="18" spans="1:13" s="586" customFormat="1" ht="55.2" hidden="1" x14ac:dyDescent="0.3">
      <c r="A18" s="582" t="s">
        <v>1353</v>
      </c>
      <c r="B18" s="583"/>
      <c r="C18" s="583"/>
      <c r="D18" s="583"/>
      <c r="E18" s="583"/>
      <c r="F18" s="583"/>
      <c r="G18" s="583"/>
      <c r="H18" s="583"/>
      <c r="I18" s="583"/>
      <c r="J18" s="583"/>
      <c r="K18" s="583"/>
      <c r="L18" s="584"/>
      <c r="M18" s="582"/>
    </row>
    <row r="19" spans="1:13" s="586" customFormat="1" ht="41.4" x14ac:dyDescent="0.3">
      <c r="A19" s="582" t="s">
        <v>1354</v>
      </c>
      <c r="B19" s="583"/>
      <c r="C19" s="583">
        <v>37325</v>
      </c>
      <c r="D19" s="583"/>
      <c r="E19" s="583">
        <v>1050</v>
      </c>
      <c r="F19" s="583"/>
      <c r="G19" s="583"/>
      <c r="H19" s="583"/>
      <c r="I19" s="583"/>
      <c r="J19" s="583"/>
      <c r="K19" s="583"/>
      <c r="L19" s="584"/>
      <c r="M19" s="589" t="s">
        <v>1355</v>
      </c>
    </row>
    <row r="20" spans="1:13" s="586" customFormat="1" ht="55.2" hidden="1" x14ac:dyDescent="0.3">
      <c r="A20" s="582" t="s">
        <v>1356</v>
      </c>
      <c r="B20" s="583"/>
      <c r="C20" s="583"/>
      <c r="D20" s="583"/>
      <c r="E20" s="583"/>
      <c r="F20" s="583"/>
      <c r="G20" s="583"/>
      <c r="H20" s="583"/>
      <c r="I20" s="583"/>
      <c r="J20" s="583"/>
      <c r="K20" s="583"/>
      <c r="L20" s="584"/>
      <c r="M20" s="582"/>
    </row>
    <row r="21" spans="1:13" s="586" customFormat="1" ht="55.2" hidden="1" x14ac:dyDescent="0.3">
      <c r="A21" s="582" t="s">
        <v>1357</v>
      </c>
      <c r="B21" s="583"/>
      <c r="C21" s="583"/>
      <c r="D21" s="583"/>
      <c r="E21" s="583"/>
      <c r="F21" s="583"/>
      <c r="G21" s="583"/>
      <c r="H21" s="583"/>
      <c r="I21" s="583"/>
      <c r="J21" s="583"/>
      <c r="K21" s="583"/>
      <c r="L21" s="584"/>
      <c r="M21" s="582"/>
    </row>
    <row r="22" spans="1:13" s="586" customFormat="1" ht="41.4" x14ac:dyDescent="0.3">
      <c r="A22" s="582" t="s">
        <v>1358</v>
      </c>
      <c r="B22" s="583"/>
      <c r="C22" s="583">
        <v>37388.660000000003</v>
      </c>
      <c r="D22" s="583"/>
      <c r="E22" s="583">
        <v>15</v>
      </c>
      <c r="F22" s="583"/>
      <c r="G22" s="583"/>
      <c r="H22" s="583"/>
      <c r="I22" s="583"/>
      <c r="J22" s="583"/>
      <c r="K22" s="583"/>
      <c r="L22" s="584"/>
      <c r="M22" s="589" t="s">
        <v>1359</v>
      </c>
    </row>
    <row r="23" spans="1:13" s="586" customFormat="1" ht="41.4" x14ac:dyDescent="0.3">
      <c r="A23" s="582" t="s">
        <v>1360</v>
      </c>
      <c r="B23" s="583"/>
      <c r="C23" s="583"/>
      <c r="D23" s="583"/>
      <c r="E23" s="583">
        <v>761.88999999999942</v>
      </c>
      <c r="F23" s="583"/>
      <c r="G23" s="583"/>
      <c r="H23" s="583"/>
      <c r="I23" s="583"/>
      <c r="J23" s="583"/>
      <c r="K23" s="583"/>
      <c r="L23" s="584"/>
      <c r="M23" s="589" t="s">
        <v>1361</v>
      </c>
    </row>
    <row r="24" spans="1:13" s="586" customFormat="1" ht="41.4" hidden="1" x14ac:dyDescent="0.3">
      <c r="A24" s="582" t="s">
        <v>1362</v>
      </c>
      <c r="B24" s="583"/>
      <c r="C24" s="583"/>
      <c r="D24" s="583"/>
      <c r="E24" s="583"/>
      <c r="F24" s="583"/>
      <c r="G24" s="583"/>
      <c r="H24" s="583"/>
      <c r="I24" s="583"/>
      <c r="J24" s="583"/>
      <c r="K24" s="583"/>
      <c r="L24" s="584"/>
      <c r="M24" s="582"/>
    </row>
    <row r="25" spans="1:13" s="586" customFormat="1" ht="41.4" x14ac:dyDescent="0.3">
      <c r="A25" s="582" t="s">
        <v>1363</v>
      </c>
      <c r="B25" s="583">
        <v>13980</v>
      </c>
      <c r="C25" s="583">
        <v>16114.56</v>
      </c>
      <c r="D25" s="583"/>
      <c r="E25" s="583"/>
      <c r="F25" s="583"/>
      <c r="G25" s="583"/>
      <c r="H25" s="583"/>
      <c r="I25" s="583"/>
      <c r="J25" s="583"/>
      <c r="K25" s="583"/>
      <c r="L25" s="584"/>
      <c r="M25" s="589" t="s">
        <v>1364</v>
      </c>
    </row>
    <row r="26" spans="1:13" s="586" customFormat="1" ht="41.4" hidden="1" x14ac:dyDescent="0.3">
      <c r="A26" s="582" t="s">
        <v>1365</v>
      </c>
      <c r="B26" s="583"/>
      <c r="C26" s="583"/>
      <c r="D26" s="583"/>
      <c r="E26" s="583"/>
      <c r="F26" s="583"/>
      <c r="G26" s="583"/>
      <c r="H26" s="583"/>
      <c r="I26" s="583"/>
      <c r="J26" s="583"/>
      <c r="K26" s="583"/>
      <c r="L26" s="584"/>
      <c r="M26" s="582"/>
    </row>
    <row r="27" spans="1:13" s="586" customFormat="1" ht="41.4" hidden="1" x14ac:dyDescent="0.3">
      <c r="A27" s="582" t="s">
        <v>1366</v>
      </c>
      <c r="B27" s="583"/>
      <c r="C27" s="583"/>
      <c r="D27" s="583"/>
      <c r="E27" s="583"/>
      <c r="F27" s="583"/>
      <c r="G27" s="583"/>
      <c r="H27" s="583"/>
      <c r="I27" s="583"/>
      <c r="J27" s="583"/>
      <c r="K27" s="583"/>
      <c r="L27" s="584"/>
      <c r="M27" s="582"/>
    </row>
    <row r="28" spans="1:13" s="586" customFormat="1" ht="41.4" hidden="1" x14ac:dyDescent="0.3">
      <c r="A28" s="582" t="s">
        <v>1367</v>
      </c>
      <c r="B28" s="583"/>
      <c r="C28" s="583"/>
      <c r="D28" s="583"/>
      <c r="E28" s="583"/>
      <c r="F28" s="583"/>
      <c r="G28" s="583"/>
      <c r="H28" s="583"/>
      <c r="I28" s="583"/>
      <c r="J28" s="583"/>
      <c r="K28" s="583"/>
      <c r="L28" s="584"/>
      <c r="M28" s="582"/>
    </row>
    <row r="29" spans="1:13" s="586" customFormat="1" ht="27.6" hidden="1" x14ac:dyDescent="0.3">
      <c r="A29" s="582" t="s">
        <v>1368</v>
      </c>
      <c r="B29" s="583"/>
      <c r="C29" s="583"/>
      <c r="D29" s="583"/>
      <c r="E29" s="583"/>
      <c r="F29" s="583"/>
      <c r="G29" s="583"/>
      <c r="H29" s="583"/>
      <c r="I29" s="583"/>
      <c r="J29" s="583"/>
      <c r="K29" s="583"/>
      <c r="L29" s="584"/>
      <c r="M29" s="582"/>
    </row>
    <row r="30" spans="1:13" s="586" customFormat="1" ht="41.4" hidden="1" x14ac:dyDescent="0.3">
      <c r="A30" s="582" t="s">
        <v>1369</v>
      </c>
      <c r="B30" s="583"/>
      <c r="C30" s="583"/>
      <c r="D30" s="583"/>
      <c r="E30" s="583"/>
      <c r="F30" s="583"/>
      <c r="G30" s="583"/>
      <c r="H30" s="583"/>
      <c r="I30" s="583"/>
      <c r="J30" s="583"/>
      <c r="K30" s="583"/>
      <c r="L30" s="584"/>
      <c r="M30" s="582"/>
    </row>
    <row r="31" spans="1:13" s="586" customFormat="1" ht="41.4" hidden="1" x14ac:dyDescent="0.3">
      <c r="A31" s="582" t="s">
        <v>1370</v>
      </c>
      <c r="B31" s="583"/>
      <c r="C31" s="583"/>
      <c r="D31" s="583"/>
      <c r="E31" s="583"/>
      <c r="F31" s="583"/>
      <c r="G31" s="583"/>
      <c r="H31" s="583"/>
      <c r="I31" s="583"/>
      <c r="J31" s="583"/>
      <c r="K31" s="583"/>
      <c r="L31" s="584"/>
      <c r="M31" s="582"/>
    </row>
    <row r="32" spans="1:13" s="586" customFormat="1" ht="55.2" x14ac:dyDescent="0.3">
      <c r="A32" s="582" t="s">
        <v>1371</v>
      </c>
      <c r="B32" s="583">
        <v>13049.41</v>
      </c>
      <c r="C32" s="583">
        <v>15505.26</v>
      </c>
      <c r="D32" s="583"/>
      <c r="E32" s="583"/>
      <c r="F32" s="583"/>
      <c r="G32" s="583"/>
      <c r="H32" s="583"/>
      <c r="I32" s="583"/>
      <c r="J32" s="583"/>
      <c r="K32" s="583"/>
      <c r="L32" s="584"/>
      <c r="M32" s="589" t="s">
        <v>1372</v>
      </c>
    </row>
    <row r="33" spans="1:13" s="586" customFormat="1" ht="41.4" hidden="1" x14ac:dyDescent="0.3">
      <c r="A33" s="582" t="s">
        <v>1373</v>
      </c>
      <c r="B33" s="583"/>
      <c r="C33" s="583"/>
      <c r="D33" s="583"/>
      <c r="E33" s="583"/>
      <c r="F33" s="583"/>
      <c r="G33" s="583"/>
      <c r="H33" s="583"/>
      <c r="I33" s="583"/>
      <c r="J33" s="583"/>
      <c r="K33" s="583"/>
      <c r="L33" s="584"/>
      <c r="M33" s="582"/>
    </row>
    <row r="34" spans="1:13" s="586" customFormat="1" ht="55.2" hidden="1" x14ac:dyDescent="0.3">
      <c r="A34" s="582" t="s">
        <v>1374</v>
      </c>
      <c r="B34" s="583"/>
      <c r="C34" s="583"/>
      <c r="D34" s="583"/>
      <c r="E34" s="583"/>
      <c r="F34" s="583"/>
      <c r="G34" s="583"/>
      <c r="H34" s="583"/>
      <c r="I34" s="583"/>
      <c r="J34" s="583"/>
      <c r="K34" s="583"/>
      <c r="L34" s="584"/>
      <c r="M34" s="582"/>
    </row>
    <row r="35" spans="1:13" s="586" customFormat="1" ht="41.4" hidden="1" x14ac:dyDescent="0.3">
      <c r="A35" s="582" t="s">
        <v>1375</v>
      </c>
      <c r="B35" s="583"/>
      <c r="C35" s="583"/>
      <c r="D35" s="583"/>
      <c r="E35" s="583"/>
      <c r="F35" s="583"/>
      <c r="G35" s="583"/>
      <c r="H35" s="583"/>
      <c r="I35" s="583"/>
      <c r="J35" s="583"/>
      <c r="K35" s="583"/>
      <c r="L35" s="584"/>
      <c r="M35" s="582"/>
    </row>
    <row r="36" spans="1:13" s="586" customFormat="1" ht="55.2" hidden="1" x14ac:dyDescent="0.3">
      <c r="A36" s="582" t="s">
        <v>1376</v>
      </c>
      <c r="B36" s="583"/>
      <c r="C36" s="583"/>
      <c r="D36" s="583"/>
      <c r="E36" s="583"/>
      <c r="F36" s="583"/>
      <c r="G36" s="583"/>
      <c r="H36" s="583"/>
      <c r="I36" s="583"/>
      <c r="J36" s="583"/>
      <c r="K36" s="583"/>
      <c r="L36" s="584"/>
      <c r="M36" s="582"/>
    </row>
    <row r="37" spans="1:13" s="586" customFormat="1" ht="27.6" hidden="1" x14ac:dyDescent="0.3">
      <c r="A37" s="582" t="s">
        <v>1377</v>
      </c>
      <c r="B37" s="583"/>
      <c r="C37" s="583"/>
      <c r="D37" s="583"/>
      <c r="E37" s="583"/>
      <c r="F37" s="583"/>
      <c r="G37" s="583"/>
      <c r="H37" s="583"/>
      <c r="I37" s="583"/>
      <c r="J37" s="583"/>
      <c r="K37" s="583"/>
      <c r="L37" s="584"/>
      <c r="M37" s="582"/>
    </row>
    <row r="38" spans="1:13" s="586" customFormat="1" ht="41.4" hidden="1" x14ac:dyDescent="0.3">
      <c r="A38" s="582" t="s">
        <v>1378</v>
      </c>
      <c r="B38" s="583"/>
      <c r="C38" s="583"/>
      <c r="D38" s="583"/>
      <c r="E38" s="583"/>
      <c r="F38" s="583"/>
      <c r="G38" s="583"/>
      <c r="H38" s="583"/>
      <c r="I38" s="583"/>
      <c r="J38" s="583"/>
      <c r="K38" s="583"/>
      <c r="L38" s="584"/>
      <c r="M38" s="582"/>
    </row>
    <row r="39" spans="1:13" s="586" customFormat="1" ht="55.2" x14ac:dyDescent="0.3">
      <c r="A39" s="582" t="s">
        <v>1379</v>
      </c>
      <c r="B39" s="583"/>
      <c r="C39" s="583">
        <v>0.02</v>
      </c>
      <c r="D39" s="583"/>
      <c r="E39" s="583"/>
      <c r="F39" s="583"/>
      <c r="G39" s="583"/>
      <c r="H39" s="583"/>
      <c r="I39" s="583"/>
      <c r="J39" s="583"/>
      <c r="K39" s="583"/>
      <c r="L39" s="584"/>
      <c r="M39" s="582" t="s">
        <v>1380</v>
      </c>
    </row>
    <row r="40" spans="1:13" s="586" customFormat="1" ht="55.2" hidden="1" x14ac:dyDescent="0.3">
      <c r="A40" s="582" t="s">
        <v>1381</v>
      </c>
      <c r="B40" s="583"/>
      <c r="C40" s="583"/>
      <c r="D40" s="583"/>
      <c r="E40" s="583"/>
      <c r="F40" s="583"/>
      <c r="G40" s="583"/>
      <c r="H40" s="583"/>
      <c r="I40" s="583"/>
      <c r="J40" s="583"/>
      <c r="K40" s="583"/>
      <c r="L40" s="584"/>
      <c r="M40" s="582"/>
    </row>
    <row r="41" spans="1:13" s="586" customFormat="1" ht="41.4" hidden="1" x14ac:dyDescent="0.3">
      <c r="A41" s="582" t="s">
        <v>1382</v>
      </c>
      <c r="B41" s="583"/>
      <c r="C41" s="583"/>
      <c r="D41" s="583"/>
      <c r="E41" s="583"/>
      <c r="F41" s="583"/>
      <c r="G41" s="583"/>
      <c r="H41" s="583"/>
      <c r="I41" s="583"/>
      <c r="J41" s="583"/>
      <c r="K41" s="583"/>
      <c r="L41" s="584"/>
      <c r="M41" s="582"/>
    </row>
    <row r="42" spans="1:13" s="586" customFormat="1" ht="41.4" hidden="1" x14ac:dyDescent="0.3">
      <c r="A42" s="582" t="s">
        <v>1383</v>
      </c>
      <c r="B42" s="583"/>
      <c r="C42" s="583"/>
      <c r="D42" s="583"/>
      <c r="E42" s="583"/>
      <c r="F42" s="583"/>
      <c r="G42" s="583"/>
      <c r="H42" s="583"/>
      <c r="I42" s="583"/>
      <c r="J42" s="583"/>
      <c r="K42" s="583"/>
      <c r="L42" s="584"/>
      <c r="M42" s="582"/>
    </row>
    <row r="43" spans="1:13" s="586" customFormat="1" ht="55.2" x14ac:dyDescent="0.3">
      <c r="A43" s="582" t="s">
        <v>1384</v>
      </c>
      <c r="B43" s="583">
        <v>259980</v>
      </c>
      <c r="C43" s="583"/>
      <c r="D43" s="583"/>
      <c r="E43" s="583"/>
      <c r="F43" s="583"/>
      <c r="G43" s="583"/>
      <c r="H43" s="583"/>
      <c r="I43" s="583"/>
      <c r="J43" s="583"/>
      <c r="K43" s="583"/>
      <c r="L43" s="584"/>
      <c r="M43" s="582" t="s">
        <v>1385</v>
      </c>
    </row>
    <row r="44" spans="1:13" s="586" customFormat="1" ht="41.4" hidden="1" x14ac:dyDescent="0.3">
      <c r="A44" s="582" t="s">
        <v>1386</v>
      </c>
      <c r="B44" s="583"/>
      <c r="C44" s="583"/>
      <c r="D44" s="583"/>
      <c r="E44" s="583"/>
      <c r="F44" s="583"/>
      <c r="G44" s="583"/>
      <c r="H44" s="583"/>
      <c r="I44" s="583"/>
      <c r="J44" s="583"/>
      <c r="K44" s="583"/>
      <c r="L44" s="584"/>
      <c r="M44" s="582"/>
    </row>
    <row r="45" spans="1:13" s="586" customFormat="1" ht="27.6" hidden="1" x14ac:dyDescent="0.3">
      <c r="A45" s="582" t="s">
        <v>1387</v>
      </c>
      <c r="B45" s="583"/>
      <c r="C45" s="583"/>
      <c r="D45" s="583"/>
      <c r="E45" s="583"/>
      <c r="F45" s="583"/>
      <c r="G45" s="583"/>
      <c r="H45" s="583"/>
      <c r="I45" s="583"/>
      <c r="J45" s="583"/>
      <c r="K45" s="583"/>
      <c r="L45" s="584"/>
      <c r="M45" s="582"/>
    </row>
    <row r="46" spans="1:13" s="586" customFormat="1" ht="27.6" hidden="1" x14ac:dyDescent="0.3">
      <c r="A46" s="582" t="s">
        <v>1388</v>
      </c>
      <c r="B46" s="583"/>
      <c r="C46" s="583"/>
      <c r="D46" s="583"/>
      <c r="E46" s="583"/>
      <c r="F46" s="583"/>
      <c r="G46" s="583"/>
      <c r="H46" s="583"/>
      <c r="I46" s="583"/>
      <c r="J46" s="583"/>
      <c r="K46" s="583"/>
      <c r="L46" s="584"/>
      <c r="M46" s="582"/>
    </row>
    <row r="47" spans="1:13" s="586" customFormat="1" ht="41.4" x14ac:dyDescent="0.3">
      <c r="A47" s="582" t="s">
        <v>1389</v>
      </c>
      <c r="B47" s="583"/>
      <c r="C47" s="583"/>
      <c r="D47" s="583"/>
      <c r="E47" s="583">
        <v>429300</v>
      </c>
      <c r="F47" s="583"/>
      <c r="G47" s="583"/>
      <c r="H47" s="583"/>
      <c r="I47" s="583"/>
      <c r="J47" s="583"/>
      <c r="K47" s="583"/>
      <c r="L47" s="584"/>
      <c r="M47" s="582" t="s">
        <v>1390</v>
      </c>
    </row>
    <row r="48" spans="1:13" s="586" customFormat="1" ht="55.2" hidden="1" x14ac:dyDescent="0.3">
      <c r="A48" s="582" t="s">
        <v>1391</v>
      </c>
      <c r="B48" s="583"/>
      <c r="C48" s="583"/>
      <c r="D48" s="583"/>
      <c r="E48" s="583"/>
      <c r="F48" s="583"/>
      <c r="G48" s="583"/>
      <c r="H48" s="583"/>
      <c r="I48" s="583"/>
      <c r="J48" s="583"/>
      <c r="K48" s="583"/>
      <c r="L48" s="584"/>
      <c r="M48" s="582"/>
    </row>
    <row r="49" spans="1:13" s="586" customFormat="1" ht="41.4" x14ac:dyDescent="0.3">
      <c r="A49" s="582" t="s">
        <v>1392</v>
      </c>
      <c r="B49" s="583">
        <v>17588.8</v>
      </c>
      <c r="C49" s="583"/>
      <c r="D49" s="583">
        <v>8220</v>
      </c>
      <c r="E49" s="583"/>
      <c r="F49" s="583"/>
      <c r="G49" s="583"/>
      <c r="H49" s="583"/>
      <c r="I49" s="583"/>
      <c r="J49" s="583"/>
      <c r="K49" s="583"/>
      <c r="L49" s="584"/>
      <c r="M49" s="582" t="s">
        <v>1393</v>
      </c>
    </row>
    <row r="50" spans="1:13" s="586" customFormat="1" ht="27.6" x14ac:dyDescent="0.3">
      <c r="A50" s="582" t="s">
        <v>1394</v>
      </c>
      <c r="B50" s="583"/>
      <c r="C50" s="583"/>
      <c r="D50" s="583"/>
      <c r="E50" s="583"/>
      <c r="F50" s="583"/>
      <c r="G50" s="583"/>
      <c r="H50" s="583"/>
      <c r="I50" s="583">
        <v>365000</v>
      </c>
      <c r="J50" s="583"/>
      <c r="K50" s="583"/>
      <c r="L50" s="584"/>
      <c r="M50" s="582" t="s">
        <v>1395</v>
      </c>
    </row>
    <row r="51" spans="1:13" s="586" customFormat="1" ht="41.4" hidden="1" x14ac:dyDescent="0.3">
      <c r="A51" s="582" t="s">
        <v>1396</v>
      </c>
      <c r="B51" s="583"/>
      <c r="C51" s="583"/>
      <c r="D51" s="583"/>
      <c r="E51" s="583"/>
      <c r="F51" s="583"/>
      <c r="G51" s="583"/>
      <c r="H51" s="583"/>
      <c r="I51" s="583"/>
      <c r="J51" s="583"/>
      <c r="K51" s="583"/>
      <c r="L51" s="584"/>
      <c r="M51" s="582"/>
    </row>
    <row r="52" spans="1:13" s="586" customFormat="1" ht="55.2" hidden="1" x14ac:dyDescent="0.3">
      <c r="A52" s="582" t="s">
        <v>1397</v>
      </c>
      <c r="B52" s="583"/>
      <c r="C52" s="583"/>
      <c r="D52" s="583"/>
      <c r="E52" s="583"/>
      <c r="F52" s="583"/>
      <c r="G52" s="583"/>
      <c r="H52" s="583"/>
      <c r="I52" s="583"/>
      <c r="J52" s="583"/>
      <c r="K52" s="583"/>
      <c r="L52" s="584"/>
      <c r="M52" s="582"/>
    </row>
    <row r="53" spans="1:13" s="586" customFormat="1" ht="55.2" hidden="1" x14ac:dyDescent="0.3">
      <c r="A53" s="582" t="s">
        <v>1398</v>
      </c>
      <c r="B53" s="583"/>
      <c r="C53" s="583"/>
      <c r="D53" s="583"/>
      <c r="E53" s="583"/>
      <c r="F53" s="583"/>
      <c r="G53" s="583"/>
      <c r="H53" s="583"/>
      <c r="I53" s="583"/>
      <c r="J53" s="583"/>
      <c r="K53" s="583"/>
      <c r="L53" s="584"/>
      <c r="M53" s="582"/>
    </row>
    <row r="54" spans="1:13" s="586" customFormat="1" ht="55.2" hidden="1" x14ac:dyDescent="0.3">
      <c r="A54" s="582" t="s">
        <v>1399</v>
      </c>
      <c r="B54" s="583"/>
      <c r="C54" s="583"/>
      <c r="D54" s="583"/>
      <c r="E54" s="583"/>
      <c r="F54" s="583"/>
      <c r="G54" s="583"/>
      <c r="H54" s="583"/>
      <c r="I54" s="583"/>
      <c r="J54" s="583"/>
      <c r="K54" s="583"/>
      <c r="L54" s="584"/>
      <c r="M54" s="582"/>
    </row>
    <row r="55" spans="1:13" s="586" customFormat="1" ht="55.2" hidden="1" x14ac:dyDescent="0.3">
      <c r="A55" s="582" t="s">
        <v>1400</v>
      </c>
      <c r="B55" s="583"/>
      <c r="C55" s="583"/>
      <c r="D55" s="583"/>
      <c r="E55" s="583"/>
      <c r="F55" s="583"/>
      <c r="G55" s="583"/>
      <c r="H55" s="583"/>
      <c r="I55" s="583"/>
      <c r="J55" s="583"/>
      <c r="K55" s="583"/>
      <c r="L55" s="584"/>
      <c r="M55" s="582"/>
    </row>
    <row r="56" spans="1:13" s="586" customFormat="1" ht="55.2" hidden="1" x14ac:dyDescent="0.3">
      <c r="A56" s="582" t="s">
        <v>1401</v>
      </c>
      <c r="B56" s="583"/>
      <c r="C56" s="583"/>
      <c r="D56" s="583"/>
      <c r="E56" s="583"/>
      <c r="F56" s="583"/>
      <c r="G56" s="583"/>
      <c r="H56" s="583"/>
      <c r="I56" s="583"/>
      <c r="J56" s="583"/>
      <c r="K56" s="583"/>
      <c r="L56" s="584"/>
      <c r="M56" s="582"/>
    </row>
    <row r="57" spans="1:13" s="586" customFormat="1" ht="27.6" hidden="1" x14ac:dyDescent="0.3">
      <c r="A57" s="582" t="s">
        <v>1402</v>
      </c>
      <c r="B57" s="583"/>
      <c r="C57" s="583"/>
      <c r="D57" s="583"/>
      <c r="E57" s="583"/>
      <c r="F57" s="583"/>
      <c r="G57" s="583"/>
      <c r="H57" s="583"/>
      <c r="I57" s="583"/>
      <c r="J57" s="583"/>
      <c r="K57" s="583"/>
      <c r="L57" s="584"/>
      <c r="M57" s="582"/>
    </row>
    <row r="58" spans="1:13" s="586" customFormat="1" ht="55.2" x14ac:dyDescent="0.3">
      <c r="A58" s="582" t="s">
        <v>1403</v>
      </c>
      <c r="B58" s="583">
        <v>300000</v>
      </c>
      <c r="C58" s="583"/>
      <c r="D58" s="583"/>
      <c r="E58" s="583"/>
      <c r="F58" s="583"/>
      <c r="G58" s="583"/>
      <c r="H58" s="583"/>
      <c r="I58" s="583"/>
      <c r="J58" s="583"/>
      <c r="K58" s="583"/>
      <c r="L58" s="584"/>
      <c r="M58" s="582" t="s">
        <v>1404</v>
      </c>
    </row>
    <row r="59" spans="1:13" s="586" customFormat="1" ht="55.2" hidden="1" x14ac:dyDescent="0.3">
      <c r="A59" s="582" t="s">
        <v>1405</v>
      </c>
      <c r="B59" s="583"/>
      <c r="C59" s="583"/>
      <c r="D59" s="583"/>
      <c r="E59" s="583"/>
      <c r="F59" s="583"/>
      <c r="G59" s="583"/>
      <c r="H59" s="583"/>
      <c r="I59" s="583"/>
      <c r="J59" s="583"/>
      <c r="K59" s="583"/>
      <c r="L59" s="584"/>
      <c r="M59" s="582"/>
    </row>
    <row r="60" spans="1:13" s="586" customFormat="1" ht="27.6" hidden="1" x14ac:dyDescent="0.3">
      <c r="A60" s="582" t="s">
        <v>1406</v>
      </c>
      <c r="B60" s="583"/>
      <c r="C60" s="583"/>
      <c r="D60" s="583"/>
      <c r="E60" s="583"/>
      <c r="F60" s="583"/>
      <c r="G60" s="583"/>
      <c r="H60" s="583"/>
      <c r="I60" s="583"/>
      <c r="J60" s="583"/>
      <c r="K60" s="583"/>
      <c r="L60" s="584"/>
      <c r="M60" s="582"/>
    </row>
    <row r="61" spans="1:13" s="586" customFormat="1" ht="55.2" hidden="1" x14ac:dyDescent="0.3">
      <c r="A61" s="582" t="s">
        <v>1407</v>
      </c>
      <c r="B61" s="583"/>
      <c r="C61" s="583"/>
      <c r="D61" s="583"/>
      <c r="E61" s="583"/>
      <c r="F61" s="583"/>
      <c r="G61" s="583"/>
      <c r="H61" s="583"/>
      <c r="I61" s="583"/>
      <c r="J61" s="583"/>
      <c r="K61" s="583"/>
      <c r="L61" s="584"/>
      <c r="M61" s="582"/>
    </row>
    <row r="62" spans="1:13" s="586" customFormat="1" ht="41.4" hidden="1" x14ac:dyDescent="0.3">
      <c r="A62" s="582" t="s">
        <v>1408</v>
      </c>
      <c r="B62" s="583"/>
      <c r="C62" s="583"/>
      <c r="D62" s="583"/>
      <c r="E62" s="583"/>
      <c r="F62" s="583"/>
      <c r="G62" s="583"/>
      <c r="H62" s="583"/>
      <c r="I62" s="583"/>
      <c r="J62" s="583"/>
      <c r="K62" s="583"/>
      <c r="L62" s="584"/>
      <c r="M62" s="582"/>
    </row>
    <row r="63" spans="1:13" s="586" customFormat="1" ht="69" x14ac:dyDescent="0.3">
      <c r="A63" s="582" t="s">
        <v>1409</v>
      </c>
      <c r="B63" s="583"/>
      <c r="C63" s="583"/>
      <c r="D63" s="583"/>
      <c r="E63" s="583">
        <v>245370</v>
      </c>
      <c r="F63" s="583"/>
      <c r="G63" s="583"/>
      <c r="H63" s="583"/>
      <c r="I63" s="583"/>
      <c r="J63" s="583"/>
      <c r="K63" s="583"/>
      <c r="L63" s="584"/>
      <c r="M63" s="582" t="s">
        <v>1410</v>
      </c>
    </row>
    <row r="64" spans="1:13" s="586" customFormat="1" ht="41.4" x14ac:dyDescent="0.3">
      <c r="A64" s="582" t="s">
        <v>1411</v>
      </c>
      <c r="B64" s="583"/>
      <c r="C64" s="583"/>
      <c r="D64" s="583"/>
      <c r="E64" s="583">
        <v>1000</v>
      </c>
      <c r="F64" s="583"/>
      <c r="G64" s="583">
        <v>5200</v>
      </c>
      <c r="H64" s="583">
        <v>19000</v>
      </c>
      <c r="I64" s="583"/>
      <c r="J64" s="583"/>
      <c r="K64" s="583"/>
      <c r="L64" s="584"/>
      <c r="M64" s="590" t="s">
        <v>1412</v>
      </c>
    </row>
    <row r="65" spans="1:13" s="586" customFormat="1" ht="55.2" hidden="1" x14ac:dyDescent="0.3">
      <c r="A65" s="582" t="s">
        <v>1413</v>
      </c>
      <c r="B65" s="583"/>
      <c r="C65" s="583"/>
      <c r="D65" s="583"/>
      <c r="E65" s="583"/>
      <c r="F65" s="583"/>
      <c r="G65" s="583"/>
      <c r="H65" s="583"/>
      <c r="I65" s="583"/>
      <c r="J65" s="583"/>
      <c r="K65" s="583"/>
      <c r="L65" s="584"/>
      <c r="M65" s="582"/>
    </row>
    <row r="66" spans="1:13" s="586" customFormat="1" ht="55.2" hidden="1" x14ac:dyDescent="0.3">
      <c r="A66" s="582" t="s">
        <v>1414</v>
      </c>
      <c r="B66" s="583"/>
      <c r="C66" s="583"/>
      <c r="D66" s="583"/>
      <c r="E66" s="583"/>
      <c r="F66" s="583"/>
      <c r="G66" s="583"/>
      <c r="H66" s="583"/>
      <c r="I66" s="583"/>
      <c r="J66" s="583"/>
      <c r="K66" s="583"/>
      <c r="L66" s="584"/>
      <c r="M66" s="582"/>
    </row>
    <row r="67" spans="1:13" s="586" customFormat="1" ht="41.4" hidden="1" x14ac:dyDescent="0.3">
      <c r="A67" s="582" t="s">
        <v>1415</v>
      </c>
      <c r="B67" s="583"/>
      <c r="C67" s="583"/>
      <c r="D67" s="583"/>
      <c r="E67" s="583"/>
      <c r="F67" s="583"/>
      <c r="G67" s="583"/>
      <c r="H67" s="583"/>
      <c r="I67" s="583"/>
      <c r="J67" s="583"/>
      <c r="K67" s="583"/>
      <c r="L67" s="584"/>
      <c r="M67" s="582"/>
    </row>
    <row r="68" spans="1:13" s="586" customFormat="1" ht="27.6" x14ac:dyDescent="0.3">
      <c r="A68" s="582" t="s">
        <v>1416</v>
      </c>
      <c r="B68" s="583">
        <v>85124.54</v>
      </c>
      <c r="C68" s="583">
        <v>14387.46</v>
      </c>
      <c r="D68" s="583">
        <v>14689.66</v>
      </c>
      <c r="E68" s="583"/>
      <c r="F68" s="583"/>
      <c r="G68" s="583"/>
      <c r="H68" s="583"/>
      <c r="I68" s="583"/>
      <c r="J68" s="583"/>
      <c r="K68" s="583"/>
      <c r="L68" s="584"/>
      <c r="M68" s="582" t="s">
        <v>1417</v>
      </c>
    </row>
    <row r="69" spans="1:13" s="586" customFormat="1" ht="41.4" hidden="1" x14ac:dyDescent="0.3">
      <c r="A69" s="582" t="s">
        <v>1418</v>
      </c>
      <c r="B69" s="583"/>
      <c r="C69" s="583"/>
      <c r="D69" s="583"/>
      <c r="E69" s="583"/>
      <c r="F69" s="583"/>
      <c r="G69" s="583"/>
      <c r="H69" s="583"/>
      <c r="I69" s="583"/>
      <c r="J69" s="583"/>
      <c r="K69" s="583"/>
      <c r="L69" s="584"/>
      <c r="M69" s="582"/>
    </row>
    <row r="70" spans="1:13" s="586" customFormat="1" ht="41.4" hidden="1" x14ac:dyDescent="0.3">
      <c r="A70" s="582" t="s">
        <v>1419</v>
      </c>
      <c r="B70" s="583"/>
      <c r="C70" s="583"/>
      <c r="D70" s="583"/>
      <c r="E70" s="583"/>
      <c r="F70" s="583"/>
      <c r="G70" s="583"/>
      <c r="H70" s="583"/>
      <c r="I70" s="583"/>
      <c r="J70" s="583"/>
      <c r="K70" s="583"/>
      <c r="L70" s="584"/>
      <c r="M70" s="582"/>
    </row>
    <row r="71" spans="1:13" s="586" customFormat="1" ht="27.6" hidden="1" x14ac:dyDescent="0.3">
      <c r="A71" s="582" t="s">
        <v>1420</v>
      </c>
      <c r="B71" s="583"/>
      <c r="C71" s="583"/>
      <c r="D71" s="583"/>
      <c r="E71" s="583"/>
      <c r="F71" s="583"/>
      <c r="G71" s="583"/>
      <c r="H71" s="583"/>
      <c r="I71" s="583"/>
      <c r="J71" s="583"/>
      <c r="K71" s="583"/>
      <c r="L71" s="584"/>
      <c r="M71" s="582"/>
    </row>
    <row r="72" spans="1:13" s="591" customFormat="1" ht="41.4" hidden="1" x14ac:dyDescent="0.3">
      <c r="A72" s="582" t="s">
        <v>1421</v>
      </c>
      <c r="B72" s="583"/>
      <c r="C72" s="583"/>
      <c r="D72" s="583"/>
      <c r="E72" s="583"/>
      <c r="F72" s="583"/>
      <c r="G72" s="583"/>
      <c r="H72" s="583"/>
      <c r="I72" s="583"/>
      <c r="J72" s="583"/>
      <c r="K72" s="583"/>
      <c r="L72" s="584"/>
      <c r="M72" s="582"/>
    </row>
    <row r="73" spans="1:13" s="595" customFormat="1" ht="55.2" x14ac:dyDescent="0.3">
      <c r="A73" s="592" t="s">
        <v>1422</v>
      </c>
      <c r="B73" s="593"/>
      <c r="C73" s="593"/>
      <c r="D73" s="593"/>
      <c r="E73" s="593"/>
      <c r="F73" s="593"/>
      <c r="G73" s="593"/>
      <c r="H73" s="593"/>
      <c r="I73" s="593"/>
      <c r="J73" s="593"/>
      <c r="K73" s="593"/>
      <c r="L73" s="594"/>
      <c r="M73" s="592" t="s">
        <v>1423</v>
      </c>
    </row>
    <row r="74" spans="1:13" s="586" customFormat="1" ht="55.2" hidden="1" x14ac:dyDescent="0.3">
      <c r="A74" s="582" t="s">
        <v>1424</v>
      </c>
      <c r="B74" s="583"/>
      <c r="C74" s="583"/>
      <c r="D74" s="583"/>
      <c r="E74" s="583"/>
      <c r="F74" s="583"/>
      <c r="G74" s="583"/>
      <c r="H74" s="583"/>
      <c r="I74" s="583"/>
      <c r="J74" s="583"/>
      <c r="K74" s="583"/>
      <c r="L74" s="584"/>
      <c r="M74" s="582"/>
    </row>
    <row r="75" spans="1:13" s="586" customFormat="1" ht="41.4" x14ac:dyDescent="0.3">
      <c r="A75" s="582" t="s">
        <v>1425</v>
      </c>
      <c r="B75" s="583"/>
      <c r="C75" s="583">
        <v>4372.5</v>
      </c>
      <c r="D75" s="583"/>
      <c r="E75" s="583"/>
      <c r="F75" s="583"/>
      <c r="G75" s="583"/>
      <c r="H75" s="583"/>
      <c r="I75" s="583"/>
      <c r="J75" s="583"/>
      <c r="K75" s="583"/>
      <c r="L75" s="584"/>
      <c r="M75" s="582" t="s">
        <v>1426</v>
      </c>
    </row>
    <row r="76" spans="1:13" s="586" customFormat="1" ht="41.4" hidden="1" x14ac:dyDescent="0.3">
      <c r="A76" s="582" t="s">
        <v>1427</v>
      </c>
      <c r="B76" s="583"/>
      <c r="C76" s="583"/>
      <c r="D76" s="583"/>
      <c r="E76" s="583"/>
      <c r="F76" s="583"/>
      <c r="G76" s="583"/>
      <c r="H76" s="583"/>
      <c r="I76" s="583"/>
      <c r="J76" s="583"/>
      <c r="K76" s="583"/>
      <c r="L76" s="584"/>
      <c r="M76" s="582"/>
    </row>
    <row r="77" spans="1:13" s="586" customFormat="1" ht="41.4" hidden="1" x14ac:dyDescent="0.3">
      <c r="A77" s="582" t="s">
        <v>1428</v>
      </c>
      <c r="B77" s="583"/>
      <c r="C77" s="583"/>
      <c r="D77" s="583"/>
      <c r="E77" s="583"/>
      <c r="F77" s="583"/>
      <c r="G77" s="583"/>
      <c r="H77" s="583"/>
      <c r="I77" s="583"/>
      <c r="J77" s="583"/>
      <c r="K77" s="583"/>
      <c r="L77" s="584"/>
      <c r="M77" s="582"/>
    </row>
    <row r="78" spans="1:13" s="586" customFormat="1" ht="69" hidden="1" x14ac:dyDescent="0.3">
      <c r="A78" s="582" t="s">
        <v>1429</v>
      </c>
      <c r="B78" s="583"/>
      <c r="C78" s="583"/>
      <c r="D78" s="583"/>
      <c r="E78" s="583"/>
      <c r="F78" s="583"/>
      <c r="G78" s="583"/>
      <c r="H78" s="583"/>
      <c r="I78" s="583"/>
      <c r="J78" s="583"/>
      <c r="K78" s="583"/>
      <c r="L78" s="584"/>
      <c r="M78" s="582"/>
    </row>
    <row r="79" spans="1:13" s="586" customFormat="1" ht="55.2" hidden="1" x14ac:dyDescent="0.3">
      <c r="A79" s="582" t="s">
        <v>1430</v>
      </c>
      <c r="B79" s="583"/>
      <c r="C79" s="583"/>
      <c r="D79" s="583"/>
      <c r="E79" s="583"/>
      <c r="F79" s="583"/>
      <c r="G79" s="583"/>
      <c r="H79" s="583"/>
      <c r="I79" s="583"/>
      <c r="J79" s="583"/>
      <c r="K79" s="583"/>
      <c r="L79" s="584"/>
      <c r="M79" s="582"/>
    </row>
    <row r="80" spans="1:13" s="586" customFormat="1" ht="55.2" hidden="1" x14ac:dyDescent="0.3">
      <c r="A80" s="582" t="s">
        <v>1431</v>
      </c>
      <c r="B80" s="583"/>
      <c r="C80" s="583"/>
      <c r="D80" s="583"/>
      <c r="E80" s="583"/>
      <c r="F80" s="583"/>
      <c r="G80" s="583"/>
      <c r="H80" s="583"/>
      <c r="I80" s="583"/>
      <c r="J80" s="583"/>
      <c r="K80" s="583"/>
      <c r="L80" s="584"/>
      <c r="M80" s="582"/>
    </row>
    <row r="81" spans="1:13" s="586" customFormat="1" ht="69" hidden="1" x14ac:dyDescent="0.3">
      <c r="A81" s="582" t="s">
        <v>1432</v>
      </c>
      <c r="B81" s="583"/>
      <c r="C81" s="583"/>
      <c r="D81" s="583"/>
      <c r="E81" s="583"/>
      <c r="F81" s="583"/>
      <c r="G81" s="583"/>
      <c r="H81" s="583"/>
      <c r="I81" s="583"/>
      <c r="J81" s="583"/>
      <c r="K81" s="583"/>
      <c r="L81" s="584"/>
      <c r="M81" s="582"/>
    </row>
    <row r="82" spans="1:13" s="586" customFormat="1" ht="41.4" x14ac:dyDescent="0.3">
      <c r="A82" s="582" t="s">
        <v>1433</v>
      </c>
      <c r="B82" s="583"/>
      <c r="C82" s="583">
        <v>38000</v>
      </c>
      <c r="D82" s="583"/>
      <c r="E82" s="583"/>
      <c r="F82" s="583"/>
      <c r="G82" s="583"/>
      <c r="H82" s="583"/>
      <c r="I82" s="583"/>
      <c r="J82" s="583"/>
      <c r="K82" s="583"/>
      <c r="L82" s="584"/>
      <c r="M82" s="582" t="s">
        <v>1434</v>
      </c>
    </row>
    <row r="83" spans="1:13" s="586" customFormat="1" ht="41.4" hidden="1" x14ac:dyDescent="0.3">
      <c r="A83" s="582" t="s">
        <v>1435</v>
      </c>
      <c r="B83" s="583"/>
      <c r="C83" s="583"/>
      <c r="D83" s="583"/>
      <c r="E83" s="583"/>
      <c r="F83" s="583"/>
      <c r="G83" s="583"/>
      <c r="H83" s="583"/>
      <c r="I83" s="583"/>
      <c r="J83" s="583"/>
      <c r="K83" s="583"/>
      <c r="L83" s="584"/>
      <c r="M83" s="582"/>
    </row>
    <row r="84" spans="1:13" s="586" customFormat="1" ht="55.2" x14ac:dyDescent="0.3">
      <c r="A84" s="582" t="s">
        <v>1436</v>
      </c>
      <c r="B84" s="583">
        <v>3606</v>
      </c>
      <c r="C84" s="583"/>
      <c r="D84" s="583"/>
      <c r="E84" s="583"/>
      <c r="F84" s="583"/>
      <c r="G84" s="583"/>
      <c r="H84" s="583"/>
      <c r="I84" s="583"/>
      <c r="J84" s="583"/>
      <c r="K84" s="583"/>
      <c r="L84" s="584"/>
      <c r="M84" s="582" t="s">
        <v>1437</v>
      </c>
    </row>
    <row r="85" spans="1:13" s="586" customFormat="1" ht="27.6" hidden="1" x14ac:dyDescent="0.3">
      <c r="A85" s="582" t="s">
        <v>1438</v>
      </c>
      <c r="B85" s="583"/>
      <c r="C85" s="583"/>
      <c r="D85" s="583"/>
      <c r="E85" s="583"/>
      <c r="F85" s="583"/>
      <c r="G85" s="583"/>
      <c r="H85" s="583"/>
      <c r="I85" s="583"/>
      <c r="J85" s="583"/>
      <c r="K85" s="583"/>
      <c r="L85" s="584"/>
      <c r="M85" s="582"/>
    </row>
    <row r="86" spans="1:13" s="586" customFormat="1" ht="41.4" x14ac:dyDescent="0.3">
      <c r="A86" s="582" t="s">
        <v>1439</v>
      </c>
      <c r="B86" s="583"/>
      <c r="C86" s="583">
        <v>132400</v>
      </c>
      <c r="D86" s="583"/>
      <c r="E86" s="583"/>
      <c r="F86" s="583"/>
      <c r="G86" s="583"/>
      <c r="H86" s="583"/>
      <c r="I86" s="583"/>
      <c r="J86" s="583"/>
      <c r="K86" s="583"/>
      <c r="L86" s="584"/>
      <c r="M86" s="582" t="s">
        <v>1440</v>
      </c>
    </row>
    <row r="87" spans="1:13" s="586" customFormat="1" ht="41.4" hidden="1" x14ac:dyDescent="0.3">
      <c r="A87" s="582" t="s">
        <v>1441</v>
      </c>
      <c r="B87" s="583"/>
      <c r="C87" s="583"/>
      <c r="D87" s="583"/>
      <c r="E87" s="583"/>
      <c r="F87" s="583"/>
      <c r="G87" s="583"/>
      <c r="H87" s="583"/>
      <c r="I87" s="583"/>
      <c r="J87" s="583"/>
      <c r="K87" s="583"/>
      <c r="L87" s="584"/>
      <c r="M87" s="582"/>
    </row>
    <row r="88" spans="1:13" s="586" customFormat="1" ht="55.2" x14ac:dyDescent="0.3">
      <c r="A88" s="582" t="s">
        <v>1442</v>
      </c>
      <c r="B88" s="583">
        <v>4996</v>
      </c>
      <c r="C88" s="583"/>
      <c r="D88" s="583"/>
      <c r="E88" s="583"/>
      <c r="F88" s="583"/>
      <c r="G88" s="583"/>
      <c r="H88" s="583"/>
      <c r="I88" s="583"/>
      <c r="J88" s="583"/>
      <c r="K88" s="583"/>
      <c r="L88" s="584"/>
      <c r="M88" s="582" t="s">
        <v>1443</v>
      </c>
    </row>
    <row r="89" spans="1:13" s="586" customFormat="1" ht="55.2" hidden="1" x14ac:dyDescent="0.3">
      <c r="A89" s="582" t="s">
        <v>1444</v>
      </c>
      <c r="B89" s="583"/>
      <c r="C89" s="583"/>
      <c r="D89" s="583"/>
      <c r="E89" s="583"/>
      <c r="F89" s="583"/>
      <c r="G89" s="583"/>
      <c r="H89" s="583"/>
      <c r="I89" s="583"/>
      <c r="J89" s="583"/>
      <c r="K89" s="583"/>
      <c r="L89" s="584"/>
      <c r="M89" s="582"/>
    </row>
    <row r="90" spans="1:13" s="586" customFormat="1" ht="41.4" hidden="1" x14ac:dyDescent="0.3">
      <c r="A90" s="582" t="s">
        <v>1445</v>
      </c>
      <c r="B90" s="583"/>
      <c r="C90" s="583"/>
      <c r="D90" s="583"/>
      <c r="E90" s="583"/>
      <c r="F90" s="583"/>
      <c r="G90" s="583"/>
      <c r="H90" s="583"/>
      <c r="I90" s="583"/>
      <c r="J90" s="583"/>
      <c r="K90" s="583"/>
      <c r="L90" s="584"/>
      <c r="M90" s="582"/>
    </row>
    <row r="91" spans="1:13" s="586" customFormat="1" ht="55.2" hidden="1" x14ac:dyDescent="0.3">
      <c r="A91" s="582" t="s">
        <v>1446</v>
      </c>
      <c r="B91" s="583"/>
      <c r="C91" s="583"/>
      <c r="D91" s="583"/>
      <c r="E91" s="583"/>
      <c r="F91" s="583"/>
      <c r="G91" s="583"/>
      <c r="H91" s="583"/>
      <c r="I91" s="583"/>
      <c r="J91" s="583"/>
      <c r="K91" s="583"/>
      <c r="L91" s="584"/>
      <c r="M91" s="582"/>
    </row>
    <row r="92" spans="1:13" s="586" customFormat="1" ht="27.6" hidden="1" x14ac:dyDescent="0.3">
      <c r="A92" s="582" t="s">
        <v>1447</v>
      </c>
      <c r="B92" s="583"/>
      <c r="C92" s="583"/>
      <c r="D92" s="583"/>
      <c r="E92" s="583"/>
      <c r="F92" s="583"/>
      <c r="G92" s="583"/>
      <c r="H92" s="583"/>
      <c r="I92" s="583"/>
      <c r="J92" s="583"/>
      <c r="K92" s="583"/>
      <c r="L92" s="584"/>
      <c r="M92" s="582"/>
    </row>
    <row r="93" spans="1:13" s="586" customFormat="1" ht="41.4" hidden="1" x14ac:dyDescent="0.3">
      <c r="A93" s="582" t="s">
        <v>1448</v>
      </c>
      <c r="B93" s="583"/>
      <c r="C93" s="583"/>
      <c r="D93" s="583"/>
      <c r="E93" s="583"/>
      <c r="F93" s="583"/>
      <c r="G93" s="583"/>
      <c r="H93" s="583"/>
      <c r="I93" s="583"/>
      <c r="J93" s="583"/>
      <c r="K93" s="583"/>
      <c r="L93" s="584"/>
      <c r="M93" s="582"/>
    </row>
    <row r="94" spans="1:13" s="586" customFormat="1" ht="41.4" hidden="1" x14ac:dyDescent="0.3">
      <c r="A94" s="582" t="s">
        <v>1449</v>
      </c>
      <c r="B94" s="583"/>
      <c r="C94" s="583"/>
      <c r="D94" s="583"/>
      <c r="E94" s="583"/>
      <c r="F94" s="583"/>
      <c r="G94" s="583"/>
      <c r="H94" s="583"/>
      <c r="I94" s="583"/>
      <c r="J94" s="583"/>
      <c r="K94" s="583"/>
      <c r="L94" s="584"/>
      <c r="M94" s="582"/>
    </row>
    <row r="95" spans="1:13" s="586" customFormat="1" ht="27.6" hidden="1" x14ac:dyDescent="0.3">
      <c r="A95" s="582" t="s">
        <v>1450</v>
      </c>
      <c r="B95" s="583"/>
      <c r="C95" s="583"/>
      <c r="D95" s="583"/>
      <c r="E95" s="583"/>
      <c r="F95" s="583"/>
      <c r="G95" s="583"/>
      <c r="H95" s="583"/>
      <c r="I95" s="583"/>
      <c r="J95" s="583"/>
      <c r="K95" s="583"/>
      <c r="L95" s="584"/>
      <c r="M95" s="582"/>
    </row>
    <row r="96" spans="1:13" s="586" customFormat="1" ht="41.4" hidden="1" x14ac:dyDescent="0.3">
      <c r="A96" s="582" t="s">
        <v>1451</v>
      </c>
      <c r="B96" s="583"/>
      <c r="C96" s="583"/>
      <c r="D96" s="583"/>
      <c r="E96" s="583"/>
      <c r="F96" s="583"/>
      <c r="G96" s="583"/>
      <c r="H96" s="583"/>
      <c r="I96" s="583"/>
      <c r="J96" s="583"/>
      <c r="K96" s="583"/>
      <c r="L96" s="584"/>
      <c r="M96" s="582"/>
    </row>
    <row r="97" spans="1:13" s="586" customFormat="1" ht="41.4" hidden="1" x14ac:dyDescent="0.3">
      <c r="A97" s="582" t="s">
        <v>1452</v>
      </c>
      <c r="B97" s="583"/>
      <c r="C97" s="583"/>
      <c r="D97" s="583"/>
      <c r="E97" s="583"/>
      <c r="F97" s="583"/>
      <c r="G97" s="583"/>
      <c r="H97" s="583"/>
      <c r="I97" s="583"/>
      <c r="J97" s="583"/>
      <c r="K97" s="583"/>
      <c r="L97" s="584"/>
      <c r="M97" s="582"/>
    </row>
    <row r="98" spans="1:13" s="586" customFormat="1" ht="41.4" x14ac:dyDescent="0.3">
      <c r="A98" s="582" t="s">
        <v>1453</v>
      </c>
      <c r="B98" s="583">
        <v>20176</v>
      </c>
      <c r="C98" s="583">
        <v>5071</v>
      </c>
      <c r="D98" s="583">
        <v>40</v>
      </c>
      <c r="E98" s="583">
        <v>0.5</v>
      </c>
      <c r="F98" s="583"/>
      <c r="G98" s="583"/>
      <c r="H98" s="583"/>
      <c r="I98" s="583"/>
      <c r="J98" s="583"/>
      <c r="K98" s="583"/>
      <c r="L98" s="584"/>
      <c r="M98" s="590" t="s">
        <v>1454</v>
      </c>
    </row>
    <row r="99" spans="1:13" s="586" customFormat="1" ht="41.4" hidden="1" x14ac:dyDescent="0.3">
      <c r="A99" s="582" t="s">
        <v>1455</v>
      </c>
      <c r="B99" s="583"/>
      <c r="C99" s="583"/>
      <c r="D99" s="583"/>
      <c r="E99" s="583"/>
      <c r="F99" s="583"/>
      <c r="G99" s="583"/>
      <c r="H99" s="583"/>
      <c r="I99" s="583"/>
      <c r="J99" s="583"/>
      <c r="K99" s="583"/>
      <c r="L99" s="584"/>
      <c r="M99" s="582"/>
    </row>
    <row r="100" spans="1:13" s="586" customFormat="1" ht="41.4" hidden="1" x14ac:dyDescent="0.3">
      <c r="A100" s="582" t="s">
        <v>1456</v>
      </c>
      <c r="B100" s="583"/>
      <c r="C100" s="583"/>
      <c r="D100" s="583"/>
      <c r="E100" s="583"/>
      <c r="F100" s="583"/>
      <c r="G100" s="583"/>
      <c r="H100" s="583"/>
      <c r="I100" s="583"/>
      <c r="J100" s="583"/>
      <c r="K100" s="583"/>
      <c r="L100" s="584"/>
      <c r="M100" s="582"/>
    </row>
    <row r="101" spans="1:13" s="586" customFormat="1" ht="41.4" hidden="1" x14ac:dyDescent="0.3">
      <c r="A101" s="582" t="s">
        <v>1457</v>
      </c>
      <c r="B101" s="583"/>
      <c r="C101" s="583"/>
      <c r="D101" s="583"/>
      <c r="E101" s="583"/>
      <c r="F101" s="583"/>
      <c r="G101" s="583"/>
      <c r="H101" s="583"/>
      <c r="I101" s="583"/>
      <c r="J101" s="583"/>
      <c r="K101" s="583"/>
      <c r="L101" s="584"/>
      <c r="M101" s="582"/>
    </row>
    <row r="102" spans="1:13" s="586" customFormat="1" ht="55.2" hidden="1" x14ac:dyDescent="0.3">
      <c r="A102" s="582" t="s">
        <v>1458</v>
      </c>
      <c r="B102" s="583"/>
      <c r="C102" s="583"/>
      <c r="D102" s="583"/>
      <c r="E102" s="583"/>
      <c r="F102" s="583"/>
      <c r="G102" s="583"/>
      <c r="H102" s="583"/>
      <c r="I102" s="583"/>
      <c r="J102" s="583"/>
      <c r="K102" s="583"/>
      <c r="L102" s="584"/>
      <c r="M102" s="582"/>
    </row>
    <row r="103" spans="1:13" s="586" customFormat="1" ht="41.4" hidden="1" x14ac:dyDescent="0.3">
      <c r="A103" s="582" t="s">
        <v>1459</v>
      </c>
      <c r="B103" s="583"/>
      <c r="C103" s="583"/>
      <c r="D103" s="583"/>
      <c r="E103" s="583"/>
      <c r="F103" s="583"/>
      <c r="G103" s="583"/>
      <c r="H103" s="583"/>
      <c r="I103" s="583"/>
      <c r="J103" s="583"/>
      <c r="K103" s="583"/>
      <c r="L103" s="584"/>
      <c r="M103" s="582"/>
    </row>
    <row r="104" spans="1:13" s="586" customFormat="1" ht="41.4" hidden="1" x14ac:dyDescent="0.3">
      <c r="A104" s="582" t="s">
        <v>1460</v>
      </c>
      <c r="B104" s="583"/>
      <c r="C104" s="583"/>
      <c r="D104" s="583"/>
      <c r="E104" s="583"/>
      <c r="F104" s="583"/>
      <c r="G104" s="583"/>
      <c r="H104" s="583"/>
      <c r="I104" s="583"/>
      <c r="J104" s="583"/>
      <c r="K104" s="583"/>
      <c r="L104" s="584"/>
      <c r="M104" s="582"/>
    </row>
    <row r="105" spans="1:13" s="586" customFormat="1" ht="41.4" hidden="1" x14ac:dyDescent="0.3">
      <c r="A105" s="582" t="s">
        <v>1461</v>
      </c>
      <c r="B105" s="583"/>
      <c r="C105" s="583"/>
      <c r="D105" s="583"/>
      <c r="E105" s="583"/>
      <c r="F105" s="583"/>
      <c r="G105" s="583"/>
      <c r="H105" s="583"/>
      <c r="I105" s="583"/>
      <c r="J105" s="583"/>
      <c r="K105" s="583"/>
      <c r="L105" s="584"/>
      <c r="M105" s="582"/>
    </row>
    <row r="106" spans="1:13" s="586" customFormat="1" ht="27.6" hidden="1" x14ac:dyDescent="0.3">
      <c r="A106" s="582" t="s">
        <v>1462</v>
      </c>
      <c r="B106" s="583"/>
      <c r="C106" s="583"/>
      <c r="D106" s="583"/>
      <c r="E106" s="583"/>
      <c r="F106" s="583"/>
      <c r="G106" s="583"/>
      <c r="H106" s="583"/>
      <c r="I106" s="583"/>
      <c r="J106" s="583"/>
      <c r="K106" s="583"/>
      <c r="L106" s="584"/>
      <c r="M106" s="582"/>
    </row>
    <row r="107" spans="1:13" s="586" customFormat="1" ht="41.4" hidden="1" x14ac:dyDescent="0.3">
      <c r="A107" s="582" t="s">
        <v>1463</v>
      </c>
      <c r="B107" s="583"/>
      <c r="C107" s="583"/>
      <c r="D107" s="583"/>
      <c r="E107" s="583"/>
      <c r="F107" s="583"/>
      <c r="G107" s="583"/>
      <c r="H107" s="583"/>
      <c r="I107" s="583"/>
      <c r="J107" s="583"/>
      <c r="K107" s="583"/>
      <c r="L107" s="584"/>
      <c r="M107" s="582"/>
    </row>
    <row r="108" spans="1:13" s="586" customFormat="1" ht="27.6" hidden="1" x14ac:dyDescent="0.3">
      <c r="A108" s="582" t="s">
        <v>1464</v>
      </c>
      <c r="B108" s="583"/>
      <c r="C108" s="583"/>
      <c r="D108" s="583"/>
      <c r="E108" s="583"/>
      <c r="F108" s="583"/>
      <c r="G108" s="583"/>
      <c r="H108" s="583"/>
      <c r="I108" s="583"/>
      <c r="J108" s="583"/>
      <c r="K108" s="583"/>
      <c r="L108" s="584"/>
      <c r="M108" s="582"/>
    </row>
    <row r="109" spans="1:13" s="586" customFormat="1" ht="27.6" hidden="1" x14ac:dyDescent="0.3">
      <c r="A109" s="582" t="s">
        <v>1465</v>
      </c>
      <c r="B109" s="583"/>
      <c r="C109" s="583"/>
      <c r="D109" s="583"/>
      <c r="E109" s="583"/>
      <c r="F109" s="583"/>
      <c r="G109" s="583"/>
      <c r="H109" s="583"/>
      <c r="I109" s="583"/>
      <c r="J109" s="583"/>
      <c r="K109" s="583"/>
      <c r="L109" s="584"/>
      <c r="M109" s="582"/>
    </row>
    <row r="110" spans="1:13" s="586" customFormat="1" ht="41.4" hidden="1" x14ac:dyDescent="0.3">
      <c r="A110" s="582" t="s">
        <v>1466</v>
      </c>
      <c r="B110" s="583"/>
      <c r="C110" s="583"/>
      <c r="D110" s="583"/>
      <c r="E110" s="583"/>
      <c r="F110" s="583"/>
      <c r="G110" s="583"/>
      <c r="H110" s="583"/>
      <c r="I110" s="583"/>
      <c r="J110" s="583"/>
      <c r="K110" s="583"/>
      <c r="L110" s="584"/>
      <c r="M110" s="582"/>
    </row>
    <row r="111" spans="1:13" s="586" customFormat="1" ht="41.4" x14ac:dyDescent="0.3">
      <c r="A111" s="582" t="s">
        <v>1467</v>
      </c>
      <c r="B111" s="583"/>
      <c r="C111" s="583"/>
      <c r="D111" s="583">
        <v>2464</v>
      </c>
      <c r="E111" s="583"/>
      <c r="F111" s="583"/>
      <c r="G111" s="583"/>
      <c r="H111" s="583"/>
      <c r="I111" s="583"/>
      <c r="J111" s="583"/>
      <c r="K111" s="583"/>
      <c r="L111" s="584"/>
      <c r="M111" s="582" t="s">
        <v>1468</v>
      </c>
    </row>
    <row r="112" spans="1:13" s="586" customFormat="1" ht="55.2" x14ac:dyDescent="0.3">
      <c r="A112" s="582" t="s">
        <v>1469</v>
      </c>
      <c r="B112" s="583"/>
      <c r="C112" s="583">
        <v>17932.5</v>
      </c>
      <c r="D112" s="583">
        <v>25350.5</v>
      </c>
      <c r="E112" s="583">
        <v>32600</v>
      </c>
      <c r="F112" s="583"/>
      <c r="G112" s="583"/>
      <c r="H112" s="583"/>
      <c r="I112" s="583"/>
      <c r="J112" s="583"/>
      <c r="K112" s="583"/>
      <c r="L112" s="584"/>
      <c r="M112" s="582" t="s">
        <v>1393</v>
      </c>
    </row>
    <row r="113" spans="1:13" s="586" customFormat="1" ht="27.6" hidden="1" x14ac:dyDescent="0.3">
      <c r="A113" s="582" t="s">
        <v>1470</v>
      </c>
      <c r="B113" s="583"/>
      <c r="C113" s="583"/>
      <c r="D113" s="583"/>
      <c r="E113" s="583"/>
      <c r="F113" s="583"/>
      <c r="G113" s="583"/>
      <c r="H113" s="583"/>
      <c r="I113" s="583"/>
      <c r="J113" s="583"/>
      <c r="K113" s="583"/>
      <c r="L113" s="584"/>
      <c r="M113" s="582"/>
    </row>
    <row r="114" spans="1:13" s="586" customFormat="1" ht="41.4" hidden="1" x14ac:dyDescent="0.3">
      <c r="A114" s="582" t="s">
        <v>1471</v>
      </c>
      <c r="B114" s="583"/>
      <c r="C114" s="583"/>
      <c r="D114" s="583"/>
      <c r="E114" s="583"/>
      <c r="F114" s="583"/>
      <c r="G114" s="583"/>
      <c r="H114" s="583"/>
      <c r="I114" s="583"/>
      <c r="J114" s="583"/>
      <c r="K114" s="583"/>
      <c r="L114" s="584"/>
      <c r="M114" s="582"/>
    </row>
    <row r="115" spans="1:13" s="586" customFormat="1" ht="41.4" x14ac:dyDescent="0.3">
      <c r="A115" s="582" t="s">
        <v>1472</v>
      </c>
      <c r="B115" s="583"/>
      <c r="C115" s="583"/>
      <c r="D115" s="583">
        <v>68000</v>
      </c>
      <c r="E115" s="583"/>
      <c r="F115" s="583"/>
      <c r="G115" s="583"/>
      <c r="H115" s="583"/>
      <c r="I115" s="583"/>
      <c r="J115" s="583"/>
      <c r="K115" s="583"/>
      <c r="L115" s="584"/>
      <c r="M115" s="582" t="s">
        <v>1473</v>
      </c>
    </row>
    <row r="116" spans="1:13" s="586" customFormat="1" ht="41.4" x14ac:dyDescent="0.3">
      <c r="A116" s="582" t="s">
        <v>1474</v>
      </c>
      <c r="B116" s="583">
        <v>30756</v>
      </c>
      <c r="C116" s="583"/>
      <c r="D116" s="583"/>
      <c r="E116" s="583"/>
      <c r="F116" s="583"/>
      <c r="G116" s="583"/>
      <c r="H116" s="583"/>
      <c r="I116" s="583"/>
      <c r="J116" s="583"/>
      <c r="K116" s="583"/>
      <c r="L116" s="584"/>
      <c r="M116" s="582" t="s">
        <v>1475</v>
      </c>
    </row>
    <row r="117" spans="1:13" s="586" customFormat="1" ht="55.2" hidden="1" x14ac:dyDescent="0.3">
      <c r="A117" s="582" t="s">
        <v>1476</v>
      </c>
      <c r="B117" s="583"/>
      <c r="C117" s="583"/>
      <c r="D117" s="583"/>
      <c r="E117" s="583"/>
      <c r="F117" s="583"/>
      <c r="G117" s="583"/>
      <c r="H117" s="583"/>
      <c r="I117" s="583"/>
      <c r="J117" s="583"/>
      <c r="K117" s="583"/>
      <c r="L117" s="584"/>
      <c r="M117" s="582"/>
    </row>
    <row r="118" spans="1:13" s="586" customFormat="1" ht="55.2" hidden="1" x14ac:dyDescent="0.3">
      <c r="A118" s="582" t="s">
        <v>1477</v>
      </c>
      <c r="B118" s="583"/>
      <c r="C118" s="583"/>
      <c r="D118" s="583"/>
      <c r="E118" s="583"/>
      <c r="F118" s="583"/>
      <c r="G118" s="583"/>
      <c r="H118" s="583"/>
      <c r="I118" s="583"/>
      <c r="J118" s="583"/>
      <c r="K118" s="583"/>
      <c r="L118" s="584"/>
      <c r="M118" s="582"/>
    </row>
    <row r="119" spans="1:13" s="591" customFormat="1" ht="41.4" hidden="1" x14ac:dyDescent="0.3">
      <c r="A119" s="582" t="s">
        <v>1478</v>
      </c>
      <c r="B119" s="583"/>
      <c r="C119" s="583"/>
      <c r="D119" s="583"/>
      <c r="E119" s="583"/>
      <c r="F119" s="583"/>
      <c r="G119" s="583"/>
      <c r="H119" s="583"/>
      <c r="I119" s="583"/>
      <c r="J119" s="583"/>
      <c r="K119" s="583"/>
      <c r="L119" s="584"/>
      <c r="M119" s="582"/>
    </row>
    <row r="120" spans="1:13" s="595" customFormat="1" hidden="1" x14ac:dyDescent="0.3">
      <c r="A120" s="592" t="s">
        <v>1479</v>
      </c>
      <c r="B120" s="593"/>
      <c r="C120" s="593"/>
      <c r="D120" s="593"/>
      <c r="E120" s="593"/>
      <c r="F120" s="593"/>
      <c r="G120" s="593"/>
      <c r="H120" s="593"/>
      <c r="I120" s="593"/>
      <c r="J120" s="593"/>
      <c r="K120" s="593"/>
      <c r="L120" s="594"/>
      <c r="M120" s="592"/>
    </row>
    <row r="121" spans="1:13" s="586" customFormat="1" ht="55.2" hidden="1" x14ac:dyDescent="0.3">
      <c r="A121" s="582" t="s">
        <v>1480</v>
      </c>
      <c r="B121" s="583"/>
      <c r="C121" s="583"/>
      <c r="D121" s="583"/>
      <c r="E121" s="583"/>
      <c r="F121" s="583"/>
      <c r="G121" s="583"/>
      <c r="H121" s="583"/>
      <c r="I121" s="583"/>
      <c r="J121" s="583"/>
      <c r="K121" s="583"/>
      <c r="L121" s="584"/>
      <c r="M121" s="582"/>
    </row>
    <row r="122" spans="1:13" s="586" customFormat="1" ht="27.6" x14ac:dyDescent="0.3">
      <c r="A122" s="582" t="s">
        <v>1481</v>
      </c>
      <c r="B122" s="583"/>
      <c r="C122" s="583">
        <v>10345.91</v>
      </c>
      <c r="D122" s="583"/>
      <c r="E122" s="583">
        <v>2574.61</v>
      </c>
      <c r="F122" s="583"/>
      <c r="G122" s="583"/>
      <c r="H122" s="583"/>
      <c r="I122" s="583"/>
      <c r="J122" s="583"/>
      <c r="K122" s="583"/>
      <c r="L122" s="584"/>
      <c r="M122" s="589" t="s">
        <v>1482</v>
      </c>
    </row>
    <row r="123" spans="1:13" s="586" customFormat="1" ht="41.4" hidden="1" x14ac:dyDescent="0.3">
      <c r="A123" s="582" t="s">
        <v>1483</v>
      </c>
      <c r="B123" s="583"/>
      <c r="C123" s="583"/>
      <c r="D123" s="583"/>
      <c r="E123" s="583"/>
      <c r="F123" s="583"/>
      <c r="G123" s="583"/>
      <c r="H123" s="583"/>
      <c r="I123" s="583"/>
      <c r="J123" s="583"/>
      <c r="K123" s="583"/>
      <c r="L123" s="584"/>
      <c r="M123" s="582"/>
    </row>
    <row r="124" spans="1:13" s="586" customFormat="1" ht="27.6" hidden="1" x14ac:dyDescent="0.3">
      <c r="A124" s="582" t="s">
        <v>1484</v>
      </c>
      <c r="B124" s="583"/>
      <c r="C124" s="583"/>
      <c r="D124" s="583"/>
      <c r="E124" s="583"/>
      <c r="F124" s="583"/>
      <c r="G124" s="583"/>
      <c r="H124" s="583"/>
      <c r="I124" s="583"/>
      <c r="J124" s="583"/>
      <c r="K124" s="583"/>
      <c r="L124" s="584"/>
      <c r="M124" s="582"/>
    </row>
    <row r="125" spans="1:13" s="586" customFormat="1" ht="82.8" x14ac:dyDescent="0.3">
      <c r="A125" s="582" t="s">
        <v>1485</v>
      </c>
      <c r="B125" s="583"/>
      <c r="C125" s="583">
        <v>30937.5</v>
      </c>
      <c r="D125" s="583"/>
      <c r="E125" s="583"/>
      <c r="F125" s="583"/>
      <c r="G125" s="583"/>
      <c r="H125" s="583"/>
      <c r="I125" s="583"/>
      <c r="J125" s="583"/>
      <c r="K125" s="583"/>
      <c r="L125" s="584"/>
      <c r="M125" s="582" t="s">
        <v>1486</v>
      </c>
    </row>
    <row r="126" spans="1:13" s="586" customFormat="1" ht="27.6" hidden="1" x14ac:dyDescent="0.3">
      <c r="A126" s="582" t="s">
        <v>1487</v>
      </c>
      <c r="B126" s="583"/>
      <c r="C126" s="583"/>
      <c r="D126" s="583"/>
      <c r="E126" s="583"/>
      <c r="F126" s="583"/>
      <c r="G126" s="583"/>
      <c r="H126" s="583"/>
      <c r="I126" s="583"/>
      <c r="J126" s="583"/>
      <c r="K126" s="583"/>
      <c r="L126" s="584"/>
      <c r="M126" s="582"/>
    </row>
    <row r="127" spans="1:13" s="586" customFormat="1" ht="55.2" hidden="1" x14ac:dyDescent="0.3">
      <c r="A127" s="582" t="s">
        <v>1488</v>
      </c>
      <c r="B127" s="583"/>
      <c r="C127" s="583"/>
      <c r="D127" s="583"/>
      <c r="E127" s="583"/>
      <c r="F127" s="583"/>
      <c r="G127" s="583"/>
      <c r="H127" s="583"/>
      <c r="I127" s="583"/>
      <c r="J127" s="583"/>
      <c r="K127" s="583"/>
      <c r="L127" s="584"/>
      <c r="M127" s="582"/>
    </row>
    <row r="128" spans="1:13" s="586" customFormat="1" ht="27.6" hidden="1" x14ac:dyDescent="0.3">
      <c r="A128" s="582" t="s">
        <v>1489</v>
      </c>
      <c r="B128" s="583"/>
      <c r="C128" s="583"/>
      <c r="D128" s="583"/>
      <c r="E128" s="583"/>
      <c r="F128" s="583"/>
      <c r="G128" s="583"/>
      <c r="H128" s="583"/>
      <c r="I128" s="583"/>
      <c r="J128" s="583"/>
      <c r="K128" s="583"/>
      <c r="L128" s="584"/>
      <c r="M128" s="582"/>
    </row>
    <row r="129" spans="1:13" s="586" customFormat="1" ht="55.2" x14ac:dyDescent="0.3">
      <c r="A129" s="582" t="s">
        <v>1490</v>
      </c>
      <c r="B129" s="583">
        <v>2672</v>
      </c>
      <c r="C129" s="583"/>
      <c r="D129" s="583"/>
      <c r="E129" s="583"/>
      <c r="F129" s="583"/>
      <c r="G129" s="583"/>
      <c r="H129" s="583"/>
      <c r="I129" s="583"/>
      <c r="J129" s="583"/>
      <c r="K129" s="583"/>
      <c r="L129" s="584"/>
      <c r="M129" s="582" t="s">
        <v>1491</v>
      </c>
    </row>
    <row r="130" spans="1:13" s="586" customFormat="1" ht="41.4" hidden="1" x14ac:dyDescent="0.3">
      <c r="A130" s="582" t="s">
        <v>1492</v>
      </c>
      <c r="B130" s="583"/>
      <c r="C130" s="583"/>
      <c r="D130" s="583"/>
      <c r="E130" s="583"/>
      <c r="F130" s="583"/>
      <c r="G130" s="583"/>
      <c r="H130" s="583"/>
      <c r="I130" s="583"/>
      <c r="J130" s="583"/>
      <c r="K130" s="583"/>
      <c r="L130" s="584"/>
      <c r="M130" s="582"/>
    </row>
    <row r="131" spans="1:13" s="586" customFormat="1" ht="69" hidden="1" x14ac:dyDescent="0.3">
      <c r="A131" s="582" t="s">
        <v>1493</v>
      </c>
      <c r="B131" s="583"/>
      <c r="C131" s="583"/>
      <c r="D131" s="583"/>
      <c r="E131" s="583"/>
      <c r="F131" s="583"/>
      <c r="G131" s="583"/>
      <c r="H131" s="583"/>
      <c r="I131" s="583"/>
      <c r="J131" s="583"/>
      <c r="K131" s="583"/>
      <c r="L131" s="584"/>
      <c r="M131" s="582"/>
    </row>
    <row r="132" spans="1:13" s="586" customFormat="1" ht="27.6" hidden="1" x14ac:dyDescent="0.3">
      <c r="A132" s="582" t="s">
        <v>1494</v>
      </c>
      <c r="B132" s="583"/>
      <c r="C132" s="583"/>
      <c r="D132" s="583"/>
      <c r="E132" s="583"/>
      <c r="F132" s="583"/>
      <c r="G132" s="583"/>
      <c r="H132" s="583"/>
      <c r="I132" s="583"/>
      <c r="J132" s="583"/>
      <c r="K132" s="583"/>
      <c r="L132" s="584"/>
      <c r="M132" s="582"/>
    </row>
    <row r="133" spans="1:13" s="586" customFormat="1" ht="69" hidden="1" x14ac:dyDescent="0.3">
      <c r="A133" s="582" t="s">
        <v>1495</v>
      </c>
      <c r="B133" s="583"/>
      <c r="C133" s="583"/>
      <c r="D133" s="583"/>
      <c r="E133" s="583"/>
      <c r="F133" s="583"/>
      <c r="G133" s="583"/>
      <c r="H133" s="583"/>
      <c r="I133" s="583"/>
      <c r="J133" s="583"/>
      <c r="K133" s="583"/>
      <c r="L133" s="584"/>
      <c r="M133" s="582"/>
    </row>
    <row r="134" spans="1:13" s="586" customFormat="1" ht="41.4" hidden="1" x14ac:dyDescent="0.3">
      <c r="A134" s="582" t="s">
        <v>1496</v>
      </c>
      <c r="B134" s="583"/>
      <c r="C134" s="583"/>
      <c r="D134" s="583"/>
      <c r="E134" s="583"/>
      <c r="F134" s="583"/>
      <c r="G134" s="583"/>
      <c r="H134" s="583"/>
      <c r="I134" s="583"/>
      <c r="J134" s="583"/>
      <c r="K134" s="583"/>
      <c r="L134" s="584"/>
      <c r="M134" s="582"/>
    </row>
    <row r="135" spans="1:13" s="586" customFormat="1" ht="41.4" x14ac:dyDescent="0.3">
      <c r="A135" s="582" t="s">
        <v>1497</v>
      </c>
      <c r="B135" s="583"/>
      <c r="C135" s="583"/>
      <c r="D135" s="583"/>
      <c r="E135" s="583">
        <v>46899.27</v>
      </c>
      <c r="F135" s="583"/>
      <c r="G135" s="583"/>
      <c r="H135" s="583"/>
      <c r="I135" s="583"/>
      <c r="J135" s="583"/>
      <c r="K135" s="583"/>
      <c r="L135" s="584"/>
      <c r="M135" s="582" t="s">
        <v>1347</v>
      </c>
    </row>
    <row r="136" spans="1:13" s="586" customFormat="1" ht="124.2" hidden="1" x14ac:dyDescent="0.3">
      <c r="A136" s="582" t="s">
        <v>1498</v>
      </c>
      <c r="B136" s="583"/>
      <c r="C136" s="583"/>
      <c r="D136" s="583"/>
      <c r="E136" s="583"/>
      <c r="F136" s="583"/>
      <c r="G136" s="583"/>
      <c r="H136" s="583"/>
      <c r="I136" s="583"/>
      <c r="J136" s="583"/>
      <c r="K136" s="583"/>
      <c r="L136" s="584"/>
      <c r="M136" s="582"/>
    </row>
    <row r="137" spans="1:13" s="586" customFormat="1" ht="55.2" hidden="1" x14ac:dyDescent="0.3">
      <c r="A137" s="582" t="s">
        <v>1499</v>
      </c>
      <c r="B137" s="583"/>
      <c r="C137" s="583"/>
      <c r="D137" s="583"/>
      <c r="E137" s="583"/>
      <c r="F137" s="583"/>
      <c r="G137" s="583"/>
      <c r="H137" s="583"/>
      <c r="I137" s="583"/>
      <c r="J137" s="583"/>
      <c r="K137" s="583"/>
      <c r="L137" s="584"/>
      <c r="M137" s="582"/>
    </row>
    <row r="138" spans="1:13" s="586" customFormat="1" ht="27.6" hidden="1" x14ac:dyDescent="0.3">
      <c r="A138" s="582" t="s">
        <v>1500</v>
      </c>
      <c r="B138" s="583"/>
      <c r="C138" s="583"/>
      <c r="D138" s="583"/>
      <c r="E138" s="583"/>
      <c r="F138" s="583"/>
      <c r="G138" s="583"/>
      <c r="H138" s="583"/>
      <c r="I138" s="583"/>
      <c r="J138" s="583"/>
      <c r="K138" s="583"/>
      <c r="L138" s="584"/>
      <c r="M138" s="582"/>
    </row>
    <row r="139" spans="1:13" s="586" customFormat="1" ht="41.4" hidden="1" x14ac:dyDescent="0.3">
      <c r="A139" s="582" t="s">
        <v>1501</v>
      </c>
      <c r="B139" s="583"/>
      <c r="C139" s="583"/>
      <c r="D139" s="583"/>
      <c r="E139" s="583"/>
      <c r="F139" s="583"/>
      <c r="G139" s="583"/>
      <c r="H139" s="583"/>
      <c r="I139" s="583"/>
      <c r="J139" s="583"/>
      <c r="K139" s="583"/>
      <c r="L139" s="584"/>
      <c r="M139" s="582"/>
    </row>
    <row r="140" spans="1:13" s="586" customFormat="1" ht="55.2" hidden="1" x14ac:dyDescent="0.3">
      <c r="A140" s="582" t="s">
        <v>1502</v>
      </c>
      <c r="B140" s="583"/>
      <c r="C140" s="583"/>
      <c r="D140" s="583"/>
      <c r="E140" s="583"/>
      <c r="F140" s="583"/>
      <c r="G140" s="583"/>
      <c r="H140" s="583"/>
      <c r="I140" s="583"/>
      <c r="J140" s="583"/>
      <c r="K140" s="583"/>
      <c r="L140" s="584"/>
      <c r="M140" s="582"/>
    </row>
    <row r="141" spans="1:13" s="586" customFormat="1" ht="41.4" hidden="1" x14ac:dyDescent="0.3">
      <c r="A141" s="582" t="s">
        <v>1503</v>
      </c>
      <c r="B141" s="583"/>
      <c r="C141" s="583"/>
      <c r="D141" s="583"/>
      <c r="E141" s="583"/>
      <c r="F141" s="583"/>
      <c r="G141" s="583"/>
      <c r="H141" s="583"/>
      <c r="I141" s="583"/>
      <c r="J141" s="583"/>
      <c r="K141" s="583"/>
      <c r="L141" s="584"/>
      <c r="M141" s="582"/>
    </row>
    <row r="142" spans="1:13" s="586" customFormat="1" ht="41.4" x14ac:dyDescent="0.3">
      <c r="A142" s="582" t="s">
        <v>1504</v>
      </c>
      <c r="B142" s="583"/>
      <c r="C142" s="583"/>
      <c r="D142" s="583">
        <v>2290</v>
      </c>
      <c r="E142" s="583"/>
      <c r="F142" s="583"/>
      <c r="G142" s="583"/>
      <c r="H142" s="583"/>
      <c r="I142" s="583"/>
      <c r="J142" s="583"/>
      <c r="K142" s="583"/>
      <c r="L142" s="584"/>
      <c r="M142" s="582" t="s">
        <v>1505</v>
      </c>
    </row>
    <row r="143" spans="1:13" s="586" customFormat="1" ht="55.2" hidden="1" x14ac:dyDescent="0.3">
      <c r="A143" s="582" t="s">
        <v>1506</v>
      </c>
      <c r="B143" s="583"/>
      <c r="C143" s="583"/>
      <c r="D143" s="583"/>
      <c r="E143" s="583"/>
      <c r="F143" s="583"/>
      <c r="G143" s="583"/>
      <c r="H143" s="583"/>
      <c r="I143" s="583"/>
      <c r="J143" s="583"/>
      <c r="K143" s="583"/>
      <c r="L143" s="584"/>
      <c r="M143" s="582"/>
    </row>
    <row r="144" spans="1:13" s="586" customFormat="1" ht="41.4" hidden="1" x14ac:dyDescent="0.3">
      <c r="A144" s="582" t="s">
        <v>1507</v>
      </c>
      <c r="B144" s="583"/>
      <c r="C144" s="583"/>
      <c r="D144" s="583"/>
      <c r="E144" s="583"/>
      <c r="F144" s="583"/>
      <c r="G144" s="583"/>
      <c r="H144" s="583"/>
      <c r="I144" s="583"/>
      <c r="J144" s="583"/>
      <c r="K144" s="583"/>
      <c r="L144" s="584"/>
      <c r="M144" s="582"/>
    </row>
    <row r="145" spans="1:13" s="586" customFormat="1" ht="27.6" hidden="1" x14ac:dyDescent="0.3">
      <c r="A145" s="582" t="s">
        <v>1508</v>
      </c>
      <c r="B145" s="583"/>
      <c r="C145" s="583"/>
      <c r="D145" s="583"/>
      <c r="E145" s="583"/>
      <c r="F145" s="583"/>
      <c r="G145" s="583"/>
      <c r="H145" s="583"/>
      <c r="I145" s="583"/>
      <c r="J145" s="583"/>
      <c r="K145" s="583"/>
      <c r="L145" s="584"/>
      <c r="M145" s="582"/>
    </row>
    <row r="146" spans="1:13" s="586" customFormat="1" ht="41.4" hidden="1" x14ac:dyDescent="0.3">
      <c r="A146" s="582" t="s">
        <v>1509</v>
      </c>
      <c r="B146" s="583"/>
      <c r="C146" s="583"/>
      <c r="D146" s="583"/>
      <c r="E146" s="583"/>
      <c r="F146" s="583"/>
      <c r="G146" s="583"/>
      <c r="H146" s="583"/>
      <c r="I146" s="583"/>
      <c r="J146" s="583"/>
      <c r="K146" s="583"/>
      <c r="L146" s="584"/>
      <c r="M146" s="582"/>
    </row>
    <row r="147" spans="1:13" s="586" customFormat="1" ht="55.2" hidden="1" x14ac:dyDescent="0.3">
      <c r="A147" s="582" t="s">
        <v>1510</v>
      </c>
      <c r="B147" s="583"/>
      <c r="C147" s="583"/>
      <c r="D147" s="583"/>
      <c r="E147" s="583"/>
      <c r="F147" s="583"/>
      <c r="G147" s="583"/>
      <c r="H147" s="583"/>
      <c r="I147" s="583"/>
      <c r="J147" s="583"/>
      <c r="K147" s="583"/>
      <c r="L147" s="584"/>
      <c r="M147" s="582"/>
    </row>
    <row r="148" spans="1:13" s="586" customFormat="1" ht="41.4" hidden="1" x14ac:dyDescent="0.3">
      <c r="A148" s="582" t="s">
        <v>1511</v>
      </c>
      <c r="B148" s="583"/>
      <c r="C148" s="583"/>
      <c r="D148" s="583"/>
      <c r="E148" s="583"/>
      <c r="F148" s="583"/>
      <c r="G148" s="583"/>
      <c r="H148" s="583"/>
      <c r="I148" s="583"/>
      <c r="J148" s="583"/>
      <c r="K148" s="583"/>
      <c r="L148" s="584"/>
      <c r="M148" s="582"/>
    </row>
    <row r="149" spans="1:13" s="586" customFormat="1" ht="27.6" hidden="1" x14ac:dyDescent="0.3">
      <c r="A149" s="582" t="s">
        <v>1512</v>
      </c>
      <c r="B149" s="583"/>
      <c r="C149" s="583"/>
      <c r="D149" s="583"/>
      <c r="E149" s="583"/>
      <c r="F149" s="583"/>
      <c r="G149" s="583"/>
      <c r="H149" s="583"/>
      <c r="I149" s="583"/>
      <c r="J149" s="583"/>
      <c r="K149" s="583"/>
      <c r="L149" s="584"/>
      <c r="M149" s="582"/>
    </row>
    <row r="150" spans="1:13" s="586" customFormat="1" ht="41.4" x14ac:dyDescent="0.3">
      <c r="A150" s="582" t="s">
        <v>1513</v>
      </c>
      <c r="B150" s="583"/>
      <c r="C150" s="583"/>
      <c r="D150" s="583"/>
      <c r="E150" s="583">
        <v>6270</v>
      </c>
      <c r="F150" s="583"/>
      <c r="G150" s="583"/>
      <c r="H150" s="583"/>
      <c r="I150" s="583"/>
      <c r="J150" s="583"/>
      <c r="K150" s="583"/>
      <c r="L150" s="584"/>
      <c r="M150" s="582" t="s">
        <v>1514</v>
      </c>
    </row>
    <row r="151" spans="1:13" s="586" customFormat="1" ht="41.4" x14ac:dyDescent="0.3">
      <c r="A151" s="582" t="s">
        <v>1515</v>
      </c>
      <c r="B151" s="583"/>
      <c r="C151" s="583"/>
      <c r="D151" s="583">
        <v>20850</v>
      </c>
      <c r="E151" s="583"/>
      <c r="F151" s="583"/>
      <c r="G151" s="583"/>
      <c r="H151" s="583"/>
      <c r="I151" s="583"/>
      <c r="J151" s="583"/>
      <c r="K151" s="583"/>
      <c r="L151" s="584"/>
      <c r="M151" s="582" t="s">
        <v>1516</v>
      </c>
    </row>
    <row r="152" spans="1:13" s="586" customFormat="1" ht="41.4" hidden="1" x14ac:dyDescent="0.3">
      <c r="A152" s="582" t="s">
        <v>1517</v>
      </c>
      <c r="B152" s="583"/>
      <c r="C152" s="583"/>
      <c r="D152" s="583"/>
      <c r="E152" s="583"/>
      <c r="F152" s="583"/>
      <c r="G152" s="583"/>
      <c r="H152" s="583"/>
      <c r="I152" s="583"/>
      <c r="J152" s="583"/>
      <c r="K152" s="583"/>
      <c r="L152" s="584"/>
      <c r="M152" s="582"/>
    </row>
    <row r="153" spans="1:13" s="586" customFormat="1" ht="41.4" hidden="1" x14ac:dyDescent="0.3">
      <c r="A153" s="582" t="s">
        <v>1518</v>
      </c>
      <c r="B153" s="583"/>
      <c r="C153" s="583"/>
      <c r="D153" s="583"/>
      <c r="E153" s="583"/>
      <c r="F153" s="583"/>
      <c r="G153" s="583"/>
      <c r="H153" s="583"/>
      <c r="I153" s="583"/>
      <c r="J153" s="583"/>
      <c r="K153" s="583"/>
      <c r="L153" s="584"/>
      <c r="M153" s="582"/>
    </row>
    <row r="154" spans="1:13" s="586" customFormat="1" ht="41.4" hidden="1" x14ac:dyDescent="0.3">
      <c r="A154" s="582" t="s">
        <v>1519</v>
      </c>
      <c r="B154" s="583"/>
      <c r="C154" s="583"/>
      <c r="D154" s="583"/>
      <c r="E154" s="583"/>
      <c r="F154" s="583"/>
      <c r="G154" s="583"/>
      <c r="H154" s="583"/>
      <c r="I154" s="583"/>
      <c r="J154" s="583"/>
      <c r="K154" s="583"/>
      <c r="L154" s="584"/>
      <c r="M154" s="582"/>
    </row>
    <row r="155" spans="1:13" s="586" customFormat="1" ht="41.4" hidden="1" x14ac:dyDescent="0.3">
      <c r="A155" s="582" t="s">
        <v>1520</v>
      </c>
      <c r="B155" s="583"/>
      <c r="C155" s="583"/>
      <c r="D155" s="583"/>
      <c r="E155" s="583"/>
      <c r="F155" s="583"/>
      <c r="G155" s="583"/>
      <c r="H155" s="583"/>
      <c r="I155" s="583"/>
      <c r="J155" s="583"/>
      <c r="K155" s="583"/>
      <c r="L155" s="584"/>
      <c r="M155" s="582"/>
    </row>
    <row r="156" spans="1:13" s="586" customFormat="1" ht="41.4" hidden="1" x14ac:dyDescent="0.3">
      <c r="A156" s="582" t="s">
        <v>1521</v>
      </c>
      <c r="B156" s="583"/>
      <c r="C156" s="583"/>
      <c r="D156" s="583"/>
      <c r="E156" s="583"/>
      <c r="F156" s="583"/>
      <c r="G156" s="583"/>
      <c r="H156" s="583"/>
      <c r="I156" s="583"/>
      <c r="J156" s="583"/>
      <c r="K156" s="583"/>
      <c r="L156" s="584"/>
      <c r="M156" s="582"/>
    </row>
    <row r="157" spans="1:13" s="586" customFormat="1" ht="69" hidden="1" x14ac:dyDescent="0.3">
      <c r="A157" s="582" t="s">
        <v>1522</v>
      </c>
      <c r="B157" s="583"/>
      <c r="C157" s="583"/>
      <c r="D157" s="583"/>
      <c r="E157" s="583"/>
      <c r="F157" s="583"/>
      <c r="G157" s="583"/>
      <c r="H157" s="583"/>
      <c r="I157" s="583"/>
      <c r="J157" s="583"/>
      <c r="K157" s="583"/>
      <c r="L157" s="584"/>
      <c r="M157" s="582"/>
    </row>
    <row r="158" spans="1:13" s="586" customFormat="1" ht="41.4" x14ac:dyDescent="0.3">
      <c r="A158" s="582" t="s">
        <v>1523</v>
      </c>
      <c r="B158" s="583"/>
      <c r="C158" s="583">
        <v>14226</v>
      </c>
      <c r="D158" s="583"/>
      <c r="E158" s="583"/>
      <c r="F158" s="583"/>
      <c r="G158" s="583"/>
      <c r="H158" s="583"/>
      <c r="I158" s="583"/>
      <c r="J158" s="583"/>
      <c r="K158" s="583"/>
      <c r="L158" s="584"/>
      <c r="M158" s="582" t="s">
        <v>1524</v>
      </c>
    </row>
    <row r="159" spans="1:13" s="586" customFormat="1" ht="41.4" hidden="1" x14ac:dyDescent="0.3">
      <c r="A159" s="582" t="s">
        <v>1525</v>
      </c>
      <c r="B159" s="583"/>
      <c r="C159" s="583"/>
      <c r="D159" s="583"/>
      <c r="E159" s="583"/>
      <c r="F159" s="583"/>
      <c r="G159" s="583"/>
      <c r="H159" s="583"/>
      <c r="I159" s="583"/>
      <c r="J159" s="583"/>
      <c r="K159" s="583"/>
      <c r="L159" s="584"/>
      <c r="M159" s="582"/>
    </row>
    <row r="160" spans="1:13" s="586" customFormat="1" ht="27.6" hidden="1" x14ac:dyDescent="0.3">
      <c r="A160" s="582" t="s">
        <v>1526</v>
      </c>
      <c r="B160" s="583"/>
      <c r="C160" s="583"/>
      <c r="D160" s="583"/>
      <c r="E160" s="583"/>
      <c r="F160" s="583"/>
      <c r="G160" s="583"/>
      <c r="H160" s="583"/>
      <c r="I160" s="583"/>
      <c r="J160" s="583"/>
      <c r="K160" s="583"/>
      <c r="L160" s="584"/>
      <c r="M160" s="582"/>
    </row>
    <row r="161" spans="1:13" s="586" customFormat="1" ht="27.6" hidden="1" x14ac:dyDescent="0.3">
      <c r="A161" s="582" t="s">
        <v>1527</v>
      </c>
      <c r="B161" s="583"/>
      <c r="C161" s="583"/>
      <c r="D161" s="583"/>
      <c r="E161" s="583"/>
      <c r="F161" s="583"/>
      <c r="G161" s="583"/>
      <c r="H161" s="583"/>
      <c r="I161" s="583"/>
      <c r="J161" s="583"/>
      <c r="K161" s="583"/>
      <c r="L161" s="584"/>
      <c r="M161" s="582"/>
    </row>
    <row r="162" spans="1:13" s="586" customFormat="1" ht="55.2" hidden="1" x14ac:dyDescent="0.3">
      <c r="A162" s="582" t="s">
        <v>1528</v>
      </c>
      <c r="B162" s="583"/>
      <c r="C162" s="583"/>
      <c r="D162" s="583"/>
      <c r="E162" s="583"/>
      <c r="F162" s="583"/>
      <c r="G162" s="583"/>
      <c r="H162" s="583"/>
      <c r="I162" s="583"/>
      <c r="J162" s="583"/>
      <c r="K162" s="583"/>
      <c r="L162" s="584"/>
      <c r="M162" s="582"/>
    </row>
    <row r="163" spans="1:13" s="586" customFormat="1" ht="55.2" x14ac:dyDescent="0.3">
      <c r="A163" s="582" t="s">
        <v>1529</v>
      </c>
      <c r="B163" s="583"/>
      <c r="C163" s="583"/>
      <c r="D163" s="583"/>
      <c r="E163" s="583">
        <v>11220.8</v>
      </c>
      <c r="F163" s="583"/>
      <c r="G163" s="583"/>
      <c r="H163" s="583"/>
      <c r="I163" s="583"/>
      <c r="J163" s="583"/>
      <c r="K163" s="583"/>
      <c r="L163" s="584"/>
      <c r="M163" s="582" t="s">
        <v>1530</v>
      </c>
    </row>
    <row r="164" spans="1:13" s="586" customFormat="1" ht="69" hidden="1" x14ac:dyDescent="0.3">
      <c r="A164" s="582" t="s">
        <v>1531</v>
      </c>
      <c r="B164" s="583"/>
      <c r="C164" s="583"/>
      <c r="D164" s="583"/>
      <c r="E164" s="583"/>
      <c r="F164" s="583"/>
      <c r="G164" s="583"/>
      <c r="H164" s="583"/>
      <c r="I164" s="583"/>
      <c r="J164" s="583"/>
      <c r="K164" s="583"/>
      <c r="L164" s="584"/>
      <c r="M164" s="582"/>
    </row>
    <row r="165" spans="1:13" s="586" customFormat="1" ht="55.2" hidden="1" x14ac:dyDescent="0.3">
      <c r="A165" s="582" t="s">
        <v>1532</v>
      </c>
      <c r="B165" s="583"/>
      <c r="C165" s="583"/>
      <c r="D165" s="583"/>
      <c r="E165" s="583"/>
      <c r="F165" s="583"/>
      <c r="G165" s="583"/>
      <c r="H165" s="583"/>
      <c r="I165" s="583"/>
      <c r="J165" s="583"/>
      <c r="K165" s="583"/>
      <c r="L165" s="584"/>
      <c r="M165" s="582"/>
    </row>
    <row r="166" spans="1:13" s="586" customFormat="1" ht="41.4" x14ac:dyDescent="0.3">
      <c r="A166" s="582" t="s">
        <v>1533</v>
      </c>
      <c r="B166" s="583">
        <v>8994</v>
      </c>
      <c r="C166" s="583"/>
      <c r="D166" s="583"/>
      <c r="E166" s="583"/>
      <c r="F166" s="583"/>
      <c r="G166" s="583"/>
      <c r="H166" s="583"/>
      <c r="I166" s="583"/>
      <c r="J166" s="583"/>
      <c r="K166" s="583"/>
      <c r="L166" s="584"/>
      <c r="M166" s="582" t="s">
        <v>1534</v>
      </c>
    </row>
    <row r="167" spans="1:13" s="586" customFormat="1" ht="55.2" x14ac:dyDescent="0.3">
      <c r="A167" s="582" t="s">
        <v>1535</v>
      </c>
      <c r="B167" s="583"/>
      <c r="C167" s="583"/>
      <c r="D167" s="583"/>
      <c r="E167" s="583"/>
      <c r="F167" s="583"/>
      <c r="G167" s="583">
        <v>8980</v>
      </c>
      <c r="H167" s="583"/>
      <c r="I167" s="583"/>
      <c r="J167" s="583"/>
      <c r="K167" s="583"/>
      <c r="L167" s="584"/>
      <c r="M167" s="582" t="s">
        <v>1536</v>
      </c>
    </row>
    <row r="168" spans="1:13" s="586" customFormat="1" ht="55.2" hidden="1" x14ac:dyDescent="0.3">
      <c r="A168" s="582" t="s">
        <v>1537</v>
      </c>
      <c r="B168" s="583"/>
      <c r="C168" s="583"/>
      <c r="D168" s="583"/>
      <c r="E168" s="583"/>
      <c r="F168" s="583"/>
      <c r="G168" s="583"/>
      <c r="H168" s="583"/>
      <c r="I168" s="583"/>
      <c r="J168" s="583"/>
      <c r="K168" s="583"/>
      <c r="L168" s="584"/>
      <c r="M168" s="582"/>
    </row>
    <row r="169" spans="1:13" s="586" customFormat="1" ht="69" x14ac:dyDescent="0.3">
      <c r="A169" s="582" t="s">
        <v>1538</v>
      </c>
      <c r="B169" s="583"/>
      <c r="C169" s="583"/>
      <c r="D169" s="583">
        <v>4000</v>
      </c>
      <c r="E169" s="583"/>
      <c r="F169" s="583"/>
      <c r="G169" s="583"/>
      <c r="H169" s="583"/>
      <c r="I169" s="583"/>
      <c r="J169" s="583"/>
      <c r="K169" s="583"/>
      <c r="L169" s="584"/>
      <c r="M169" s="582" t="s">
        <v>1473</v>
      </c>
    </row>
    <row r="170" spans="1:13" s="586" customFormat="1" ht="41.4" x14ac:dyDescent="0.3">
      <c r="A170" s="582" t="s">
        <v>1539</v>
      </c>
      <c r="B170" s="583"/>
      <c r="C170" s="583"/>
      <c r="D170" s="583">
        <v>8440</v>
      </c>
      <c r="E170" s="583"/>
      <c r="F170" s="583"/>
      <c r="G170" s="583"/>
      <c r="H170" s="583"/>
      <c r="I170" s="583"/>
      <c r="J170" s="583"/>
      <c r="K170" s="583"/>
      <c r="L170" s="584"/>
      <c r="M170" s="582" t="s">
        <v>1540</v>
      </c>
    </row>
    <row r="171" spans="1:13" s="586" customFormat="1" ht="41.4" x14ac:dyDescent="0.3">
      <c r="A171" s="582" t="s">
        <v>1541</v>
      </c>
      <c r="B171" s="583"/>
      <c r="C171" s="583"/>
      <c r="D171" s="583"/>
      <c r="E171" s="583"/>
      <c r="F171" s="583"/>
      <c r="G171" s="583"/>
      <c r="H171" s="583">
        <v>8279</v>
      </c>
      <c r="I171" s="583"/>
      <c r="J171" s="583"/>
      <c r="K171" s="583"/>
      <c r="L171" s="584"/>
      <c r="M171" s="582" t="s">
        <v>1530</v>
      </c>
    </row>
    <row r="172" spans="1:13" s="586" customFormat="1" ht="41.4" x14ac:dyDescent="0.3">
      <c r="A172" s="582" t="s">
        <v>1542</v>
      </c>
      <c r="B172" s="583"/>
      <c r="C172" s="583"/>
      <c r="D172" s="583">
        <v>8000</v>
      </c>
      <c r="E172" s="583"/>
      <c r="F172" s="583"/>
      <c r="G172" s="583"/>
      <c r="H172" s="583"/>
      <c r="I172" s="583"/>
      <c r="J172" s="583"/>
      <c r="K172" s="583"/>
      <c r="L172" s="584"/>
      <c r="M172" s="582" t="s">
        <v>1473</v>
      </c>
    </row>
    <row r="173" spans="1:13" s="586" customFormat="1" ht="41.4" x14ac:dyDescent="0.3">
      <c r="A173" s="582" t="s">
        <v>1543</v>
      </c>
      <c r="B173" s="583"/>
      <c r="C173" s="583"/>
      <c r="D173" s="583">
        <v>8000</v>
      </c>
      <c r="E173" s="583"/>
      <c r="F173" s="583"/>
      <c r="G173" s="583"/>
      <c r="H173" s="583"/>
      <c r="I173" s="583"/>
      <c r="J173" s="583"/>
      <c r="K173" s="583"/>
      <c r="L173" s="584"/>
      <c r="M173" s="582" t="s">
        <v>1473</v>
      </c>
    </row>
    <row r="174" spans="1:13" s="586" customFormat="1" ht="41.4" x14ac:dyDescent="0.3">
      <c r="A174" s="582" t="s">
        <v>1544</v>
      </c>
      <c r="B174" s="583"/>
      <c r="C174" s="583"/>
      <c r="D174" s="583">
        <v>8000</v>
      </c>
      <c r="E174" s="583"/>
      <c r="F174" s="583"/>
      <c r="G174" s="583"/>
      <c r="H174" s="583"/>
      <c r="I174" s="583"/>
      <c r="J174" s="583"/>
      <c r="K174" s="583"/>
      <c r="L174" s="584"/>
      <c r="M174" s="582" t="s">
        <v>1473</v>
      </c>
    </row>
    <row r="175" spans="1:13" s="586" customFormat="1" ht="41.4" x14ac:dyDescent="0.3">
      <c r="A175" s="582" t="s">
        <v>1545</v>
      </c>
      <c r="B175" s="583"/>
      <c r="C175" s="583"/>
      <c r="D175" s="583">
        <v>8000</v>
      </c>
      <c r="E175" s="583"/>
      <c r="F175" s="583"/>
      <c r="G175" s="583"/>
      <c r="H175" s="583"/>
      <c r="I175" s="583"/>
      <c r="J175" s="583"/>
      <c r="K175" s="583"/>
      <c r="L175" s="584"/>
      <c r="M175" s="582" t="s">
        <v>1473</v>
      </c>
    </row>
    <row r="176" spans="1:13" s="586" customFormat="1" ht="27.6" x14ac:dyDescent="0.3">
      <c r="A176" s="582" t="s">
        <v>1546</v>
      </c>
      <c r="B176" s="583"/>
      <c r="C176" s="583">
        <v>7635</v>
      </c>
      <c r="D176" s="583"/>
      <c r="E176" s="583"/>
      <c r="F176" s="583"/>
      <c r="G176" s="583"/>
      <c r="H176" s="583"/>
      <c r="I176" s="583"/>
      <c r="J176" s="583"/>
      <c r="K176" s="583"/>
      <c r="L176" s="584"/>
      <c r="M176" s="582" t="s">
        <v>1547</v>
      </c>
    </row>
    <row r="177" spans="1:13" s="586" customFormat="1" ht="27.6" hidden="1" x14ac:dyDescent="0.3">
      <c r="A177" s="582" t="s">
        <v>1548</v>
      </c>
      <c r="B177" s="583"/>
      <c r="C177" s="583"/>
      <c r="D177" s="583"/>
      <c r="E177" s="583"/>
      <c r="F177" s="583"/>
      <c r="G177" s="583"/>
      <c r="H177" s="583"/>
      <c r="I177" s="583"/>
      <c r="J177" s="583"/>
      <c r="K177" s="583"/>
      <c r="L177" s="584"/>
      <c r="M177" s="582"/>
    </row>
    <row r="178" spans="1:13" s="586" customFormat="1" ht="27.6" hidden="1" x14ac:dyDescent="0.3">
      <c r="A178" s="582" t="s">
        <v>1549</v>
      </c>
      <c r="B178" s="583"/>
      <c r="C178" s="583"/>
      <c r="D178" s="583"/>
      <c r="E178" s="583"/>
      <c r="F178" s="583"/>
      <c r="G178" s="583"/>
      <c r="H178" s="583"/>
      <c r="I178" s="583"/>
      <c r="J178" s="583"/>
      <c r="K178" s="583"/>
      <c r="L178" s="584"/>
      <c r="M178" s="582"/>
    </row>
    <row r="179" spans="1:13" s="586" customFormat="1" ht="27.6" x14ac:dyDescent="0.3">
      <c r="A179" s="582" t="s">
        <v>1550</v>
      </c>
      <c r="B179" s="583"/>
      <c r="C179" s="583"/>
      <c r="D179" s="583">
        <v>6360</v>
      </c>
      <c r="E179" s="583"/>
      <c r="F179" s="583"/>
      <c r="G179" s="583"/>
      <c r="H179" s="583"/>
      <c r="I179" s="583"/>
      <c r="J179" s="583"/>
      <c r="K179" s="583"/>
      <c r="L179" s="584"/>
      <c r="M179" s="582" t="s">
        <v>1551</v>
      </c>
    </row>
    <row r="180" spans="1:13" s="586" customFormat="1" ht="27.6" hidden="1" x14ac:dyDescent="0.3">
      <c r="A180" s="582" t="s">
        <v>1552</v>
      </c>
      <c r="B180" s="583"/>
      <c r="C180" s="583"/>
      <c r="D180" s="583"/>
      <c r="E180" s="583"/>
      <c r="F180" s="583"/>
      <c r="G180" s="583"/>
      <c r="H180" s="583"/>
      <c r="I180" s="583"/>
      <c r="J180" s="583"/>
      <c r="K180" s="583"/>
      <c r="L180" s="584"/>
      <c r="M180" s="582"/>
    </row>
    <row r="181" spans="1:13" s="586" customFormat="1" ht="69" x14ac:dyDescent="0.3">
      <c r="A181" s="582" t="s">
        <v>1553</v>
      </c>
      <c r="B181" s="583"/>
      <c r="C181" s="583"/>
      <c r="D181" s="583"/>
      <c r="E181" s="583"/>
      <c r="F181" s="583"/>
      <c r="G181" s="583"/>
      <c r="H181" s="583"/>
      <c r="I181" s="583"/>
      <c r="J181" s="583">
        <v>5096</v>
      </c>
      <c r="K181" s="583"/>
      <c r="L181" s="584"/>
      <c r="M181" s="582" t="s">
        <v>1554</v>
      </c>
    </row>
    <row r="182" spans="1:13" s="586" customFormat="1" ht="41.4" x14ac:dyDescent="0.3">
      <c r="A182" s="582" t="s">
        <v>1555</v>
      </c>
      <c r="B182" s="583"/>
      <c r="C182" s="583"/>
      <c r="D182" s="583"/>
      <c r="E182" s="583"/>
      <c r="F182" s="583"/>
      <c r="G182" s="583"/>
      <c r="H182" s="583"/>
      <c r="I182" s="583"/>
      <c r="J182" s="583"/>
      <c r="K182" s="583"/>
      <c r="L182" s="584"/>
      <c r="M182" s="582" t="s">
        <v>1556</v>
      </c>
    </row>
    <row r="183" spans="1:13" s="586" customFormat="1" ht="41.4" x14ac:dyDescent="0.3">
      <c r="A183" s="582" t="s">
        <v>1557</v>
      </c>
      <c r="B183" s="583">
        <v>3000</v>
      </c>
      <c r="C183" s="583"/>
      <c r="D183" s="583"/>
      <c r="E183" s="583"/>
      <c r="F183" s="583"/>
      <c r="G183" s="583"/>
      <c r="H183" s="583"/>
      <c r="I183" s="583"/>
      <c r="J183" s="583"/>
      <c r="K183" s="583"/>
      <c r="L183" s="584"/>
      <c r="M183" s="582" t="s">
        <v>1558</v>
      </c>
    </row>
    <row r="184" spans="1:13" s="586" customFormat="1" ht="41.4" hidden="1" x14ac:dyDescent="0.3">
      <c r="A184" s="582" t="s">
        <v>1559</v>
      </c>
      <c r="B184" s="583"/>
      <c r="C184" s="583"/>
      <c r="D184" s="583"/>
      <c r="E184" s="583"/>
      <c r="F184" s="583"/>
      <c r="G184" s="583"/>
      <c r="H184" s="583"/>
      <c r="I184" s="583"/>
      <c r="J184" s="583"/>
      <c r="K184" s="583"/>
      <c r="L184" s="584"/>
      <c r="M184" s="582"/>
    </row>
    <row r="185" spans="1:13" s="586" customFormat="1" ht="41.4" x14ac:dyDescent="0.3">
      <c r="A185" s="582" t="s">
        <v>1560</v>
      </c>
      <c r="B185" s="583"/>
      <c r="C185" s="583"/>
      <c r="D185" s="583"/>
      <c r="E185" s="583"/>
      <c r="F185" s="583">
        <v>4677.12</v>
      </c>
      <c r="G185" s="583"/>
      <c r="H185" s="583"/>
      <c r="I185" s="583"/>
      <c r="J185" s="583"/>
      <c r="K185" s="583"/>
      <c r="L185" s="584"/>
      <c r="M185" s="582" t="s">
        <v>1561</v>
      </c>
    </row>
    <row r="186" spans="1:13" s="586" customFormat="1" ht="27.6" hidden="1" x14ac:dyDescent="0.3">
      <c r="A186" s="582" t="s">
        <v>1562</v>
      </c>
      <c r="B186" s="583"/>
      <c r="C186" s="583"/>
      <c r="D186" s="583"/>
      <c r="E186" s="583"/>
      <c r="F186" s="583"/>
      <c r="G186" s="583"/>
      <c r="H186" s="583"/>
      <c r="I186" s="583"/>
      <c r="J186" s="583"/>
      <c r="K186" s="583"/>
      <c r="L186" s="584"/>
      <c r="M186" s="582"/>
    </row>
    <row r="187" spans="1:13" s="586" customFormat="1" ht="41.4" hidden="1" x14ac:dyDescent="0.3">
      <c r="A187" s="582" t="s">
        <v>1563</v>
      </c>
      <c r="B187" s="583"/>
      <c r="C187" s="583"/>
      <c r="D187" s="583"/>
      <c r="E187" s="583"/>
      <c r="F187" s="583"/>
      <c r="G187" s="583"/>
      <c r="H187" s="583"/>
      <c r="I187" s="583"/>
      <c r="J187" s="583"/>
      <c r="K187" s="583"/>
      <c r="L187" s="584"/>
      <c r="M187" s="582"/>
    </row>
    <row r="188" spans="1:13" s="586" customFormat="1" ht="41.4" x14ac:dyDescent="0.3">
      <c r="A188" s="582" t="s">
        <v>1564</v>
      </c>
      <c r="B188" s="583"/>
      <c r="C188" s="583"/>
      <c r="D188" s="583">
        <v>4000</v>
      </c>
      <c r="E188" s="583"/>
      <c r="F188" s="583"/>
      <c r="G188" s="583"/>
      <c r="H188" s="583"/>
      <c r="I188" s="583"/>
      <c r="J188" s="583"/>
      <c r="K188" s="583"/>
      <c r="L188" s="584"/>
      <c r="M188" s="582" t="s">
        <v>1473</v>
      </c>
    </row>
    <row r="189" spans="1:13" s="586" customFormat="1" ht="41.4" hidden="1" x14ac:dyDescent="0.3">
      <c r="A189" s="582" t="s">
        <v>1565</v>
      </c>
      <c r="B189" s="583"/>
      <c r="C189" s="583"/>
      <c r="D189" s="583"/>
      <c r="E189" s="583"/>
      <c r="F189" s="583"/>
      <c r="G189" s="583"/>
      <c r="H189" s="583"/>
      <c r="I189" s="583"/>
      <c r="J189" s="583"/>
      <c r="K189" s="583"/>
      <c r="L189" s="584"/>
      <c r="M189" s="582"/>
    </row>
    <row r="190" spans="1:13" s="586" customFormat="1" ht="41.4" x14ac:dyDescent="0.3">
      <c r="A190" s="582" t="s">
        <v>1566</v>
      </c>
      <c r="B190" s="583"/>
      <c r="C190" s="583"/>
      <c r="D190" s="583"/>
      <c r="E190" s="583"/>
      <c r="F190" s="583"/>
      <c r="G190" s="583"/>
      <c r="H190" s="583"/>
      <c r="I190" s="583">
        <v>3442.91</v>
      </c>
      <c r="J190" s="583"/>
      <c r="K190" s="583"/>
      <c r="L190" s="584"/>
      <c r="M190" s="582" t="s">
        <v>1567</v>
      </c>
    </row>
    <row r="191" spans="1:13" s="586" customFormat="1" ht="41.4" x14ac:dyDescent="0.3">
      <c r="A191" s="582" t="s">
        <v>1568</v>
      </c>
      <c r="B191" s="583"/>
      <c r="C191" s="583"/>
      <c r="D191" s="583">
        <v>3285.63</v>
      </c>
      <c r="E191" s="583"/>
      <c r="F191" s="583"/>
      <c r="G191" s="583"/>
      <c r="H191" s="583"/>
      <c r="I191" s="583"/>
      <c r="J191" s="583"/>
      <c r="K191" s="583"/>
      <c r="L191" s="584"/>
      <c r="M191" s="582" t="s">
        <v>1569</v>
      </c>
    </row>
    <row r="192" spans="1:13" s="586" customFormat="1" ht="55.2" hidden="1" x14ac:dyDescent="0.3">
      <c r="A192" s="582" t="s">
        <v>1570</v>
      </c>
      <c r="B192" s="583"/>
      <c r="C192" s="583"/>
      <c r="D192" s="583"/>
      <c r="E192" s="583"/>
      <c r="F192" s="583"/>
      <c r="G192" s="583"/>
      <c r="H192" s="583"/>
      <c r="I192" s="583"/>
      <c r="J192" s="583"/>
      <c r="K192" s="583"/>
      <c r="L192" s="584"/>
      <c r="M192" s="582"/>
    </row>
    <row r="193" spans="1:13" s="586" customFormat="1" ht="41.4" x14ac:dyDescent="0.3">
      <c r="A193" s="582" t="s">
        <v>1571</v>
      </c>
      <c r="B193" s="583">
        <v>2872</v>
      </c>
      <c r="C193" s="583"/>
      <c r="D193" s="583"/>
      <c r="E193" s="583"/>
      <c r="F193" s="583"/>
      <c r="G193" s="583"/>
      <c r="H193" s="583"/>
      <c r="I193" s="583"/>
      <c r="J193" s="583"/>
      <c r="K193" s="583"/>
      <c r="L193" s="584"/>
      <c r="M193" s="582" t="s">
        <v>1572</v>
      </c>
    </row>
    <row r="194" spans="1:13" s="586" customFormat="1" ht="41.4" x14ac:dyDescent="0.3">
      <c r="A194" s="582" t="s">
        <v>1573</v>
      </c>
      <c r="B194" s="583"/>
      <c r="C194" s="583">
        <v>2550</v>
      </c>
      <c r="D194" s="583"/>
      <c r="E194" s="583"/>
      <c r="F194" s="583"/>
      <c r="G194" s="583"/>
      <c r="H194" s="583"/>
      <c r="I194" s="583"/>
      <c r="J194" s="583"/>
      <c r="K194" s="583"/>
      <c r="L194" s="584"/>
      <c r="M194" s="582" t="s">
        <v>1574</v>
      </c>
    </row>
    <row r="195" spans="1:13" s="586" customFormat="1" ht="82.8" x14ac:dyDescent="0.3">
      <c r="A195" s="582" t="s">
        <v>1575</v>
      </c>
      <c r="B195" s="583"/>
      <c r="C195" s="583"/>
      <c r="D195" s="583"/>
      <c r="E195" s="583">
        <v>2411</v>
      </c>
      <c r="F195" s="583"/>
      <c r="G195" s="583"/>
      <c r="H195" s="583"/>
      <c r="I195" s="583"/>
      <c r="J195" s="583"/>
      <c r="K195" s="583"/>
      <c r="L195" s="584"/>
      <c r="M195" s="582" t="s">
        <v>1576</v>
      </c>
    </row>
    <row r="196" spans="1:13" s="586" customFormat="1" ht="41.4" x14ac:dyDescent="0.3">
      <c r="A196" s="582" t="s">
        <v>1577</v>
      </c>
      <c r="B196" s="583"/>
      <c r="C196" s="583"/>
      <c r="D196" s="583"/>
      <c r="E196" s="583"/>
      <c r="F196" s="583"/>
      <c r="G196" s="583"/>
      <c r="H196" s="583"/>
      <c r="I196" s="583"/>
      <c r="J196" s="583"/>
      <c r="K196" s="583"/>
      <c r="L196" s="584">
        <v>2000</v>
      </c>
      <c r="M196" s="582" t="s">
        <v>1578</v>
      </c>
    </row>
    <row r="197" spans="1:13" s="586" customFormat="1" ht="55.2" hidden="1" x14ac:dyDescent="0.3">
      <c r="A197" s="582" t="s">
        <v>1579</v>
      </c>
      <c r="B197" s="583"/>
      <c r="C197" s="583"/>
      <c r="D197" s="583"/>
      <c r="E197" s="583"/>
      <c r="F197" s="583"/>
      <c r="G197" s="583"/>
      <c r="H197" s="583"/>
      <c r="I197" s="583"/>
      <c r="J197" s="583"/>
      <c r="K197" s="583"/>
      <c r="L197" s="584"/>
      <c r="M197" s="582"/>
    </row>
    <row r="198" spans="1:13" s="586" customFormat="1" ht="41.4" x14ac:dyDescent="0.3">
      <c r="A198" s="582" t="s">
        <v>1580</v>
      </c>
      <c r="B198" s="583"/>
      <c r="C198" s="583">
        <v>1858.78</v>
      </c>
      <c r="D198" s="583"/>
      <c r="E198" s="583"/>
      <c r="F198" s="583"/>
      <c r="G198" s="583"/>
      <c r="H198" s="583"/>
      <c r="I198" s="583"/>
      <c r="J198" s="583"/>
      <c r="K198" s="583"/>
      <c r="L198" s="584"/>
      <c r="M198" s="582" t="s">
        <v>1581</v>
      </c>
    </row>
    <row r="199" spans="1:13" s="586" customFormat="1" ht="41.4" hidden="1" x14ac:dyDescent="0.3">
      <c r="A199" s="582" t="s">
        <v>1582</v>
      </c>
      <c r="B199" s="583"/>
      <c r="C199" s="583"/>
      <c r="D199" s="583"/>
      <c r="E199" s="583"/>
      <c r="F199" s="583"/>
      <c r="G199" s="583"/>
      <c r="H199" s="583"/>
      <c r="I199" s="583"/>
      <c r="J199" s="583"/>
      <c r="K199" s="583"/>
      <c r="L199" s="584"/>
      <c r="M199" s="582"/>
    </row>
    <row r="200" spans="1:13" s="586" customFormat="1" ht="55.2" x14ac:dyDescent="0.3">
      <c r="A200" s="582" t="s">
        <v>1583</v>
      </c>
      <c r="B200" s="583">
        <v>1188</v>
      </c>
      <c r="C200" s="583"/>
      <c r="D200" s="583"/>
      <c r="E200" s="583"/>
      <c r="F200" s="583"/>
      <c r="G200" s="583"/>
      <c r="H200" s="583"/>
      <c r="I200" s="583"/>
      <c r="J200" s="583"/>
      <c r="K200" s="583"/>
      <c r="L200" s="584"/>
      <c r="M200" s="582" t="s">
        <v>1584</v>
      </c>
    </row>
    <row r="201" spans="1:13" s="586" customFormat="1" ht="41.4" x14ac:dyDescent="0.3">
      <c r="A201" s="582" t="s">
        <v>1585</v>
      </c>
      <c r="B201" s="583"/>
      <c r="C201" s="583"/>
      <c r="D201" s="583"/>
      <c r="E201" s="583"/>
      <c r="F201" s="583"/>
      <c r="G201" s="583"/>
      <c r="H201" s="583"/>
      <c r="I201" s="583"/>
      <c r="J201" s="583"/>
      <c r="K201" s="583">
        <v>1110</v>
      </c>
      <c r="L201" s="584"/>
      <c r="M201" s="582" t="s">
        <v>1586</v>
      </c>
    </row>
    <row r="202" spans="1:13" s="586" customFormat="1" ht="55.2" x14ac:dyDescent="0.3">
      <c r="A202" s="582" t="s">
        <v>1587</v>
      </c>
      <c r="B202" s="583"/>
      <c r="C202" s="583"/>
      <c r="D202" s="583"/>
      <c r="E202" s="583">
        <v>645</v>
      </c>
      <c r="F202" s="583"/>
      <c r="G202" s="583"/>
      <c r="H202" s="583"/>
      <c r="I202" s="583"/>
      <c r="J202" s="583"/>
      <c r="K202" s="583"/>
      <c r="L202" s="584"/>
      <c r="M202" s="582" t="s">
        <v>1588</v>
      </c>
    </row>
    <row r="203" spans="1:13" s="586" customFormat="1" ht="41.4" hidden="1" x14ac:dyDescent="0.3">
      <c r="A203" s="582" t="s">
        <v>1589</v>
      </c>
      <c r="B203" s="583"/>
      <c r="C203" s="583"/>
      <c r="D203" s="583"/>
      <c r="E203" s="583"/>
      <c r="F203" s="583"/>
      <c r="G203" s="583"/>
      <c r="H203" s="583"/>
      <c r="I203" s="583"/>
      <c r="J203" s="583"/>
      <c r="K203" s="583"/>
      <c r="L203" s="584"/>
      <c r="M203" s="582"/>
    </row>
    <row r="204" spans="1:13" s="586" customFormat="1" ht="55.2" hidden="1" x14ac:dyDescent="0.3">
      <c r="A204" s="582" t="s">
        <v>1590</v>
      </c>
      <c r="B204" s="583"/>
      <c r="C204" s="583"/>
      <c r="D204" s="583"/>
      <c r="E204" s="583"/>
      <c r="F204" s="583"/>
      <c r="G204" s="583"/>
      <c r="H204" s="583"/>
      <c r="I204" s="583"/>
      <c r="J204" s="583"/>
      <c r="K204" s="583"/>
      <c r="L204" s="584"/>
      <c r="M204" s="582"/>
    </row>
    <row r="205" spans="1:13" s="586" customFormat="1" ht="69" x14ac:dyDescent="0.3">
      <c r="A205" s="582" t="s">
        <v>1591</v>
      </c>
      <c r="B205" s="583"/>
      <c r="C205" s="583"/>
      <c r="D205" s="583"/>
      <c r="E205" s="583">
        <v>177</v>
      </c>
      <c r="F205" s="583"/>
      <c r="G205" s="583"/>
      <c r="H205" s="583"/>
      <c r="I205" s="583"/>
      <c r="J205" s="583"/>
      <c r="K205" s="583"/>
      <c r="L205" s="584"/>
      <c r="M205" s="582" t="s">
        <v>1592</v>
      </c>
    </row>
    <row r="206" spans="1:13" s="591" customFormat="1" ht="41.4" hidden="1" x14ac:dyDescent="0.3">
      <c r="A206" s="582" t="s">
        <v>1593</v>
      </c>
      <c r="B206" s="583"/>
      <c r="C206" s="583"/>
      <c r="D206" s="583"/>
      <c r="E206" s="583"/>
      <c r="F206" s="583"/>
      <c r="G206" s="583"/>
      <c r="H206" s="583"/>
      <c r="I206" s="583"/>
      <c r="J206" s="583"/>
      <c r="K206" s="583"/>
      <c r="L206" s="584"/>
      <c r="M206" s="582"/>
    </row>
    <row r="207" spans="1:13" s="595" customFormat="1" ht="55.2" x14ac:dyDescent="0.3">
      <c r="A207" s="592" t="s">
        <v>1594</v>
      </c>
      <c r="B207" s="593"/>
      <c r="C207" s="593"/>
      <c r="D207" s="593"/>
      <c r="E207" s="593"/>
      <c r="F207" s="593"/>
      <c r="G207" s="593"/>
      <c r="H207" s="593"/>
      <c r="I207" s="593"/>
      <c r="J207" s="593"/>
      <c r="K207" s="593"/>
      <c r="L207" s="594"/>
      <c r="M207" s="592" t="s">
        <v>1595</v>
      </c>
    </row>
    <row r="208" spans="1:13" s="595" customFormat="1" ht="69" x14ac:dyDescent="0.3">
      <c r="A208" s="592" t="s">
        <v>1596</v>
      </c>
      <c r="B208" s="593"/>
      <c r="C208" s="593"/>
      <c r="D208" s="593"/>
      <c r="E208" s="593">
        <v>68.84</v>
      </c>
      <c r="F208" s="593"/>
      <c r="G208" s="593"/>
      <c r="H208" s="593"/>
      <c r="I208" s="593"/>
      <c r="J208" s="593"/>
      <c r="K208" s="593"/>
      <c r="L208" s="594"/>
      <c r="M208" s="592" t="s">
        <v>1597</v>
      </c>
    </row>
    <row r="209" spans="1:13" s="595" customFormat="1" ht="41.4" x14ac:dyDescent="0.3">
      <c r="A209" s="592" t="s">
        <v>1598</v>
      </c>
      <c r="B209" s="593">
        <v>20</v>
      </c>
      <c r="C209" s="593"/>
      <c r="D209" s="593"/>
      <c r="E209" s="593"/>
      <c r="F209" s="593"/>
      <c r="G209" s="593"/>
      <c r="H209" s="593"/>
      <c r="I209" s="593"/>
      <c r="J209" s="593"/>
      <c r="K209" s="593"/>
      <c r="L209" s="594"/>
      <c r="M209" s="592" t="s">
        <v>1599</v>
      </c>
    </row>
    <row r="210" spans="1:13" s="595" customFormat="1" ht="55.2" x14ac:dyDescent="0.3">
      <c r="A210" s="592" t="s">
        <v>1600</v>
      </c>
      <c r="B210" s="593"/>
      <c r="C210" s="593"/>
      <c r="D210" s="593"/>
      <c r="E210" s="593"/>
      <c r="F210" s="593"/>
      <c r="G210" s="593"/>
      <c r="H210" s="593"/>
      <c r="I210" s="593"/>
      <c r="J210" s="593"/>
      <c r="K210" s="593"/>
      <c r="L210" s="594"/>
      <c r="M210" s="592" t="s">
        <v>1595</v>
      </c>
    </row>
    <row r="211" spans="1:13" s="595" customFormat="1" ht="49.5" customHeight="1" x14ac:dyDescent="0.3">
      <c r="A211" s="592" t="s">
        <v>1601</v>
      </c>
      <c r="B211" s="593"/>
      <c r="C211" s="593"/>
      <c r="D211" s="593"/>
      <c r="E211" s="593"/>
      <c r="F211" s="593"/>
      <c r="G211" s="593"/>
      <c r="H211" s="593"/>
      <c r="I211" s="593"/>
      <c r="J211" s="593"/>
      <c r="K211" s="593"/>
      <c r="L211" s="594"/>
      <c r="M211" s="592" t="s">
        <v>1602</v>
      </c>
    </row>
    <row r="212" spans="1:13" s="586" customFormat="1" ht="41.4" x14ac:dyDescent="0.3">
      <c r="A212" s="582" t="s">
        <v>1603</v>
      </c>
      <c r="B212" s="583"/>
      <c r="C212" s="583"/>
      <c r="D212" s="583"/>
      <c r="E212" s="583"/>
      <c r="F212" s="583"/>
      <c r="G212" s="583"/>
      <c r="H212" s="583"/>
      <c r="I212" s="583"/>
      <c r="J212" s="583"/>
      <c r="K212" s="583"/>
      <c r="L212" s="584"/>
      <c r="M212" s="582" t="s">
        <v>1604</v>
      </c>
    </row>
    <row r="213" spans="1:13" s="586" customFormat="1" ht="41.4" x14ac:dyDescent="0.3">
      <c r="A213" s="582" t="s">
        <v>1605</v>
      </c>
      <c r="B213" s="583"/>
      <c r="C213" s="583"/>
      <c r="D213" s="583"/>
      <c r="E213" s="583"/>
      <c r="F213" s="583"/>
      <c r="G213" s="583"/>
      <c r="H213" s="583"/>
      <c r="I213" s="583"/>
      <c r="J213" s="583"/>
      <c r="K213" s="583"/>
      <c r="L213" s="584"/>
      <c r="M213" s="582" t="s">
        <v>1606</v>
      </c>
    </row>
    <row r="214" spans="1:13" s="586" customFormat="1" ht="41.4" x14ac:dyDescent="0.3">
      <c r="A214" s="582" t="s">
        <v>1607</v>
      </c>
      <c r="B214" s="583"/>
      <c r="C214" s="583"/>
      <c r="D214" s="583"/>
      <c r="E214" s="583"/>
      <c r="F214" s="583"/>
      <c r="G214" s="583"/>
      <c r="H214" s="583"/>
      <c r="I214" s="583"/>
      <c r="J214" s="583"/>
      <c r="K214" s="583"/>
      <c r="L214" s="584"/>
      <c r="M214" s="582" t="s">
        <v>1608</v>
      </c>
    </row>
    <row r="215" spans="1:13" s="586" customFormat="1" ht="41.4" x14ac:dyDescent="0.3">
      <c r="A215" s="582" t="s">
        <v>1609</v>
      </c>
      <c r="B215" s="583"/>
      <c r="C215" s="583"/>
      <c r="D215" s="583"/>
      <c r="E215" s="583"/>
      <c r="F215" s="583"/>
      <c r="G215" s="583"/>
      <c r="H215" s="583"/>
      <c r="I215" s="583"/>
      <c r="J215" s="583"/>
      <c r="K215" s="583"/>
      <c r="L215" s="584"/>
      <c r="M215" s="582" t="s">
        <v>1608</v>
      </c>
    </row>
    <row r="216" spans="1:13" s="586" customFormat="1" ht="41.4" x14ac:dyDescent="0.3">
      <c r="A216" s="582" t="s">
        <v>1610</v>
      </c>
      <c r="B216" s="583"/>
      <c r="C216" s="583"/>
      <c r="D216" s="583"/>
      <c r="E216" s="583"/>
      <c r="F216" s="583"/>
      <c r="G216" s="583"/>
      <c r="H216" s="583"/>
      <c r="I216" s="583"/>
      <c r="J216" s="583"/>
      <c r="K216" s="583"/>
      <c r="L216" s="584"/>
      <c r="M216" s="582" t="s">
        <v>1611</v>
      </c>
    </row>
    <row r="217" spans="1:13" s="586" customFormat="1" ht="55.2" x14ac:dyDescent="0.3">
      <c r="A217" s="582" t="s">
        <v>1612</v>
      </c>
      <c r="B217" s="583"/>
      <c r="C217" s="583"/>
      <c r="D217" s="583"/>
      <c r="E217" s="583"/>
      <c r="F217" s="583"/>
      <c r="G217" s="583"/>
      <c r="H217" s="583"/>
      <c r="I217" s="583"/>
      <c r="J217" s="583"/>
      <c r="K217" s="583"/>
      <c r="L217" s="584"/>
      <c r="M217" s="582" t="s">
        <v>1613</v>
      </c>
    </row>
    <row r="218" spans="1:13" s="586" customFormat="1" ht="41.4" x14ac:dyDescent="0.3">
      <c r="A218" s="582" t="s">
        <v>1614</v>
      </c>
      <c r="B218" s="583"/>
      <c r="C218" s="583"/>
      <c r="D218" s="583"/>
      <c r="E218" s="583"/>
      <c r="F218" s="583"/>
      <c r="G218" s="583"/>
      <c r="H218" s="583"/>
      <c r="I218" s="583"/>
      <c r="J218" s="583"/>
      <c r="K218" s="583"/>
      <c r="L218" s="584"/>
      <c r="M218" s="582" t="s">
        <v>1615</v>
      </c>
    </row>
    <row r="219" spans="1:13" s="586" customFormat="1" ht="55.2" x14ac:dyDescent="0.3">
      <c r="A219" s="582" t="s">
        <v>1616</v>
      </c>
      <c r="B219" s="583"/>
      <c r="C219" s="583"/>
      <c r="D219" s="583"/>
      <c r="E219" s="583">
        <v>23997</v>
      </c>
      <c r="F219" s="583"/>
      <c r="G219" s="583"/>
      <c r="H219" s="583"/>
      <c r="I219" s="583"/>
      <c r="J219" s="583"/>
      <c r="K219" s="583"/>
      <c r="L219" s="584"/>
      <c r="M219" s="582" t="s">
        <v>1617</v>
      </c>
    </row>
    <row r="220" spans="1:13" s="190" customFormat="1" x14ac:dyDescent="0.3">
      <c r="A220" s="197" t="s">
        <v>727</v>
      </c>
      <c r="B220" s="198">
        <f t="shared" ref="B220:L220" si="0">SUM(B9:B219)</f>
        <v>1203220.25</v>
      </c>
      <c r="C220" s="198">
        <f t="shared" si="0"/>
        <v>456481.52999999997</v>
      </c>
      <c r="D220" s="198">
        <f t="shared" si="0"/>
        <v>274835.79000000004</v>
      </c>
      <c r="E220" s="198">
        <f t="shared" si="0"/>
        <v>867830.91</v>
      </c>
      <c r="F220" s="198">
        <f t="shared" si="0"/>
        <v>4677.12</v>
      </c>
      <c r="G220" s="198">
        <f t="shared" si="0"/>
        <v>14180</v>
      </c>
      <c r="H220" s="198">
        <f t="shared" si="0"/>
        <v>27279</v>
      </c>
      <c r="I220" s="198">
        <f t="shared" si="0"/>
        <v>368442.91</v>
      </c>
      <c r="J220" s="198">
        <f t="shared" si="0"/>
        <v>5096</v>
      </c>
      <c r="K220" s="198">
        <f t="shared" si="0"/>
        <v>1110</v>
      </c>
      <c r="L220" s="198">
        <f t="shared" si="0"/>
        <v>2000</v>
      </c>
      <c r="M220" s="197"/>
    </row>
    <row r="223" spans="1:13" x14ac:dyDescent="0.3">
      <c r="B223" s="199"/>
    </row>
    <row r="225" spans="1:13" x14ac:dyDescent="0.3">
      <c r="B225" s="200"/>
    </row>
    <row r="226" spans="1:13" x14ac:dyDescent="0.3">
      <c r="B226" s="201"/>
    </row>
    <row r="227" spans="1:13" x14ac:dyDescent="0.3">
      <c r="A227" s="202"/>
      <c r="C227" s="203"/>
      <c r="D227" s="203"/>
      <c r="E227" s="203"/>
      <c r="F227" s="203"/>
      <c r="G227" s="203"/>
      <c r="H227" s="203"/>
      <c r="I227" s="203"/>
      <c r="J227" s="204"/>
      <c r="K227" s="203"/>
      <c r="L227" s="203"/>
      <c r="M227" s="202"/>
    </row>
    <row r="228" spans="1:13" x14ac:dyDescent="0.3">
      <c r="J228" s="204"/>
    </row>
    <row r="229" spans="1:13" x14ac:dyDescent="0.3">
      <c r="J229" s="204"/>
    </row>
    <row r="230" spans="1:13" x14ac:dyDescent="0.3">
      <c r="J230" s="204"/>
    </row>
    <row r="231" spans="1:13" x14ac:dyDescent="0.3">
      <c r="J231" s="204"/>
    </row>
    <row r="232" spans="1:13" x14ac:dyDescent="0.3">
      <c r="J232" s="204"/>
    </row>
    <row r="233" spans="1:13" x14ac:dyDescent="0.3">
      <c r="J233" s="204"/>
    </row>
    <row r="234" spans="1:13" x14ac:dyDescent="0.3">
      <c r="J234" s="204"/>
    </row>
    <row r="235" spans="1:13" x14ac:dyDescent="0.3">
      <c r="J235" s="204"/>
    </row>
    <row r="236" spans="1:13" x14ac:dyDescent="0.3">
      <c r="J236" s="204"/>
    </row>
    <row r="237" spans="1:13" x14ac:dyDescent="0.3">
      <c r="J237" s="204"/>
    </row>
  </sheetData>
  <sheetProtection algorithmName="SHA-512" hashValue="5AYe0yzLuvG0MzZ9bSKmikVaRlYqK4ksiMVhNH7TaMu9A6KTJMNMHwJRvSWhwIhUGS6fZOcKzQgdG1xlXvk0DA==" saltValue="qgRzH0xripYEqi6FPqIVUQ==" spinCount="100000" sheet="1" objects="1" scenarios="1" selectLockedCells="1" selectUnlockedCells="1"/>
  <mergeCells count="3">
    <mergeCell ref="M7:M8"/>
    <mergeCell ref="A7:A8"/>
    <mergeCell ref="B7:L7"/>
  </mergeCells>
  <printOptions horizontalCentered="1"/>
  <pageMargins left="0.70866141732283472" right="0.70866141732283472" top="1.4960629921259843" bottom="0.74803149606299213" header="0.31496062992125984" footer="0.31496062992125984"/>
  <pageSetup scale="65" fitToHeight="0" orientation="landscape" blackAndWhite="1" errors="NA" r:id="rId1"/>
  <headerFooter alignWithMargins="0">
    <oddHeader>&amp;R&amp;"Times New Roman,Regular"&amp;12
Annex M
AAR Page 133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9"/>
  <sheetViews>
    <sheetView zoomScaleNormal="100" zoomScaleSheetLayoutView="80" workbookViewId="0"/>
  </sheetViews>
  <sheetFormatPr defaultRowHeight="15.6" x14ac:dyDescent="0.3"/>
  <cols>
    <col min="1" max="1" width="3.33203125" bestFit="1" customWidth="1"/>
    <col min="2" max="2" width="44.6640625" customWidth="1"/>
    <col min="3" max="3" width="3.33203125" style="11" bestFit="1" customWidth="1"/>
    <col min="4" max="4" width="34.109375" customWidth="1"/>
    <col min="5" max="6" width="15.88671875" customWidth="1"/>
    <col min="7" max="7" width="19.44140625" style="16" customWidth="1"/>
  </cols>
  <sheetData>
    <row r="1" spans="1:7" x14ac:dyDescent="0.3">
      <c r="A1" s="15" t="s">
        <v>0</v>
      </c>
    </row>
    <row r="2" spans="1:7" x14ac:dyDescent="0.3">
      <c r="A2" s="17" t="s">
        <v>760</v>
      </c>
    </row>
    <row r="3" spans="1:7" x14ac:dyDescent="0.3">
      <c r="A3" s="15" t="s">
        <v>5</v>
      </c>
    </row>
    <row r="4" spans="1:7" ht="16.2" thickBot="1" x14ac:dyDescent="0.35">
      <c r="A4" s="18"/>
      <c r="B4" s="18"/>
      <c r="C4" s="19"/>
      <c r="D4" s="18"/>
      <c r="E4" s="18"/>
      <c r="F4" s="18"/>
      <c r="G4" s="20"/>
    </row>
    <row r="5" spans="1:7" ht="31.2" x14ac:dyDescent="0.3">
      <c r="A5" s="821" t="s">
        <v>761</v>
      </c>
      <c r="B5" s="822"/>
      <c r="C5" s="823" t="s">
        <v>762</v>
      </c>
      <c r="D5" s="824"/>
      <c r="E5" s="21" t="s">
        <v>763</v>
      </c>
      <c r="F5" s="827" t="s">
        <v>764</v>
      </c>
      <c r="G5" s="22" t="s">
        <v>765</v>
      </c>
    </row>
    <row r="6" spans="1:7" ht="16.2" thickBot="1" x14ac:dyDescent="0.35">
      <c r="A6" s="829" t="s">
        <v>766</v>
      </c>
      <c r="B6" s="830"/>
      <c r="C6" s="825"/>
      <c r="D6" s="826"/>
      <c r="E6" s="23" t="s">
        <v>767</v>
      </c>
      <c r="F6" s="828"/>
      <c r="G6" s="24" t="s">
        <v>768</v>
      </c>
    </row>
    <row r="7" spans="1:7" x14ac:dyDescent="0.3">
      <c r="A7" s="831" t="s">
        <v>769</v>
      </c>
      <c r="B7" s="831"/>
      <c r="C7" s="831"/>
      <c r="D7" s="831"/>
      <c r="E7" s="831"/>
      <c r="F7" s="831"/>
      <c r="G7" s="831"/>
    </row>
    <row r="8" spans="1:7" ht="31.2" x14ac:dyDescent="0.3">
      <c r="A8" s="25">
        <v>1</v>
      </c>
      <c r="B8" s="26" t="s">
        <v>770</v>
      </c>
      <c r="C8" s="25">
        <v>1</v>
      </c>
      <c r="D8" s="27" t="s">
        <v>771</v>
      </c>
      <c r="E8" s="28">
        <v>1000000</v>
      </c>
      <c r="F8" s="28">
        <v>1000000</v>
      </c>
      <c r="G8" s="29">
        <v>0.31819999999999998</v>
      </c>
    </row>
    <row r="9" spans="1:7" ht="46.8" x14ac:dyDescent="0.3">
      <c r="A9" s="25"/>
      <c r="B9" s="26"/>
      <c r="C9" s="25"/>
      <c r="D9" s="27" t="s">
        <v>772</v>
      </c>
      <c r="E9" s="28"/>
      <c r="F9" s="28"/>
      <c r="G9" s="30" t="s">
        <v>773</v>
      </c>
    </row>
    <row r="10" spans="1:7" x14ac:dyDescent="0.3">
      <c r="A10" s="31"/>
      <c r="B10" s="32"/>
      <c r="C10" s="31"/>
      <c r="D10" s="33" t="s">
        <v>743</v>
      </c>
      <c r="E10" s="34">
        <v>1000000</v>
      </c>
      <c r="F10" s="34">
        <v>1000000</v>
      </c>
      <c r="G10" s="13"/>
    </row>
    <row r="11" spans="1:7" ht="31.2" x14ac:dyDescent="0.3">
      <c r="A11" s="25">
        <v>2</v>
      </c>
      <c r="B11" s="26" t="s">
        <v>774</v>
      </c>
      <c r="C11" s="25">
        <v>2</v>
      </c>
      <c r="D11" s="27" t="s">
        <v>775</v>
      </c>
      <c r="E11" s="28">
        <v>6000000</v>
      </c>
      <c r="F11" s="28">
        <v>5950365.8300000001</v>
      </c>
      <c r="G11" s="29">
        <v>0.15</v>
      </c>
    </row>
    <row r="12" spans="1:7" ht="31.2" x14ac:dyDescent="0.3">
      <c r="A12" s="25"/>
      <c r="B12" s="26"/>
      <c r="C12" s="25"/>
      <c r="D12" s="27" t="s">
        <v>776</v>
      </c>
      <c r="E12" s="28"/>
      <c r="F12" s="28"/>
      <c r="G12" s="29"/>
    </row>
    <row r="13" spans="1:7" x14ac:dyDescent="0.3">
      <c r="A13" s="31"/>
      <c r="B13" s="32"/>
      <c r="C13" s="31"/>
      <c r="D13" s="33" t="s">
        <v>743</v>
      </c>
      <c r="E13" s="34">
        <v>6000000</v>
      </c>
      <c r="F13" s="34">
        <v>5950365.8300000001</v>
      </c>
      <c r="G13" s="13"/>
    </row>
    <row r="14" spans="1:7" ht="31.2" x14ac:dyDescent="0.3">
      <c r="A14" s="25">
        <v>3</v>
      </c>
      <c r="B14" s="26" t="s">
        <v>777</v>
      </c>
      <c r="C14" s="25">
        <v>3</v>
      </c>
      <c r="D14" s="27" t="s">
        <v>778</v>
      </c>
      <c r="E14" s="28">
        <v>11000000</v>
      </c>
      <c r="F14" s="28">
        <v>10984465.73</v>
      </c>
      <c r="G14" s="30" t="s">
        <v>779</v>
      </c>
    </row>
    <row r="15" spans="1:7" ht="46.8" x14ac:dyDescent="0.3">
      <c r="A15" s="25"/>
      <c r="B15" s="26"/>
      <c r="C15" s="35"/>
      <c r="D15" s="27" t="s">
        <v>780</v>
      </c>
      <c r="E15" s="28"/>
      <c r="F15" s="28"/>
      <c r="G15" s="30"/>
    </row>
    <row r="16" spans="1:7" ht="31.2" x14ac:dyDescent="0.3">
      <c r="A16" s="25"/>
      <c r="B16" s="26"/>
      <c r="C16" s="25">
        <v>4</v>
      </c>
      <c r="D16" s="27" t="s">
        <v>781</v>
      </c>
      <c r="E16" s="28">
        <v>39000000</v>
      </c>
      <c r="F16" s="36">
        <v>38984171.420000002</v>
      </c>
      <c r="G16" s="30" t="s">
        <v>782</v>
      </c>
    </row>
    <row r="17" spans="1:7" ht="46.8" x14ac:dyDescent="0.3">
      <c r="A17" s="25"/>
      <c r="B17" s="26"/>
      <c r="C17" s="35"/>
      <c r="D17" s="27" t="s">
        <v>783</v>
      </c>
      <c r="E17" s="28"/>
      <c r="F17" s="37" t="s">
        <v>784</v>
      </c>
      <c r="G17" s="30"/>
    </row>
    <row r="18" spans="1:7" ht="16.2" x14ac:dyDescent="0.3">
      <c r="A18" s="31"/>
      <c r="B18" s="32"/>
      <c r="C18" s="31"/>
      <c r="D18" s="33" t="s">
        <v>743</v>
      </c>
      <c r="E18" s="34">
        <v>50000000</v>
      </c>
      <c r="F18" s="34">
        <v>49968637.149999999</v>
      </c>
      <c r="G18" s="38"/>
    </row>
    <row r="19" spans="1:7" ht="46.8" x14ac:dyDescent="0.3">
      <c r="A19" s="39">
        <v>4</v>
      </c>
      <c r="B19" s="40" t="s">
        <v>785</v>
      </c>
      <c r="C19" s="25"/>
      <c r="D19" s="27" t="s">
        <v>786</v>
      </c>
      <c r="E19" s="41"/>
      <c r="F19" s="41"/>
      <c r="G19" s="30"/>
    </row>
    <row r="20" spans="1:7" x14ac:dyDescent="0.3">
      <c r="A20" s="25"/>
      <c r="B20" s="42" t="s">
        <v>787</v>
      </c>
      <c r="C20" s="25">
        <v>5</v>
      </c>
      <c r="D20" s="27" t="s">
        <v>788</v>
      </c>
      <c r="E20" s="36">
        <v>1621800</v>
      </c>
      <c r="F20" s="36">
        <v>1621800</v>
      </c>
      <c r="G20" s="29">
        <v>1</v>
      </c>
    </row>
    <row r="21" spans="1:7" x14ac:dyDescent="0.3">
      <c r="A21" s="25"/>
      <c r="B21" s="42" t="s">
        <v>789</v>
      </c>
      <c r="C21" s="25">
        <v>6</v>
      </c>
      <c r="D21" s="27" t="s">
        <v>790</v>
      </c>
      <c r="E21" s="36">
        <v>2397000</v>
      </c>
      <c r="F21" s="36">
        <v>2397000</v>
      </c>
      <c r="G21" s="29">
        <v>0.5</v>
      </c>
    </row>
    <row r="22" spans="1:7" x14ac:dyDescent="0.3">
      <c r="A22" s="25"/>
      <c r="B22" s="43"/>
      <c r="C22" s="25">
        <v>7</v>
      </c>
      <c r="D22" s="27" t="s">
        <v>791</v>
      </c>
      <c r="E22" s="36">
        <v>3447600</v>
      </c>
      <c r="F22" s="36">
        <v>3447600</v>
      </c>
      <c r="G22" s="29">
        <v>0.5</v>
      </c>
    </row>
    <row r="23" spans="1:7" x14ac:dyDescent="0.3">
      <c r="A23" s="25"/>
      <c r="B23" s="26"/>
      <c r="C23" s="25">
        <v>8</v>
      </c>
      <c r="D23" s="27" t="s">
        <v>792</v>
      </c>
      <c r="E23" s="36">
        <v>459000</v>
      </c>
      <c r="F23" s="36">
        <v>459000</v>
      </c>
      <c r="G23" s="29">
        <v>0.5</v>
      </c>
    </row>
    <row r="24" spans="1:7" x14ac:dyDescent="0.3">
      <c r="A24" s="25"/>
      <c r="B24" s="26"/>
      <c r="C24" s="25">
        <v>9</v>
      </c>
      <c r="D24" s="27" t="s">
        <v>793</v>
      </c>
      <c r="E24" s="36">
        <v>1881900</v>
      </c>
      <c r="F24" s="36">
        <v>1881900</v>
      </c>
      <c r="G24" s="29">
        <v>0.5</v>
      </c>
    </row>
    <row r="25" spans="1:7" x14ac:dyDescent="0.3">
      <c r="A25" s="25"/>
      <c r="B25" s="26"/>
      <c r="C25" s="25">
        <v>10</v>
      </c>
      <c r="D25" s="27" t="s">
        <v>794</v>
      </c>
      <c r="E25" s="36">
        <v>4358300</v>
      </c>
      <c r="F25" s="36">
        <v>4358300</v>
      </c>
      <c r="G25" s="29">
        <v>1</v>
      </c>
    </row>
    <row r="26" spans="1:7" ht="31.2" x14ac:dyDescent="0.3">
      <c r="A26" s="25"/>
      <c r="B26" s="44"/>
      <c r="C26" s="39">
        <v>11</v>
      </c>
      <c r="D26" s="27" t="s">
        <v>795</v>
      </c>
      <c r="E26" s="36">
        <v>5834400</v>
      </c>
      <c r="F26" s="36">
        <v>5834400</v>
      </c>
      <c r="G26" s="29">
        <v>1</v>
      </c>
    </row>
    <row r="27" spans="1:7" x14ac:dyDescent="0.3">
      <c r="A27" s="31"/>
      <c r="B27" s="32"/>
      <c r="C27" s="31"/>
      <c r="D27" s="33" t="s">
        <v>743</v>
      </c>
      <c r="E27" s="34">
        <v>20000000</v>
      </c>
      <c r="F27" s="34">
        <v>20000000</v>
      </c>
      <c r="G27" s="13"/>
    </row>
    <row r="28" spans="1:7" x14ac:dyDescent="0.3">
      <c r="A28" s="45"/>
      <c r="B28" s="46" t="s">
        <v>796</v>
      </c>
      <c r="C28" s="45"/>
      <c r="D28" s="47"/>
      <c r="E28" s="48">
        <v>77000000</v>
      </c>
      <c r="F28" s="48">
        <v>76919002.980000004</v>
      </c>
      <c r="G28" s="49"/>
    </row>
    <row r="29" spans="1:7" x14ac:dyDescent="0.3">
      <c r="A29" s="820" t="s">
        <v>797</v>
      </c>
      <c r="B29" s="820"/>
      <c r="C29" s="820"/>
      <c r="D29" s="820"/>
      <c r="E29" s="820"/>
      <c r="F29" s="820"/>
      <c r="G29" s="820"/>
    </row>
    <row r="30" spans="1:7" ht="31.2" x14ac:dyDescent="0.3">
      <c r="A30" s="25">
        <v>5</v>
      </c>
      <c r="B30" s="26" t="s">
        <v>770</v>
      </c>
      <c r="C30" s="25">
        <v>12</v>
      </c>
      <c r="D30" s="27" t="s">
        <v>798</v>
      </c>
      <c r="E30" s="28">
        <v>1000000</v>
      </c>
      <c r="F30" s="28">
        <v>1000000</v>
      </c>
      <c r="G30" s="29">
        <v>1</v>
      </c>
    </row>
    <row r="31" spans="1:7" ht="31.2" x14ac:dyDescent="0.3">
      <c r="A31" s="25"/>
      <c r="B31" s="26"/>
      <c r="C31" s="25"/>
      <c r="D31" s="27" t="s">
        <v>799</v>
      </c>
      <c r="E31" s="28"/>
      <c r="F31" s="28"/>
      <c r="G31" s="30" t="s">
        <v>800</v>
      </c>
    </row>
    <row r="32" spans="1:7" x14ac:dyDescent="0.3">
      <c r="A32" s="25"/>
      <c r="B32" s="26"/>
      <c r="C32" s="25">
        <v>13</v>
      </c>
      <c r="D32" s="27" t="s">
        <v>801</v>
      </c>
      <c r="E32" s="28">
        <v>2000000</v>
      </c>
      <c r="F32" s="28">
        <v>1997694.62</v>
      </c>
      <c r="G32" s="29">
        <v>1</v>
      </c>
    </row>
    <row r="33" spans="1:7" ht="31.2" x14ac:dyDescent="0.3">
      <c r="A33" s="25"/>
      <c r="B33" s="26"/>
      <c r="C33" s="25"/>
      <c r="D33" s="27" t="s">
        <v>802</v>
      </c>
      <c r="E33" s="28"/>
      <c r="F33" s="28"/>
      <c r="G33" s="29"/>
    </row>
    <row r="34" spans="1:7" x14ac:dyDescent="0.3">
      <c r="A34" s="25"/>
      <c r="B34" s="26"/>
      <c r="C34" s="25">
        <v>14</v>
      </c>
      <c r="D34" s="27" t="s">
        <v>803</v>
      </c>
      <c r="E34" s="28"/>
      <c r="F34" s="28"/>
      <c r="G34" s="29"/>
    </row>
    <row r="35" spans="1:7" ht="31.2" x14ac:dyDescent="0.3">
      <c r="A35" s="25"/>
      <c r="B35" s="26"/>
      <c r="C35" s="35"/>
      <c r="D35" s="27" t="s">
        <v>804</v>
      </c>
      <c r="E35" s="36">
        <v>2000000</v>
      </c>
      <c r="F35" s="36">
        <v>1998153.94</v>
      </c>
      <c r="G35" s="30" t="s">
        <v>805</v>
      </c>
    </row>
    <row r="36" spans="1:7" x14ac:dyDescent="0.3">
      <c r="A36" s="31"/>
      <c r="B36" s="32"/>
      <c r="C36" s="31"/>
      <c r="D36" s="33" t="s">
        <v>743</v>
      </c>
      <c r="E36" s="34">
        <v>5000000</v>
      </c>
      <c r="F36" s="34">
        <v>4995848.5599999996</v>
      </c>
      <c r="G36" s="13"/>
    </row>
    <row r="37" spans="1:7" x14ac:dyDescent="0.3">
      <c r="A37" s="25">
        <v>6</v>
      </c>
      <c r="B37" s="26" t="s">
        <v>806</v>
      </c>
      <c r="C37" s="35"/>
      <c r="E37" s="28">
        <v>2000000</v>
      </c>
      <c r="F37" s="50"/>
      <c r="G37" s="30" t="s">
        <v>807</v>
      </c>
    </row>
    <row r="38" spans="1:7" x14ac:dyDescent="0.3">
      <c r="A38" s="25"/>
      <c r="B38" s="26"/>
      <c r="C38" s="25">
        <v>15</v>
      </c>
      <c r="D38" s="819" t="s">
        <v>808</v>
      </c>
      <c r="E38" s="28"/>
      <c r="F38" s="28">
        <v>1242498.94</v>
      </c>
      <c r="G38" s="29">
        <v>0.8</v>
      </c>
    </row>
    <row r="39" spans="1:7" x14ac:dyDescent="0.3">
      <c r="A39" s="25"/>
      <c r="B39" s="26"/>
      <c r="C39" s="25"/>
      <c r="D39" s="819"/>
      <c r="E39" s="28"/>
      <c r="F39" s="28"/>
      <c r="G39" s="30" t="s">
        <v>800</v>
      </c>
    </row>
    <row r="40" spans="1:7" x14ac:dyDescent="0.3">
      <c r="A40" s="25"/>
      <c r="B40" s="26"/>
      <c r="C40" s="25"/>
      <c r="D40" s="819"/>
      <c r="E40" s="28"/>
      <c r="F40" s="28"/>
      <c r="G40" s="30" t="s">
        <v>809</v>
      </c>
    </row>
    <row r="41" spans="1:7" ht="46.8" x14ac:dyDescent="0.3">
      <c r="A41" s="25"/>
      <c r="B41" s="26"/>
      <c r="C41" s="39">
        <v>16</v>
      </c>
      <c r="D41" s="27" t="s">
        <v>810</v>
      </c>
      <c r="E41" s="28"/>
      <c r="F41" s="51">
        <v>44131.33</v>
      </c>
      <c r="G41" s="30" t="s">
        <v>811</v>
      </c>
    </row>
    <row r="42" spans="1:7" ht="46.8" x14ac:dyDescent="0.3">
      <c r="A42" s="25"/>
      <c r="B42" s="26"/>
      <c r="C42" s="39">
        <v>17</v>
      </c>
      <c r="D42" s="27" t="s">
        <v>812</v>
      </c>
      <c r="E42" s="28"/>
      <c r="F42" s="51">
        <v>13043.23</v>
      </c>
      <c r="G42" s="30" t="s">
        <v>813</v>
      </c>
    </row>
    <row r="43" spans="1:7" ht="62.4" x14ac:dyDescent="0.3">
      <c r="A43" s="25"/>
      <c r="B43" s="26"/>
      <c r="C43" s="39">
        <v>18</v>
      </c>
      <c r="D43" s="27" t="s">
        <v>814</v>
      </c>
      <c r="E43" s="28"/>
      <c r="F43" s="51">
        <v>155220.34</v>
      </c>
      <c r="G43" s="30" t="s">
        <v>815</v>
      </c>
    </row>
    <row r="44" spans="1:7" ht="46.8" x14ac:dyDescent="0.3">
      <c r="A44" s="25"/>
      <c r="B44" s="26"/>
      <c r="C44" s="39">
        <v>19</v>
      </c>
      <c r="D44" s="27" t="s">
        <v>816</v>
      </c>
      <c r="E44" s="28"/>
      <c r="F44" s="51">
        <v>13043.23</v>
      </c>
      <c r="G44" s="30" t="s">
        <v>815</v>
      </c>
    </row>
    <row r="45" spans="1:7" x14ac:dyDescent="0.3">
      <c r="A45" s="31"/>
      <c r="B45" s="32"/>
      <c r="C45" s="31"/>
      <c r="D45" s="33" t="s">
        <v>743</v>
      </c>
      <c r="E45" s="34">
        <v>2000000</v>
      </c>
      <c r="F45" s="34">
        <v>1467937.07</v>
      </c>
      <c r="G45" s="13"/>
    </row>
    <row r="46" spans="1:7" x14ac:dyDescent="0.3">
      <c r="A46" s="25">
        <v>7</v>
      </c>
      <c r="B46" s="26" t="s">
        <v>817</v>
      </c>
      <c r="C46" s="25">
        <v>20</v>
      </c>
      <c r="D46" s="27" t="s">
        <v>818</v>
      </c>
      <c r="E46" s="28">
        <v>3000000</v>
      </c>
      <c r="F46" s="28">
        <v>2985802.94</v>
      </c>
      <c r="G46" s="29">
        <v>1</v>
      </c>
    </row>
    <row r="47" spans="1:7" ht="46.8" x14ac:dyDescent="0.3">
      <c r="A47" s="25"/>
      <c r="B47" s="26"/>
      <c r="C47" s="35"/>
      <c r="D47" s="27" t="s">
        <v>819</v>
      </c>
      <c r="E47" s="28"/>
      <c r="F47" s="28"/>
      <c r="G47" s="29"/>
    </row>
    <row r="48" spans="1:7" x14ac:dyDescent="0.3">
      <c r="A48" s="31"/>
      <c r="B48" s="32"/>
      <c r="C48" s="31"/>
      <c r="D48" s="33" t="s">
        <v>743</v>
      </c>
      <c r="E48" s="34">
        <v>3000000</v>
      </c>
      <c r="F48" s="34">
        <v>2985802.94</v>
      </c>
      <c r="G48" s="13"/>
    </row>
    <row r="49" spans="1:7" x14ac:dyDescent="0.3">
      <c r="A49" s="52"/>
      <c r="B49" s="53" t="s">
        <v>820</v>
      </c>
      <c r="C49" s="54"/>
      <c r="D49" s="55"/>
      <c r="E49" s="56">
        <v>10000000</v>
      </c>
      <c r="F49" s="56">
        <v>9449588.5700000003</v>
      </c>
      <c r="G49" s="57"/>
    </row>
    <row r="50" spans="1:7" x14ac:dyDescent="0.3">
      <c r="A50" s="820" t="s">
        <v>821</v>
      </c>
      <c r="B50" s="820"/>
      <c r="C50" s="820"/>
      <c r="D50" s="820"/>
      <c r="E50" s="820"/>
      <c r="F50" s="820"/>
      <c r="G50" s="820"/>
    </row>
    <row r="51" spans="1:7" ht="31.2" x14ac:dyDescent="0.3">
      <c r="A51" s="25">
        <v>8</v>
      </c>
      <c r="B51" s="26" t="s">
        <v>822</v>
      </c>
      <c r="C51" s="25">
        <v>21</v>
      </c>
      <c r="D51" s="27" t="s">
        <v>823</v>
      </c>
      <c r="E51" s="58">
        <v>1000000</v>
      </c>
      <c r="F51" s="58">
        <v>1000000</v>
      </c>
      <c r="G51" s="59" t="s">
        <v>800</v>
      </c>
    </row>
    <row r="52" spans="1:7" ht="31.2" x14ac:dyDescent="0.3">
      <c r="A52" s="25"/>
      <c r="B52" s="26"/>
      <c r="C52" s="35"/>
      <c r="D52" s="27" t="s">
        <v>824</v>
      </c>
      <c r="E52" s="28"/>
      <c r="F52" s="28"/>
      <c r="G52" s="60">
        <v>1</v>
      </c>
    </row>
    <row r="53" spans="1:7" x14ac:dyDescent="0.3">
      <c r="A53" s="31"/>
      <c r="B53" s="32"/>
      <c r="C53" s="31"/>
      <c r="D53" s="33" t="s">
        <v>743</v>
      </c>
      <c r="E53" s="34">
        <v>1000000</v>
      </c>
      <c r="F53" s="34">
        <v>1000000</v>
      </c>
      <c r="G53" s="13"/>
    </row>
    <row r="54" spans="1:7" x14ac:dyDescent="0.3">
      <c r="A54" s="39">
        <v>9</v>
      </c>
      <c r="B54" s="40" t="s">
        <v>825</v>
      </c>
      <c r="C54" s="25"/>
      <c r="D54" s="61"/>
      <c r="E54" s="28">
        <v>2000000</v>
      </c>
      <c r="F54" s="62"/>
      <c r="G54" s="30" t="s">
        <v>807</v>
      </c>
    </row>
    <row r="55" spans="1:7" ht="46.8" x14ac:dyDescent="0.3">
      <c r="A55" s="63"/>
      <c r="B55" s="43"/>
      <c r="C55" s="39">
        <v>22</v>
      </c>
      <c r="D55" s="64" t="s">
        <v>826</v>
      </c>
      <c r="E55" s="50"/>
      <c r="F55" s="51">
        <v>938256.25</v>
      </c>
      <c r="G55" s="30" t="s">
        <v>827</v>
      </c>
    </row>
    <row r="56" spans="1:7" ht="46.8" x14ac:dyDescent="0.3">
      <c r="A56" s="25"/>
      <c r="B56" s="26"/>
      <c r="C56" s="39">
        <v>23</v>
      </c>
      <c r="D56" s="64" t="s">
        <v>828</v>
      </c>
      <c r="E56" s="28"/>
      <c r="F56" s="51">
        <v>45200.79</v>
      </c>
      <c r="G56" s="30" t="s">
        <v>829</v>
      </c>
    </row>
    <row r="57" spans="1:7" ht="46.8" x14ac:dyDescent="0.3">
      <c r="A57" s="25"/>
      <c r="B57" s="26"/>
      <c r="C57" s="39">
        <v>24</v>
      </c>
      <c r="D57" s="64" t="s">
        <v>830</v>
      </c>
      <c r="E57" s="28"/>
      <c r="F57" s="51">
        <v>76471.05</v>
      </c>
      <c r="G57" s="30" t="s">
        <v>831</v>
      </c>
    </row>
    <row r="58" spans="1:7" ht="62.4" x14ac:dyDescent="0.3">
      <c r="A58" s="25"/>
      <c r="B58" s="26"/>
      <c r="C58" s="39">
        <v>25</v>
      </c>
      <c r="D58" s="64" t="s">
        <v>832</v>
      </c>
      <c r="E58" s="28"/>
      <c r="F58" s="51">
        <v>25913.66</v>
      </c>
      <c r="G58" s="30" t="s">
        <v>833</v>
      </c>
    </row>
    <row r="59" spans="1:7" ht="46.8" x14ac:dyDescent="0.3">
      <c r="A59" s="25"/>
      <c r="B59" s="26"/>
      <c r="C59" s="39">
        <v>26</v>
      </c>
      <c r="D59" s="64" t="s">
        <v>834</v>
      </c>
      <c r="E59" s="28"/>
      <c r="F59" s="51">
        <v>77081.55</v>
      </c>
      <c r="G59" s="30" t="s">
        <v>833</v>
      </c>
    </row>
    <row r="60" spans="1:7" ht="46.8" x14ac:dyDescent="0.3">
      <c r="A60" s="25"/>
      <c r="B60" s="26"/>
      <c r="C60" s="39">
        <v>27</v>
      </c>
      <c r="D60" s="64" t="s">
        <v>835</v>
      </c>
      <c r="E60" s="28"/>
      <c r="F60" s="51">
        <v>38870.5</v>
      </c>
      <c r="G60" s="30" t="s">
        <v>833</v>
      </c>
    </row>
    <row r="61" spans="1:7" ht="46.8" x14ac:dyDescent="0.3">
      <c r="A61" s="25"/>
      <c r="B61" s="26"/>
      <c r="C61" s="39">
        <v>28</v>
      </c>
      <c r="D61" s="64" t="s">
        <v>836</v>
      </c>
      <c r="E61" s="28"/>
      <c r="F61" s="51">
        <v>25913.66</v>
      </c>
      <c r="G61" s="30" t="s">
        <v>837</v>
      </c>
    </row>
    <row r="62" spans="1:7" ht="31.2" x14ac:dyDescent="0.3">
      <c r="A62" s="25"/>
      <c r="B62" s="26"/>
      <c r="C62" s="39">
        <v>29</v>
      </c>
      <c r="D62" s="64" t="s">
        <v>838</v>
      </c>
      <c r="E62" s="28"/>
      <c r="F62" s="65">
        <v>19625.95</v>
      </c>
      <c r="G62" s="30" t="s">
        <v>839</v>
      </c>
    </row>
    <row r="63" spans="1:7" ht="31.2" x14ac:dyDescent="0.3">
      <c r="A63" s="25"/>
      <c r="B63" s="26"/>
      <c r="C63" s="39">
        <v>30</v>
      </c>
      <c r="D63" s="64" t="s">
        <v>840</v>
      </c>
      <c r="E63" s="28"/>
      <c r="F63" s="51">
        <v>32879.9</v>
      </c>
      <c r="G63" s="30" t="s">
        <v>841</v>
      </c>
    </row>
    <row r="64" spans="1:7" ht="31.2" x14ac:dyDescent="0.3">
      <c r="A64" s="25"/>
      <c r="B64" s="26"/>
      <c r="C64" s="39">
        <v>31</v>
      </c>
      <c r="D64" s="64" t="s">
        <v>842</v>
      </c>
      <c r="E64" s="66"/>
      <c r="F64" s="51">
        <v>59671.21</v>
      </c>
      <c r="G64" s="30" t="s">
        <v>843</v>
      </c>
    </row>
    <row r="65" spans="1:7" x14ac:dyDescent="0.3">
      <c r="A65" s="31"/>
      <c r="B65" s="32"/>
      <c r="C65" s="31"/>
      <c r="D65" s="33" t="s">
        <v>743</v>
      </c>
      <c r="E65" s="34">
        <v>2000000</v>
      </c>
      <c r="F65" s="34">
        <v>1339884.52</v>
      </c>
      <c r="G65" s="13"/>
    </row>
    <row r="66" spans="1:7" x14ac:dyDescent="0.3">
      <c r="A66" s="67"/>
      <c r="B66" s="53" t="s">
        <v>844</v>
      </c>
      <c r="C66" s="68"/>
      <c r="D66" s="69"/>
      <c r="E66" s="70">
        <v>3000000</v>
      </c>
      <c r="F66" s="71">
        <v>2339884.52</v>
      </c>
      <c r="G66" s="72"/>
    </row>
    <row r="67" spans="1:7" x14ac:dyDescent="0.3">
      <c r="A67" s="820" t="s">
        <v>845</v>
      </c>
      <c r="B67" s="820"/>
      <c r="C67" s="820"/>
      <c r="D67" s="820"/>
      <c r="E67" s="820"/>
      <c r="F67" s="820"/>
      <c r="G67" s="820"/>
    </row>
    <row r="68" spans="1:7" ht="31.2" x14ac:dyDescent="0.3">
      <c r="A68" s="25">
        <v>10</v>
      </c>
      <c r="B68" s="26" t="s">
        <v>770</v>
      </c>
      <c r="C68" s="25">
        <v>32</v>
      </c>
      <c r="D68" s="73" t="s">
        <v>846</v>
      </c>
      <c r="E68" s="58">
        <v>1000000</v>
      </c>
      <c r="F68" s="58">
        <v>1000000</v>
      </c>
      <c r="G68" s="74">
        <v>1</v>
      </c>
    </row>
    <row r="69" spans="1:7" ht="31.2" x14ac:dyDescent="0.3">
      <c r="A69" s="25"/>
      <c r="B69" s="26"/>
      <c r="C69" s="25"/>
      <c r="D69" s="73" t="s">
        <v>824</v>
      </c>
      <c r="E69" s="28"/>
      <c r="F69" s="28"/>
      <c r="G69" s="30" t="s">
        <v>800</v>
      </c>
    </row>
    <row r="70" spans="1:7" x14ac:dyDescent="0.3">
      <c r="A70" s="31"/>
      <c r="B70" s="32"/>
      <c r="C70" s="31"/>
      <c r="D70" s="75" t="s">
        <v>743</v>
      </c>
      <c r="E70" s="34">
        <v>1000000</v>
      </c>
      <c r="F70" s="34">
        <v>1000000</v>
      </c>
      <c r="G70" s="13"/>
    </row>
    <row r="71" spans="1:7" ht="31.2" x14ac:dyDescent="0.3">
      <c r="A71" s="25">
        <v>11</v>
      </c>
      <c r="B71" s="26" t="s">
        <v>847</v>
      </c>
      <c r="C71" s="25">
        <v>33</v>
      </c>
      <c r="D71" s="27" t="s">
        <v>848</v>
      </c>
      <c r="E71" s="28">
        <v>977000</v>
      </c>
      <c r="F71" s="28">
        <v>977000</v>
      </c>
      <c r="G71" s="29">
        <v>1</v>
      </c>
    </row>
    <row r="72" spans="1:7" ht="46.8" x14ac:dyDescent="0.3">
      <c r="A72" s="25"/>
      <c r="B72" s="26"/>
      <c r="C72" s="25"/>
      <c r="D72" s="76" t="s">
        <v>849</v>
      </c>
      <c r="E72" s="28"/>
      <c r="F72" s="28"/>
      <c r="G72" s="30" t="s">
        <v>800</v>
      </c>
    </row>
    <row r="73" spans="1:7" x14ac:dyDescent="0.3">
      <c r="A73" s="25"/>
      <c r="B73" s="26"/>
      <c r="C73" s="25">
        <v>34</v>
      </c>
      <c r="D73" s="27" t="s">
        <v>850</v>
      </c>
      <c r="E73" s="28">
        <v>1723000</v>
      </c>
      <c r="F73" s="28">
        <v>1723000</v>
      </c>
      <c r="G73" s="29">
        <v>1</v>
      </c>
    </row>
    <row r="74" spans="1:7" ht="46.8" x14ac:dyDescent="0.3">
      <c r="A74" s="25"/>
      <c r="B74" s="26"/>
      <c r="C74" s="35"/>
      <c r="D74" s="76" t="s">
        <v>851</v>
      </c>
      <c r="E74" s="28"/>
      <c r="F74" s="28"/>
      <c r="G74" s="30" t="s">
        <v>800</v>
      </c>
    </row>
    <row r="75" spans="1:7" x14ac:dyDescent="0.3">
      <c r="A75" s="31"/>
      <c r="B75" s="32"/>
      <c r="C75" s="31"/>
      <c r="D75" s="75" t="s">
        <v>743</v>
      </c>
      <c r="E75" s="34">
        <v>2700000</v>
      </c>
      <c r="F75" s="34">
        <v>2700000</v>
      </c>
      <c r="G75" s="13"/>
    </row>
    <row r="76" spans="1:7" x14ac:dyDescent="0.3">
      <c r="A76" s="52"/>
      <c r="B76" s="53" t="s">
        <v>852</v>
      </c>
      <c r="C76" s="77"/>
      <c r="D76" s="78"/>
      <c r="E76" s="56">
        <v>3700000</v>
      </c>
      <c r="F76" s="56">
        <v>3700000</v>
      </c>
      <c r="G76" s="57"/>
    </row>
    <row r="77" spans="1:7" ht="31.8" thickBot="1" x14ac:dyDescent="0.35">
      <c r="A77" s="79"/>
      <c r="B77" s="80" t="s">
        <v>853</v>
      </c>
      <c r="C77" s="81"/>
      <c r="D77" s="82"/>
      <c r="E77" s="83">
        <v>16700000</v>
      </c>
      <c r="F77" s="83">
        <v>15489473.09</v>
      </c>
      <c r="G77" s="84"/>
    </row>
    <row r="78" spans="1:7" ht="16.2" thickBot="1" x14ac:dyDescent="0.35">
      <c r="A78" s="85"/>
      <c r="B78" s="86" t="s">
        <v>727</v>
      </c>
      <c r="C78" s="85"/>
      <c r="D78" s="87"/>
      <c r="E78" s="88">
        <v>93700000</v>
      </c>
      <c r="F78" s="88">
        <v>92408476.069999993</v>
      </c>
      <c r="G78" s="89"/>
    </row>
    <row r="79" spans="1:7" ht="16.2" thickTop="1" x14ac:dyDescent="0.3">
      <c r="A79" s="90"/>
    </row>
  </sheetData>
  <sheetProtection algorithmName="SHA-512" hashValue="wK15nA/rLpaE1Zpa19/puRTcAcoLqVjy0INx2xTQbPqMefih2lrpJN1RPAH7bGQWKWfo3mgY0fc1IjIfctZxFw==" saltValue="9a3inU4U3OXbay+ey+QVkg==" spinCount="100000" sheet="1" objects="1" scenarios="1" selectLockedCells="1" selectUnlockedCells="1"/>
  <mergeCells count="9">
    <mergeCell ref="D38:D40"/>
    <mergeCell ref="A50:G50"/>
    <mergeCell ref="A67:G67"/>
    <mergeCell ref="A5:B5"/>
    <mergeCell ref="C5:D6"/>
    <mergeCell ref="F5:F6"/>
    <mergeCell ref="A6:B6"/>
    <mergeCell ref="A7:G7"/>
    <mergeCell ref="A29:G29"/>
  </mergeCells>
  <printOptions horizontalCentered="1"/>
  <pageMargins left="1.4" right="0.70866141732283472" top="0.74803149606299213" bottom="0.74803149606299213" header="0.31496062992125984" footer="0.31496062992125984"/>
  <pageSetup scale="59" fitToHeight="0" orientation="portrait" r:id="rId1"/>
  <headerFooter>
    <oddHeader xml:space="preserve">&amp;R&amp;"Times New Roman,Regular"&amp;12
Annex N
AAR Page 148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H44"/>
  <sheetViews>
    <sheetView zoomScaleNormal="100" zoomScaleSheetLayoutView="80" workbookViewId="0"/>
  </sheetViews>
  <sheetFormatPr defaultColWidth="8.88671875" defaultRowHeight="14.4" x14ac:dyDescent="0.3"/>
  <cols>
    <col min="1" max="1" width="28.88671875" customWidth="1"/>
    <col min="2" max="2" width="18.109375" customWidth="1"/>
    <col min="3" max="3" width="13.5546875" customWidth="1"/>
    <col min="4" max="4" width="18.109375" customWidth="1"/>
    <col min="5" max="5" width="12.6640625" bestFit="1" customWidth="1"/>
    <col min="6" max="6" width="18.109375" customWidth="1"/>
    <col min="7" max="7" width="12.6640625" bestFit="1" customWidth="1"/>
    <col min="8" max="8" width="10.44140625" customWidth="1"/>
  </cols>
  <sheetData>
    <row r="1" spans="1:8" x14ac:dyDescent="0.3">
      <c r="A1" s="212" t="s">
        <v>0</v>
      </c>
    </row>
    <row r="2" spans="1:8" x14ac:dyDescent="0.3">
      <c r="A2" s="225" t="s">
        <v>1811</v>
      </c>
    </row>
    <row r="3" spans="1:8" x14ac:dyDescent="0.3">
      <c r="A3" s="212" t="s">
        <v>1812</v>
      </c>
    </row>
    <row r="4" spans="1:8" x14ac:dyDescent="0.3">
      <c r="A4" s="212"/>
    </row>
    <row r="5" spans="1:8" x14ac:dyDescent="0.3">
      <c r="A5" s="842" t="s">
        <v>1776</v>
      </c>
      <c r="B5" s="842" t="s">
        <v>1777</v>
      </c>
      <c r="C5" s="845" t="s">
        <v>1778</v>
      </c>
      <c r="D5" s="845"/>
      <c r="E5" s="845" t="s">
        <v>1813</v>
      </c>
      <c r="F5" s="845"/>
      <c r="G5" s="845" t="s">
        <v>1779</v>
      </c>
      <c r="H5" s="845"/>
    </row>
    <row r="6" spans="1:8" x14ac:dyDescent="0.3">
      <c r="A6" s="843"/>
      <c r="B6" s="843"/>
      <c r="C6" s="846" t="s">
        <v>1780</v>
      </c>
      <c r="D6" s="846"/>
      <c r="E6" s="845"/>
      <c r="F6" s="845"/>
      <c r="G6" s="845"/>
      <c r="H6" s="845"/>
    </row>
    <row r="7" spans="1:8" x14ac:dyDescent="0.3">
      <c r="A7" s="844"/>
      <c r="B7" s="844"/>
      <c r="C7" s="215" t="s">
        <v>1781</v>
      </c>
      <c r="D7" s="215" t="s">
        <v>1782</v>
      </c>
      <c r="E7" s="215" t="s">
        <v>1781</v>
      </c>
      <c r="F7" s="215" t="s">
        <v>1782</v>
      </c>
      <c r="G7" s="215" t="s">
        <v>2</v>
      </c>
      <c r="H7" s="215" t="s">
        <v>1783</v>
      </c>
    </row>
    <row r="8" spans="1:8" ht="55.8" x14ac:dyDescent="0.3">
      <c r="A8" s="226" t="s">
        <v>1814</v>
      </c>
      <c r="B8" s="835" t="s">
        <v>1784</v>
      </c>
      <c r="C8" s="837">
        <v>45180.36</v>
      </c>
      <c r="D8" s="835" t="s">
        <v>1785</v>
      </c>
      <c r="E8" s="837">
        <v>262145.52</v>
      </c>
      <c r="F8" s="835" t="s">
        <v>1786</v>
      </c>
      <c r="G8" s="837">
        <v>216965.16</v>
      </c>
      <c r="H8" s="832">
        <v>4.8022</v>
      </c>
    </row>
    <row r="9" spans="1:8" x14ac:dyDescent="0.3">
      <c r="A9" s="50"/>
      <c r="B9" s="835"/>
      <c r="C9" s="837"/>
      <c r="D9" s="835"/>
      <c r="E9" s="837"/>
      <c r="F9" s="835"/>
      <c r="G9" s="837"/>
      <c r="H9" s="832"/>
    </row>
    <row r="10" spans="1:8" x14ac:dyDescent="0.3">
      <c r="A10" s="227" t="s">
        <v>1787</v>
      </c>
      <c r="B10" s="835" t="s">
        <v>1788</v>
      </c>
      <c r="C10" s="837">
        <v>11386.49</v>
      </c>
      <c r="D10" s="226" t="s">
        <v>1789</v>
      </c>
      <c r="E10" s="837">
        <v>121985.05</v>
      </c>
      <c r="F10" s="835" t="s">
        <v>1786</v>
      </c>
      <c r="G10" s="837">
        <v>110598.56</v>
      </c>
      <c r="H10" s="832">
        <v>9.7131000000000007</v>
      </c>
    </row>
    <row r="11" spans="1:8" x14ac:dyDescent="0.3">
      <c r="A11" s="228" t="s">
        <v>1790</v>
      </c>
      <c r="B11" s="835"/>
      <c r="C11" s="837"/>
      <c r="D11" s="228" t="s">
        <v>1791</v>
      </c>
      <c r="E11" s="837"/>
      <c r="F11" s="835"/>
      <c r="G11" s="837"/>
      <c r="H11" s="832"/>
    </row>
    <row r="12" spans="1:8" x14ac:dyDescent="0.3">
      <c r="A12" s="227" t="s">
        <v>1792</v>
      </c>
      <c r="B12" s="835"/>
      <c r="C12" s="837"/>
      <c r="D12" s="228" t="s">
        <v>1793</v>
      </c>
      <c r="E12" s="837"/>
      <c r="F12" s="835"/>
      <c r="G12" s="837"/>
      <c r="H12" s="832"/>
    </row>
    <row r="13" spans="1:8" ht="27.6" x14ac:dyDescent="0.3">
      <c r="A13" s="228" t="s">
        <v>1794</v>
      </c>
      <c r="B13" s="835"/>
      <c r="C13" s="837"/>
      <c r="D13" s="228" t="s">
        <v>1795</v>
      </c>
      <c r="E13" s="837"/>
      <c r="F13" s="835"/>
      <c r="G13" s="837"/>
      <c r="H13" s="832"/>
    </row>
    <row r="14" spans="1:8" x14ac:dyDescent="0.3">
      <c r="A14" s="229"/>
      <c r="B14" s="835"/>
      <c r="C14" s="837"/>
      <c r="D14" s="230" t="s">
        <v>1796</v>
      </c>
      <c r="E14" s="837"/>
      <c r="F14" s="835"/>
      <c r="G14" s="837"/>
      <c r="H14" s="832"/>
    </row>
    <row r="15" spans="1:8" x14ac:dyDescent="0.3">
      <c r="A15" s="226" t="s">
        <v>1797</v>
      </c>
      <c r="B15" s="835" t="s">
        <v>1784</v>
      </c>
      <c r="C15" s="837">
        <v>43222.32</v>
      </c>
      <c r="D15" s="835" t="s">
        <v>1785</v>
      </c>
      <c r="E15" s="837">
        <v>252000</v>
      </c>
      <c r="F15" s="835" t="s">
        <v>1786</v>
      </c>
      <c r="G15" s="837">
        <v>208777.68</v>
      </c>
      <c r="H15" s="832">
        <v>4.8303000000000003</v>
      </c>
    </row>
    <row r="16" spans="1:8" ht="27.6" x14ac:dyDescent="0.3">
      <c r="A16" s="228" t="s">
        <v>1798</v>
      </c>
      <c r="B16" s="835"/>
      <c r="C16" s="837"/>
      <c r="D16" s="835"/>
      <c r="E16" s="837"/>
      <c r="F16" s="835"/>
      <c r="G16" s="837"/>
      <c r="H16" s="832"/>
    </row>
    <row r="17" spans="1:8" x14ac:dyDescent="0.3">
      <c r="A17" s="50"/>
      <c r="B17" s="835"/>
      <c r="C17" s="837"/>
      <c r="D17" s="835"/>
      <c r="E17" s="837"/>
      <c r="F17" s="835"/>
      <c r="G17" s="837"/>
      <c r="H17" s="832"/>
    </row>
    <row r="18" spans="1:8" x14ac:dyDescent="0.3">
      <c r="A18" s="227" t="s">
        <v>1787</v>
      </c>
      <c r="B18" s="835" t="s">
        <v>1788</v>
      </c>
      <c r="C18" s="837">
        <v>11386.49</v>
      </c>
      <c r="D18" s="226" t="s">
        <v>1789</v>
      </c>
      <c r="E18" s="837">
        <v>75600</v>
      </c>
      <c r="F18" s="835" t="s">
        <v>1786</v>
      </c>
      <c r="G18" s="837">
        <v>64213.51</v>
      </c>
      <c r="H18" s="832">
        <v>5.6394000000000002</v>
      </c>
    </row>
    <row r="19" spans="1:8" x14ac:dyDescent="0.3">
      <c r="A19" s="228" t="s">
        <v>1799</v>
      </c>
      <c r="B19" s="835"/>
      <c r="C19" s="837"/>
      <c r="D19" s="228" t="s">
        <v>1791</v>
      </c>
      <c r="E19" s="837"/>
      <c r="F19" s="835"/>
      <c r="G19" s="837"/>
      <c r="H19" s="832"/>
    </row>
    <row r="20" spans="1:8" x14ac:dyDescent="0.3">
      <c r="A20" s="227" t="s">
        <v>1792</v>
      </c>
      <c r="B20" s="835"/>
      <c r="C20" s="837"/>
      <c r="D20" s="228" t="s">
        <v>1793</v>
      </c>
      <c r="E20" s="837"/>
      <c r="F20" s="835"/>
      <c r="G20" s="837"/>
      <c r="H20" s="832"/>
    </row>
    <row r="21" spans="1:8" x14ac:dyDescent="0.3">
      <c r="A21" s="228" t="s">
        <v>1800</v>
      </c>
      <c r="B21" s="835"/>
      <c r="C21" s="837"/>
      <c r="D21" s="228" t="s">
        <v>1795</v>
      </c>
      <c r="E21" s="837"/>
      <c r="F21" s="835"/>
      <c r="G21" s="837"/>
      <c r="H21" s="832"/>
    </row>
    <row r="22" spans="1:8" x14ac:dyDescent="0.3">
      <c r="A22" s="229"/>
      <c r="B22" s="835"/>
      <c r="C22" s="837"/>
      <c r="D22" s="230" t="s">
        <v>1796</v>
      </c>
      <c r="E22" s="837"/>
      <c r="F22" s="835"/>
      <c r="G22" s="837"/>
      <c r="H22" s="832"/>
    </row>
    <row r="23" spans="1:8" x14ac:dyDescent="0.3">
      <c r="A23" s="226" t="s">
        <v>1801</v>
      </c>
      <c r="B23" s="835" t="s">
        <v>1784</v>
      </c>
      <c r="C23" s="837">
        <v>42881.919999999998</v>
      </c>
      <c r="D23" s="835" t="s">
        <v>1785</v>
      </c>
      <c r="E23" s="837">
        <v>166025.5</v>
      </c>
      <c r="F23" s="835" t="s">
        <v>1786</v>
      </c>
      <c r="G23" s="837">
        <v>123143.58</v>
      </c>
      <c r="H23" s="832">
        <v>2.8717000000000001</v>
      </c>
    </row>
    <row r="24" spans="1:8" ht="41.4" x14ac:dyDescent="0.3">
      <c r="A24" s="228" t="s">
        <v>1802</v>
      </c>
      <c r="B24" s="835"/>
      <c r="C24" s="837"/>
      <c r="D24" s="835"/>
      <c r="E24" s="837"/>
      <c r="F24" s="835"/>
      <c r="G24" s="837"/>
      <c r="H24" s="832"/>
    </row>
    <row r="25" spans="1:8" ht="41.4" x14ac:dyDescent="0.3">
      <c r="A25" s="231" t="s">
        <v>1787</v>
      </c>
      <c r="B25" s="835" t="s">
        <v>1788</v>
      </c>
      <c r="C25" s="837">
        <v>7417.49</v>
      </c>
      <c r="D25" s="232" t="s">
        <v>1789</v>
      </c>
      <c r="E25" s="837">
        <v>87381.84</v>
      </c>
      <c r="F25" s="233" t="s">
        <v>1786</v>
      </c>
      <c r="G25" s="837">
        <v>79964.350000000006</v>
      </c>
      <c r="H25" s="832">
        <v>10.7805</v>
      </c>
    </row>
    <row r="26" spans="1:8" x14ac:dyDescent="0.3">
      <c r="A26" s="228" t="s">
        <v>1803</v>
      </c>
      <c r="B26" s="835"/>
      <c r="C26" s="837"/>
      <c r="D26" s="228" t="s">
        <v>1791</v>
      </c>
      <c r="E26" s="837"/>
      <c r="F26" s="841" t="s">
        <v>1815</v>
      </c>
      <c r="G26" s="837"/>
      <c r="H26" s="832"/>
    </row>
    <row r="27" spans="1:8" x14ac:dyDescent="0.3">
      <c r="A27" s="227" t="s">
        <v>1792</v>
      </c>
      <c r="B27" s="835"/>
      <c r="C27" s="837"/>
      <c r="D27" s="228" t="s">
        <v>1793</v>
      </c>
      <c r="E27" s="837"/>
      <c r="F27" s="841"/>
      <c r="G27" s="837"/>
      <c r="H27" s="832"/>
    </row>
    <row r="28" spans="1:8" ht="27.6" x14ac:dyDescent="0.3">
      <c r="A28" s="230" t="s">
        <v>1794</v>
      </c>
      <c r="B28" s="835"/>
      <c r="C28" s="837"/>
      <c r="D28" s="234" t="s">
        <v>1796</v>
      </c>
      <c r="E28" s="837"/>
      <c r="F28" s="841"/>
      <c r="G28" s="837"/>
      <c r="H28" s="832"/>
    </row>
    <row r="29" spans="1:8" x14ac:dyDescent="0.3">
      <c r="A29" s="226" t="s">
        <v>1804</v>
      </c>
      <c r="B29" s="835" t="s">
        <v>1784</v>
      </c>
      <c r="C29" s="837">
        <v>43222.32</v>
      </c>
      <c r="D29" s="835" t="s">
        <v>1785</v>
      </c>
      <c r="E29" s="837">
        <v>107220.96</v>
      </c>
      <c r="F29" s="835" t="s">
        <v>1786</v>
      </c>
      <c r="G29" s="837">
        <v>63998.64</v>
      </c>
      <c r="H29" s="832">
        <v>1.4806999999999999</v>
      </c>
    </row>
    <row r="30" spans="1:8" ht="27.6" x14ac:dyDescent="0.3">
      <c r="A30" s="228" t="s">
        <v>1805</v>
      </c>
      <c r="B30" s="835"/>
      <c r="C30" s="837"/>
      <c r="D30" s="835"/>
      <c r="E30" s="837"/>
      <c r="F30" s="835"/>
      <c r="G30" s="837"/>
      <c r="H30" s="832"/>
    </row>
    <row r="31" spans="1:8" x14ac:dyDescent="0.3">
      <c r="A31" s="50"/>
      <c r="B31" s="835"/>
      <c r="C31" s="837"/>
      <c r="D31" s="835"/>
      <c r="E31" s="837"/>
      <c r="F31" s="835"/>
      <c r="G31" s="837"/>
      <c r="H31" s="832"/>
    </row>
    <row r="32" spans="1:8" x14ac:dyDescent="0.3">
      <c r="A32" s="227" t="s">
        <v>1787</v>
      </c>
      <c r="B32" s="835" t="s">
        <v>1788</v>
      </c>
      <c r="C32" s="837">
        <v>11386.49</v>
      </c>
      <c r="D32" s="226" t="s">
        <v>1789</v>
      </c>
      <c r="E32" s="837">
        <v>44100</v>
      </c>
      <c r="F32" s="835" t="s">
        <v>1786</v>
      </c>
      <c r="G32" s="837">
        <v>32713.51</v>
      </c>
      <c r="H32" s="832">
        <v>2.8730000000000002</v>
      </c>
    </row>
    <row r="33" spans="1:8" x14ac:dyDescent="0.3">
      <c r="A33" s="228" t="s">
        <v>1806</v>
      </c>
      <c r="B33" s="835"/>
      <c r="C33" s="837"/>
      <c r="D33" s="228" t="s">
        <v>1791</v>
      </c>
      <c r="E33" s="837"/>
      <c r="F33" s="835"/>
      <c r="G33" s="837"/>
      <c r="H33" s="832"/>
    </row>
    <row r="34" spans="1:8" x14ac:dyDescent="0.3">
      <c r="A34" s="227" t="s">
        <v>1792</v>
      </c>
      <c r="B34" s="835"/>
      <c r="C34" s="837"/>
      <c r="D34" s="228" t="s">
        <v>1793</v>
      </c>
      <c r="E34" s="837"/>
      <c r="F34" s="835"/>
      <c r="G34" s="837"/>
      <c r="H34" s="832"/>
    </row>
    <row r="35" spans="1:8" ht="27.6" x14ac:dyDescent="0.3">
      <c r="A35" s="228" t="s">
        <v>1807</v>
      </c>
      <c r="B35" s="835"/>
      <c r="C35" s="837"/>
      <c r="D35" s="228" t="s">
        <v>1795</v>
      </c>
      <c r="E35" s="837"/>
      <c r="F35" s="835"/>
      <c r="G35" s="837"/>
      <c r="H35" s="832"/>
    </row>
    <row r="36" spans="1:8" ht="27.6" x14ac:dyDescent="0.3">
      <c r="A36" s="229"/>
      <c r="B36" s="835"/>
      <c r="C36" s="837"/>
      <c r="D36" s="230" t="s">
        <v>1796</v>
      </c>
      <c r="E36" s="837"/>
      <c r="F36" s="835"/>
      <c r="G36" s="837"/>
      <c r="H36" s="832"/>
    </row>
    <row r="37" spans="1:8" x14ac:dyDescent="0.3">
      <c r="A37" s="226" t="s">
        <v>1808</v>
      </c>
      <c r="B37" s="835" t="s">
        <v>1784</v>
      </c>
      <c r="C37" s="837">
        <v>43222.32</v>
      </c>
      <c r="D37" s="835" t="s">
        <v>1785</v>
      </c>
      <c r="E37" s="837">
        <v>261643.2</v>
      </c>
      <c r="F37" s="835" t="s">
        <v>1786</v>
      </c>
      <c r="G37" s="837">
        <v>218420.88</v>
      </c>
      <c r="H37" s="832">
        <v>5.0533999999999999</v>
      </c>
    </row>
    <row r="38" spans="1:8" ht="41.4" x14ac:dyDescent="0.3">
      <c r="A38" s="228" t="s">
        <v>1809</v>
      </c>
      <c r="B38" s="839"/>
      <c r="C38" s="840"/>
      <c r="D38" s="839"/>
      <c r="E38" s="840"/>
      <c r="F38" s="839"/>
      <c r="G38" s="840"/>
      <c r="H38" s="833"/>
    </row>
    <row r="39" spans="1:8" x14ac:dyDescent="0.3">
      <c r="A39" s="227" t="s">
        <v>1787</v>
      </c>
      <c r="B39" s="834" t="s">
        <v>1788</v>
      </c>
      <c r="C39" s="836">
        <v>11386.49</v>
      </c>
      <c r="D39" s="228" t="s">
        <v>1789</v>
      </c>
      <c r="E39" s="836">
        <v>95935.84</v>
      </c>
      <c r="F39" s="834" t="s">
        <v>1786</v>
      </c>
      <c r="G39" s="836">
        <v>84549.35</v>
      </c>
      <c r="H39" s="838">
        <v>7.4253999999999998</v>
      </c>
    </row>
    <row r="40" spans="1:8" x14ac:dyDescent="0.3">
      <c r="A40" s="235">
        <v>24575622.940000001</v>
      </c>
      <c r="B40" s="835"/>
      <c r="C40" s="837"/>
      <c r="D40" s="228" t="s">
        <v>1791</v>
      </c>
      <c r="E40" s="837"/>
      <c r="F40" s="835"/>
      <c r="G40" s="837"/>
      <c r="H40" s="832"/>
    </row>
    <row r="41" spans="1:8" x14ac:dyDescent="0.3">
      <c r="A41" s="227" t="s">
        <v>1792</v>
      </c>
      <c r="B41" s="835"/>
      <c r="C41" s="837"/>
      <c r="D41" s="228" t="s">
        <v>1793</v>
      </c>
      <c r="E41" s="837"/>
      <c r="F41" s="835"/>
      <c r="G41" s="837"/>
      <c r="H41" s="832"/>
    </row>
    <row r="42" spans="1:8" x14ac:dyDescent="0.3">
      <c r="A42" s="228" t="s">
        <v>1810</v>
      </c>
      <c r="B42" s="835"/>
      <c r="C42" s="837"/>
      <c r="D42" s="228" t="s">
        <v>1795</v>
      </c>
      <c r="E42" s="837"/>
      <c r="F42" s="835"/>
      <c r="G42" s="837"/>
      <c r="H42" s="832"/>
    </row>
    <row r="43" spans="1:8" ht="27.6" x14ac:dyDescent="0.3">
      <c r="A43" s="229"/>
      <c r="B43" s="835"/>
      <c r="C43" s="837"/>
      <c r="D43" s="230" t="s">
        <v>1796</v>
      </c>
      <c r="E43" s="837"/>
      <c r="F43" s="835"/>
      <c r="G43" s="837"/>
      <c r="H43" s="832"/>
    </row>
    <row r="44" spans="1:8" x14ac:dyDescent="0.3">
      <c r="A44" s="743" t="s">
        <v>759</v>
      </c>
      <c r="B44" s="743"/>
      <c r="C44" s="744">
        <v>270692.69</v>
      </c>
      <c r="D44" s="745"/>
      <c r="E44" s="744">
        <v>1474037.91</v>
      </c>
      <c r="F44" s="743"/>
      <c r="G44" s="744">
        <v>1203345.22</v>
      </c>
      <c r="H44" s="746">
        <v>4.4454200000000004</v>
      </c>
    </row>
  </sheetData>
  <sheetProtection algorithmName="SHA-512" hashValue="pi0ZMpOiqxgnFARkbtP1BVQPkAR6rgZY7mjyHn9GQqTa0xZHU4tIbz7ypLr5C5rJQ7E++sGIs2VtsAoEYmg3yw==" saltValue="Oclrjl1G/gWlJUVuOH8FpQ==" spinCount="100000" sheet="1" objects="1" scenarios="1" selectLockedCells="1" selectUnlockedCells="1"/>
  <mergeCells count="71">
    <mergeCell ref="A5:A7"/>
    <mergeCell ref="B5:B7"/>
    <mergeCell ref="C5:D5"/>
    <mergeCell ref="E5:F6"/>
    <mergeCell ref="G5:H6"/>
    <mergeCell ref="C6:D6"/>
    <mergeCell ref="H8:H9"/>
    <mergeCell ref="B10:B14"/>
    <mergeCell ref="C10:C14"/>
    <mergeCell ref="E10:E14"/>
    <mergeCell ref="F10:F14"/>
    <mergeCell ref="G10:G14"/>
    <mergeCell ref="H10:H14"/>
    <mergeCell ref="B8:B9"/>
    <mergeCell ref="C8:C9"/>
    <mergeCell ref="D8:D9"/>
    <mergeCell ref="E8:E9"/>
    <mergeCell ref="F8:F9"/>
    <mergeCell ref="G8:G9"/>
    <mergeCell ref="H15:H17"/>
    <mergeCell ref="B18:B22"/>
    <mergeCell ref="C18:C22"/>
    <mergeCell ref="E18:E22"/>
    <mergeCell ref="F18:F22"/>
    <mergeCell ref="G18:G22"/>
    <mergeCell ref="H18:H22"/>
    <mergeCell ref="B15:B17"/>
    <mergeCell ref="C15:C17"/>
    <mergeCell ref="D15:D17"/>
    <mergeCell ref="E15:E17"/>
    <mergeCell ref="F15:F17"/>
    <mergeCell ref="G15:G17"/>
    <mergeCell ref="H23:H24"/>
    <mergeCell ref="B25:B28"/>
    <mergeCell ref="C25:C28"/>
    <mergeCell ref="E25:E28"/>
    <mergeCell ref="G25:G28"/>
    <mergeCell ref="H25:H28"/>
    <mergeCell ref="F26:F28"/>
    <mergeCell ref="B23:B24"/>
    <mergeCell ref="C23:C24"/>
    <mergeCell ref="D23:D24"/>
    <mergeCell ref="E23:E24"/>
    <mergeCell ref="F23:F24"/>
    <mergeCell ref="G23:G24"/>
    <mergeCell ref="H29:H31"/>
    <mergeCell ref="B32:B36"/>
    <mergeCell ref="C32:C36"/>
    <mergeCell ref="E32:E36"/>
    <mergeCell ref="F32:F36"/>
    <mergeCell ref="G32:G36"/>
    <mergeCell ref="H32:H36"/>
    <mergeCell ref="B29:B31"/>
    <mergeCell ref="C29:C31"/>
    <mergeCell ref="D29:D31"/>
    <mergeCell ref="E29:E31"/>
    <mergeCell ref="F29:F31"/>
    <mergeCell ref="G29:G31"/>
    <mergeCell ref="H37:H38"/>
    <mergeCell ref="B39:B43"/>
    <mergeCell ref="C39:C43"/>
    <mergeCell ref="E39:E43"/>
    <mergeCell ref="F39:F43"/>
    <mergeCell ref="G39:G43"/>
    <mergeCell ref="H39:H43"/>
    <mergeCell ref="B37:B38"/>
    <mergeCell ref="C37:C38"/>
    <mergeCell ref="D37:D38"/>
    <mergeCell ref="E37:E38"/>
    <mergeCell ref="F37:F38"/>
    <mergeCell ref="G37:G38"/>
  </mergeCells>
  <printOptions horizontalCentered="1"/>
  <pageMargins left="0.70866141732283472" right="0.70866141732283472" top="1.4960629921259843" bottom="0.74803149606299213" header="0.31496062992125984" footer="0.31496062992125984"/>
  <pageSetup scale="92" fitToHeight="0" orientation="landscape" r:id="rId1"/>
  <headerFooter>
    <oddHeader>&amp;R&amp;"Times New Roman,Regular"&amp;12
Annex O
AAR Page 155</oddHeader>
  </headerFooter>
  <rowBreaks count="1" manualBreakCount="1">
    <brk id="24" max="7"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264"/>
  <sheetViews>
    <sheetView zoomScaleNormal="100" zoomScaleSheetLayoutView="80" zoomScalePageLayoutView="60" workbookViewId="0"/>
  </sheetViews>
  <sheetFormatPr defaultColWidth="8.88671875" defaultRowHeight="13.8" x14ac:dyDescent="0.25"/>
  <cols>
    <col min="1" max="1" width="6.33203125" style="209" customWidth="1"/>
    <col min="2" max="2" width="19.6640625" style="208" customWidth="1"/>
    <col min="3" max="3" width="16.44140625" style="209" customWidth="1"/>
    <col min="4" max="4" width="18.33203125" style="210" customWidth="1"/>
    <col min="5" max="5" width="16" style="210" customWidth="1"/>
    <col min="6" max="6" width="52.88671875" style="211" customWidth="1"/>
    <col min="7" max="16384" width="8.88671875" style="212"/>
  </cols>
  <sheetData>
    <row r="1" spans="1:6" x14ac:dyDescent="0.25">
      <c r="A1" s="207" t="s">
        <v>0</v>
      </c>
    </row>
    <row r="2" spans="1:6" x14ac:dyDescent="0.25">
      <c r="A2" s="207" t="s">
        <v>3</v>
      </c>
    </row>
    <row r="3" spans="1:6" x14ac:dyDescent="0.25">
      <c r="A3" s="213" t="s">
        <v>1618</v>
      </c>
    </row>
    <row r="4" spans="1:6" x14ac:dyDescent="0.25">
      <c r="A4" s="214" t="s">
        <v>1619</v>
      </c>
    </row>
    <row r="5" spans="1:6" x14ac:dyDescent="0.25">
      <c r="A5" s="207" t="s">
        <v>5</v>
      </c>
    </row>
    <row r="6" spans="1:6" x14ac:dyDescent="0.25">
      <c r="A6" s="207"/>
    </row>
    <row r="8" spans="1:6" ht="45" customHeight="1" x14ac:dyDescent="0.25">
      <c r="A8" s="215" t="s">
        <v>1620</v>
      </c>
      <c r="B8" s="215" t="s">
        <v>1621</v>
      </c>
      <c r="C8" s="215" t="s">
        <v>1622</v>
      </c>
      <c r="D8" s="215" t="s">
        <v>1623</v>
      </c>
      <c r="E8" s="215" t="s">
        <v>1624</v>
      </c>
      <c r="F8" s="215" t="s">
        <v>1625</v>
      </c>
    </row>
    <row r="9" spans="1:6" s="210" customFormat="1" ht="55.2" x14ac:dyDescent="0.3">
      <c r="A9" s="865">
        <v>1</v>
      </c>
      <c r="B9" s="868" t="s">
        <v>1626</v>
      </c>
      <c r="C9" s="865" t="s">
        <v>1627</v>
      </c>
      <c r="D9" s="847">
        <v>16000000</v>
      </c>
      <c r="E9" s="871">
        <v>15950187.93</v>
      </c>
      <c r="F9" s="533" t="s">
        <v>1628</v>
      </c>
    </row>
    <row r="10" spans="1:6" s="210" customFormat="1" ht="27.6" x14ac:dyDescent="0.3">
      <c r="A10" s="866"/>
      <c r="B10" s="869"/>
      <c r="C10" s="866"/>
      <c r="D10" s="848"/>
      <c r="E10" s="871"/>
      <c r="F10" s="613" t="s">
        <v>1629</v>
      </c>
    </row>
    <row r="11" spans="1:6" s="210" customFormat="1" ht="41.4" x14ac:dyDescent="0.3">
      <c r="A11" s="866"/>
      <c r="B11" s="869"/>
      <c r="C11" s="866"/>
      <c r="D11" s="848"/>
      <c r="E11" s="871"/>
      <c r="F11" s="613" t="s">
        <v>1630</v>
      </c>
    </row>
    <row r="12" spans="1:6" s="210" customFormat="1" ht="41.4" x14ac:dyDescent="0.3">
      <c r="A12" s="866"/>
      <c r="B12" s="869"/>
      <c r="C12" s="866"/>
      <c r="D12" s="848"/>
      <c r="E12" s="871"/>
      <c r="F12" s="613" t="s">
        <v>1631</v>
      </c>
    </row>
    <row r="13" spans="1:6" s="210" customFormat="1" ht="41.4" x14ac:dyDescent="0.3">
      <c r="A13" s="866"/>
      <c r="B13" s="869"/>
      <c r="C13" s="866"/>
      <c r="D13" s="848"/>
      <c r="E13" s="871"/>
      <c r="F13" s="613" t="s">
        <v>1632</v>
      </c>
    </row>
    <row r="14" spans="1:6" s="210" customFormat="1" ht="55.2" x14ac:dyDescent="0.3">
      <c r="A14" s="866"/>
      <c r="B14" s="869"/>
      <c r="C14" s="866"/>
      <c r="D14" s="848"/>
      <c r="E14" s="871"/>
      <c r="F14" s="613" t="s">
        <v>1633</v>
      </c>
    </row>
    <row r="15" spans="1:6" s="210" customFormat="1" ht="41.4" x14ac:dyDescent="0.3">
      <c r="A15" s="866"/>
      <c r="B15" s="869"/>
      <c r="C15" s="866"/>
      <c r="D15" s="848"/>
      <c r="E15" s="871"/>
      <c r="F15" s="613" t="s">
        <v>1634</v>
      </c>
    </row>
    <row r="16" spans="1:6" s="210" customFormat="1" ht="41.4" x14ac:dyDescent="0.3">
      <c r="A16" s="866"/>
      <c r="B16" s="869"/>
      <c r="C16" s="866"/>
      <c r="D16" s="848"/>
      <c r="E16" s="871"/>
      <c r="F16" s="613" t="s">
        <v>1635</v>
      </c>
    </row>
    <row r="17" spans="1:6" s="210" customFormat="1" ht="41.4" x14ac:dyDescent="0.3">
      <c r="A17" s="866"/>
      <c r="B17" s="869"/>
      <c r="C17" s="866"/>
      <c r="D17" s="848"/>
      <c r="E17" s="871"/>
      <c r="F17" s="613" t="s">
        <v>1636</v>
      </c>
    </row>
    <row r="18" spans="1:6" s="210" customFormat="1" ht="41.4" x14ac:dyDescent="0.3">
      <c r="A18" s="866"/>
      <c r="B18" s="869"/>
      <c r="C18" s="866"/>
      <c r="D18" s="848"/>
      <c r="E18" s="871"/>
      <c r="F18" s="613" t="s">
        <v>1637</v>
      </c>
    </row>
    <row r="19" spans="1:6" s="210" customFormat="1" ht="55.2" x14ac:dyDescent="0.3">
      <c r="A19" s="866"/>
      <c r="B19" s="869"/>
      <c r="C19" s="866"/>
      <c r="D19" s="848"/>
      <c r="E19" s="871"/>
      <c r="F19" s="613" t="s">
        <v>1638</v>
      </c>
    </row>
    <row r="20" spans="1:6" s="210" customFormat="1" x14ac:dyDescent="0.3">
      <c r="A20" s="866"/>
      <c r="B20" s="869"/>
      <c r="C20" s="866"/>
      <c r="D20" s="848"/>
      <c r="E20" s="871"/>
      <c r="F20" s="613" t="s">
        <v>1639</v>
      </c>
    </row>
    <row r="21" spans="1:6" s="210" customFormat="1" ht="41.4" x14ac:dyDescent="0.3">
      <c r="A21" s="866"/>
      <c r="B21" s="869"/>
      <c r="C21" s="866"/>
      <c r="D21" s="848"/>
      <c r="E21" s="871"/>
      <c r="F21" s="613" t="s">
        <v>1640</v>
      </c>
    </row>
    <row r="22" spans="1:6" s="210" customFormat="1" ht="27.6" x14ac:dyDescent="0.3">
      <c r="A22" s="866"/>
      <c r="B22" s="869"/>
      <c r="C22" s="866"/>
      <c r="D22" s="848"/>
      <c r="E22" s="871"/>
      <c r="F22" s="613" t="s">
        <v>1641</v>
      </c>
    </row>
    <row r="23" spans="1:6" s="210" customFormat="1" ht="41.4" x14ac:dyDescent="0.3">
      <c r="A23" s="867"/>
      <c r="B23" s="870"/>
      <c r="C23" s="867"/>
      <c r="D23" s="849"/>
      <c r="E23" s="871"/>
      <c r="F23" s="613" t="s">
        <v>1642</v>
      </c>
    </row>
    <row r="24" spans="1:6" s="210" customFormat="1" ht="4.5" customHeight="1" x14ac:dyDescent="0.3">
      <c r="A24" s="217"/>
      <c r="B24" s="218"/>
      <c r="C24" s="217"/>
      <c r="D24" s="219"/>
      <c r="E24" s="219"/>
      <c r="F24" s="218"/>
    </row>
    <row r="25" spans="1:6" s="210" customFormat="1" ht="55.2" x14ac:dyDescent="0.3">
      <c r="A25" s="477">
        <f>A9+1</f>
        <v>2</v>
      </c>
      <c r="B25" s="478" t="s">
        <v>1643</v>
      </c>
      <c r="C25" s="478" t="s">
        <v>1627</v>
      </c>
      <c r="D25" s="737">
        <v>14000000</v>
      </c>
      <c r="E25" s="737">
        <v>13989999.59</v>
      </c>
      <c r="F25" s="613" t="s">
        <v>1628</v>
      </c>
    </row>
    <row r="26" spans="1:6" s="210" customFormat="1" ht="27.6" x14ac:dyDescent="0.3">
      <c r="A26" s="738"/>
      <c r="B26" s="739"/>
      <c r="C26" s="739"/>
      <c r="D26" s="739"/>
      <c r="E26" s="739"/>
      <c r="F26" s="613" t="s">
        <v>1629</v>
      </c>
    </row>
    <row r="27" spans="1:6" s="210" customFormat="1" ht="41.4" x14ac:dyDescent="0.3">
      <c r="A27" s="738"/>
      <c r="B27" s="739"/>
      <c r="C27" s="739"/>
      <c r="D27" s="739"/>
      <c r="E27" s="739"/>
      <c r="F27" s="613" t="s">
        <v>1644</v>
      </c>
    </row>
    <row r="28" spans="1:6" s="210" customFormat="1" ht="41.4" x14ac:dyDescent="0.3">
      <c r="A28" s="738"/>
      <c r="B28" s="739"/>
      <c r="C28" s="739"/>
      <c r="D28" s="739"/>
      <c r="E28" s="739"/>
      <c r="F28" s="613" t="s">
        <v>1645</v>
      </c>
    </row>
    <row r="29" spans="1:6" s="210" customFormat="1" ht="41.4" x14ac:dyDescent="0.3">
      <c r="A29" s="738"/>
      <c r="B29" s="739"/>
      <c r="C29" s="739"/>
      <c r="D29" s="739"/>
      <c r="E29" s="739"/>
      <c r="F29" s="613" t="s">
        <v>1646</v>
      </c>
    </row>
    <row r="30" spans="1:6" s="210" customFormat="1" ht="41.4" x14ac:dyDescent="0.3">
      <c r="A30" s="738"/>
      <c r="B30" s="739"/>
      <c r="C30" s="739"/>
      <c r="D30" s="739"/>
      <c r="E30" s="739"/>
      <c r="F30" s="613" t="s">
        <v>1647</v>
      </c>
    </row>
    <row r="31" spans="1:6" s="210" customFormat="1" ht="41.4" x14ac:dyDescent="0.3">
      <c r="A31" s="738"/>
      <c r="B31" s="739"/>
      <c r="C31" s="739"/>
      <c r="D31" s="739"/>
      <c r="E31" s="739"/>
      <c r="F31" s="742" t="s">
        <v>1635</v>
      </c>
    </row>
    <row r="32" spans="1:6" s="210" customFormat="1" ht="41.4" x14ac:dyDescent="0.3">
      <c r="A32" s="738"/>
      <c r="B32" s="739"/>
      <c r="C32" s="739"/>
      <c r="D32" s="739"/>
      <c r="E32" s="739"/>
      <c r="F32" s="613" t="s">
        <v>1648</v>
      </c>
    </row>
    <row r="33" spans="1:6" s="210" customFormat="1" ht="41.4" x14ac:dyDescent="0.3">
      <c r="A33" s="738"/>
      <c r="B33" s="739"/>
      <c r="C33" s="739"/>
      <c r="D33" s="739"/>
      <c r="E33" s="739"/>
      <c r="F33" s="613" t="s">
        <v>1637</v>
      </c>
    </row>
    <row r="34" spans="1:6" s="210" customFormat="1" ht="55.2" x14ac:dyDescent="0.3">
      <c r="A34" s="738"/>
      <c r="B34" s="739"/>
      <c r="C34" s="739"/>
      <c r="D34" s="739"/>
      <c r="E34" s="739"/>
      <c r="F34" s="613" t="s">
        <v>1649</v>
      </c>
    </row>
    <row r="35" spans="1:6" s="210" customFormat="1" ht="55.2" x14ac:dyDescent="0.3">
      <c r="A35" s="738"/>
      <c r="B35" s="739"/>
      <c r="C35" s="739"/>
      <c r="D35" s="739"/>
      <c r="E35" s="739"/>
      <c r="F35" s="613" t="s">
        <v>1650</v>
      </c>
    </row>
    <row r="36" spans="1:6" s="210" customFormat="1" ht="41.4" x14ac:dyDescent="0.3">
      <c r="A36" s="738"/>
      <c r="B36" s="739"/>
      <c r="C36" s="739"/>
      <c r="D36" s="739"/>
      <c r="E36" s="739"/>
      <c r="F36" s="613" t="s">
        <v>1651</v>
      </c>
    </row>
    <row r="37" spans="1:6" s="210" customFormat="1" x14ac:dyDescent="0.3">
      <c r="A37" s="738"/>
      <c r="B37" s="739"/>
      <c r="C37" s="739"/>
      <c r="D37" s="739"/>
      <c r="E37" s="739"/>
      <c r="F37" s="613" t="s">
        <v>1639</v>
      </c>
    </row>
    <row r="38" spans="1:6" s="210" customFormat="1" ht="41.4" x14ac:dyDescent="0.3">
      <c r="A38" s="738"/>
      <c r="B38" s="739"/>
      <c r="C38" s="739"/>
      <c r="D38" s="739"/>
      <c r="E38" s="739"/>
      <c r="F38" s="613" t="s">
        <v>1652</v>
      </c>
    </row>
    <row r="39" spans="1:6" s="210" customFormat="1" ht="55.2" x14ac:dyDescent="0.3">
      <c r="A39" s="738"/>
      <c r="B39" s="739"/>
      <c r="C39" s="739"/>
      <c r="D39" s="739"/>
      <c r="E39" s="739"/>
      <c r="F39" s="299" t="s">
        <v>1653</v>
      </c>
    </row>
    <row r="40" spans="1:6" s="210" customFormat="1" ht="27.6" x14ac:dyDescent="0.3">
      <c r="A40" s="738"/>
      <c r="B40" s="739"/>
      <c r="C40" s="739"/>
      <c r="D40" s="739"/>
      <c r="E40" s="739"/>
      <c r="F40" s="613" t="s">
        <v>1654</v>
      </c>
    </row>
    <row r="41" spans="1:6" s="210" customFormat="1" ht="41.4" x14ac:dyDescent="0.3">
      <c r="A41" s="740"/>
      <c r="B41" s="741"/>
      <c r="C41" s="741"/>
      <c r="D41" s="741"/>
      <c r="E41" s="741"/>
      <c r="F41" s="613" t="s">
        <v>1642</v>
      </c>
    </row>
    <row r="42" spans="1:6" s="210" customFormat="1" ht="4.5" customHeight="1" x14ac:dyDescent="0.3">
      <c r="A42" s="217"/>
      <c r="B42" s="218"/>
      <c r="C42" s="217"/>
      <c r="D42" s="219"/>
      <c r="E42" s="220"/>
      <c r="F42" s="218"/>
    </row>
    <row r="43" spans="1:6" s="210" customFormat="1" ht="69" x14ac:dyDescent="0.3">
      <c r="A43" s="481">
        <f>A25+1</f>
        <v>3</v>
      </c>
      <c r="B43" s="482" t="s">
        <v>1655</v>
      </c>
      <c r="C43" s="479" t="s">
        <v>1627</v>
      </c>
      <c r="D43" s="730">
        <v>15000000</v>
      </c>
      <c r="E43" s="730">
        <v>14996838.5</v>
      </c>
      <c r="F43" s="613" t="s">
        <v>1628</v>
      </c>
    </row>
    <row r="44" spans="1:6" s="210" customFormat="1" ht="27.6" x14ac:dyDescent="0.3">
      <c r="A44" s="731"/>
      <c r="B44" s="732"/>
      <c r="C44" s="733"/>
      <c r="D44" s="733"/>
      <c r="E44" s="733"/>
      <c r="F44" s="613" t="s">
        <v>1629</v>
      </c>
    </row>
    <row r="45" spans="1:6" s="210" customFormat="1" ht="41.4" x14ac:dyDescent="0.3">
      <c r="A45" s="731"/>
      <c r="B45" s="732"/>
      <c r="C45" s="733"/>
      <c r="D45" s="733"/>
      <c r="E45" s="733"/>
      <c r="F45" s="613" t="s">
        <v>1656</v>
      </c>
    </row>
    <row r="46" spans="1:6" s="210" customFormat="1" ht="41.4" x14ac:dyDescent="0.3">
      <c r="A46" s="731"/>
      <c r="B46" s="732"/>
      <c r="C46" s="733"/>
      <c r="D46" s="733"/>
      <c r="E46" s="733"/>
      <c r="F46" s="613" t="s">
        <v>1657</v>
      </c>
    </row>
    <row r="47" spans="1:6" s="210" customFormat="1" ht="41.4" x14ac:dyDescent="0.3">
      <c r="A47" s="731"/>
      <c r="B47" s="732"/>
      <c r="C47" s="733"/>
      <c r="D47" s="733"/>
      <c r="E47" s="733"/>
      <c r="F47" s="613" t="s">
        <v>1658</v>
      </c>
    </row>
    <row r="48" spans="1:6" s="210" customFormat="1" ht="41.4" x14ac:dyDescent="0.3">
      <c r="A48" s="731"/>
      <c r="B48" s="732"/>
      <c r="C48" s="733"/>
      <c r="D48" s="733"/>
      <c r="E48" s="733"/>
      <c r="F48" s="613" t="s">
        <v>1659</v>
      </c>
    </row>
    <row r="49" spans="1:7" s="210" customFormat="1" ht="41.4" x14ac:dyDescent="0.3">
      <c r="A49" s="731"/>
      <c r="B49" s="732"/>
      <c r="C49" s="733"/>
      <c r="D49" s="733"/>
      <c r="E49" s="733"/>
      <c r="F49" s="613" t="s">
        <v>1660</v>
      </c>
    </row>
    <row r="50" spans="1:7" s="210" customFormat="1" ht="41.4" x14ac:dyDescent="0.3">
      <c r="A50" s="731"/>
      <c r="B50" s="732"/>
      <c r="C50" s="733"/>
      <c r="D50" s="733"/>
      <c r="E50" s="733"/>
      <c r="F50" s="613" t="s">
        <v>1635</v>
      </c>
    </row>
    <row r="51" spans="1:7" s="210" customFormat="1" ht="41.4" x14ac:dyDescent="0.3">
      <c r="A51" s="731"/>
      <c r="B51" s="732"/>
      <c r="C51" s="733"/>
      <c r="D51" s="733"/>
      <c r="E51" s="733"/>
      <c r="F51" s="613" t="s">
        <v>1637</v>
      </c>
    </row>
    <row r="52" spans="1:7" s="210" customFormat="1" ht="69" x14ac:dyDescent="0.3">
      <c r="A52" s="731"/>
      <c r="B52" s="732"/>
      <c r="C52" s="733"/>
      <c r="D52" s="733"/>
      <c r="E52" s="733"/>
      <c r="F52" s="613" t="s">
        <v>1661</v>
      </c>
    </row>
    <row r="53" spans="1:7" s="210" customFormat="1" ht="55.2" x14ac:dyDescent="0.3">
      <c r="A53" s="731"/>
      <c r="B53" s="732"/>
      <c r="C53" s="733"/>
      <c r="D53" s="733"/>
      <c r="E53" s="733"/>
      <c r="F53" s="613" t="s">
        <v>1662</v>
      </c>
    </row>
    <row r="54" spans="1:7" s="210" customFormat="1" x14ac:dyDescent="0.3">
      <c r="A54" s="731"/>
      <c r="B54" s="732"/>
      <c r="C54" s="733"/>
      <c r="D54" s="733"/>
      <c r="E54" s="733"/>
      <c r="F54" s="613" t="s">
        <v>1639</v>
      </c>
    </row>
    <row r="55" spans="1:7" s="210" customFormat="1" ht="41.4" x14ac:dyDescent="0.3">
      <c r="A55" s="731"/>
      <c r="B55" s="732"/>
      <c r="C55" s="733"/>
      <c r="D55" s="733"/>
      <c r="E55" s="733"/>
      <c r="F55" s="613" t="s">
        <v>1663</v>
      </c>
    </row>
    <row r="56" spans="1:7" s="210" customFormat="1" ht="55.2" x14ac:dyDescent="0.3">
      <c r="A56" s="731"/>
      <c r="B56" s="732"/>
      <c r="C56" s="733"/>
      <c r="D56" s="733"/>
      <c r="E56" s="733"/>
      <c r="F56" s="613" t="s">
        <v>1664</v>
      </c>
    </row>
    <row r="57" spans="1:7" s="210" customFormat="1" ht="27.6" x14ac:dyDescent="0.3">
      <c r="A57" s="731"/>
      <c r="B57" s="732"/>
      <c r="C57" s="733"/>
      <c r="D57" s="733"/>
      <c r="E57" s="733"/>
      <c r="F57" s="613" t="s">
        <v>1665</v>
      </c>
    </row>
    <row r="58" spans="1:7" s="210" customFormat="1" ht="41.4" x14ac:dyDescent="0.3">
      <c r="A58" s="734"/>
      <c r="B58" s="735"/>
      <c r="C58" s="736"/>
      <c r="D58" s="736"/>
      <c r="E58" s="736"/>
      <c r="F58" s="613" t="s">
        <v>1642</v>
      </c>
    </row>
    <row r="59" spans="1:7" s="210" customFormat="1" ht="4.5" customHeight="1" x14ac:dyDescent="0.3">
      <c r="A59" s="217"/>
      <c r="B59" s="218"/>
      <c r="C59" s="217"/>
      <c r="D59" s="221"/>
      <c r="E59" s="221"/>
      <c r="F59" s="218"/>
    </row>
    <row r="60" spans="1:7" s="210" customFormat="1" ht="55.2" x14ac:dyDescent="0.3">
      <c r="A60" s="859">
        <f>A43+1</f>
        <v>4</v>
      </c>
      <c r="B60" s="862" t="s">
        <v>1775</v>
      </c>
      <c r="C60" s="862" t="s">
        <v>1627</v>
      </c>
      <c r="D60" s="862">
        <v>20000000</v>
      </c>
      <c r="E60" s="862">
        <v>19943123.52</v>
      </c>
      <c r="F60" s="613" t="s">
        <v>1628</v>
      </c>
      <c r="G60" s="208"/>
    </row>
    <row r="61" spans="1:7" s="210" customFormat="1" ht="27.6" x14ac:dyDescent="0.3">
      <c r="A61" s="860"/>
      <c r="B61" s="863"/>
      <c r="C61" s="863"/>
      <c r="D61" s="863"/>
      <c r="E61" s="863"/>
      <c r="F61" s="613" t="s">
        <v>1629</v>
      </c>
      <c r="G61" s="208"/>
    </row>
    <row r="62" spans="1:7" s="210" customFormat="1" ht="41.4" x14ac:dyDescent="0.3">
      <c r="A62" s="860"/>
      <c r="B62" s="863"/>
      <c r="C62" s="863"/>
      <c r="D62" s="863"/>
      <c r="E62" s="863"/>
      <c r="F62" s="613" t="s">
        <v>1656</v>
      </c>
      <c r="G62" s="614"/>
    </row>
    <row r="63" spans="1:7" s="210" customFormat="1" ht="41.4" x14ac:dyDescent="0.3">
      <c r="A63" s="860"/>
      <c r="B63" s="863"/>
      <c r="C63" s="863"/>
      <c r="D63" s="863"/>
      <c r="E63" s="863"/>
      <c r="F63" s="613" t="s">
        <v>1666</v>
      </c>
      <c r="G63" s="614"/>
    </row>
    <row r="64" spans="1:7" s="210" customFormat="1" ht="41.4" x14ac:dyDescent="0.3">
      <c r="A64" s="860"/>
      <c r="B64" s="863"/>
      <c r="C64" s="863"/>
      <c r="D64" s="863"/>
      <c r="E64" s="863"/>
      <c r="F64" s="613" t="s">
        <v>1667</v>
      </c>
      <c r="G64" s="614"/>
    </row>
    <row r="65" spans="1:7" s="210" customFormat="1" ht="41.4" x14ac:dyDescent="0.3">
      <c r="A65" s="860"/>
      <c r="B65" s="863"/>
      <c r="C65" s="863"/>
      <c r="D65" s="863"/>
      <c r="E65" s="863"/>
      <c r="F65" s="613" t="s">
        <v>1668</v>
      </c>
      <c r="G65" s="615"/>
    </row>
    <row r="66" spans="1:7" s="210" customFormat="1" ht="41.4" x14ac:dyDescent="0.3">
      <c r="A66" s="860"/>
      <c r="B66" s="863"/>
      <c r="C66" s="863"/>
      <c r="D66" s="863"/>
      <c r="E66" s="863"/>
      <c r="F66" s="613" t="s">
        <v>1635</v>
      </c>
      <c r="G66" s="615"/>
    </row>
    <row r="67" spans="1:7" s="210" customFormat="1" ht="41.4" x14ac:dyDescent="0.3">
      <c r="A67" s="860"/>
      <c r="B67" s="863"/>
      <c r="C67" s="863"/>
      <c r="D67" s="863"/>
      <c r="E67" s="863"/>
      <c r="F67" s="613" t="s">
        <v>1669</v>
      </c>
      <c r="G67" s="615"/>
    </row>
    <row r="68" spans="1:7" s="210" customFormat="1" ht="41.4" x14ac:dyDescent="0.3">
      <c r="A68" s="860"/>
      <c r="B68" s="863"/>
      <c r="C68" s="863"/>
      <c r="D68" s="863"/>
      <c r="E68" s="863"/>
      <c r="F68" s="613" t="s">
        <v>1637</v>
      </c>
      <c r="G68" s="615"/>
    </row>
    <row r="69" spans="1:7" s="210" customFormat="1" ht="55.2" x14ac:dyDescent="0.3">
      <c r="A69" s="860"/>
      <c r="B69" s="863"/>
      <c r="C69" s="863"/>
      <c r="D69" s="863"/>
      <c r="E69" s="863"/>
      <c r="F69" s="613" t="s">
        <v>1670</v>
      </c>
      <c r="G69" s="615"/>
    </row>
    <row r="70" spans="1:7" s="210" customFormat="1" x14ac:dyDescent="0.3">
      <c r="A70" s="860"/>
      <c r="B70" s="863"/>
      <c r="C70" s="863"/>
      <c r="D70" s="863"/>
      <c r="E70" s="863"/>
      <c r="F70" s="613" t="s">
        <v>1639</v>
      </c>
      <c r="G70" s="615"/>
    </row>
    <row r="71" spans="1:7" s="210" customFormat="1" ht="41.4" x14ac:dyDescent="0.3">
      <c r="A71" s="860"/>
      <c r="B71" s="863"/>
      <c r="C71" s="863"/>
      <c r="D71" s="863"/>
      <c r="E71" s="863"/>
      <c r="F71" s="613" t="s">
        <v>1671</v>
      </c>
      <c r="G71" s="615"/>
    </row>
    <row r="72" spans="1:7" s="210" customFormat="1" ht="96.6" x14ac:dyDescent="0.3">
      <c r="A72" s="860"/>
      <c r="B72" s="863"/>
      <c r="C72" s="863"/>
      <c r="D72" s="863"/>
      <c r="E72" s="863"/>
      <c r="F72" s="613" t="s">
        <v>1672</v>
      </c>
      <c r="G72" s="615"/>
    </row>
    <row r="73" spans="1:7" s="210" customFormat="1" ht="41.4" x14ac:dyDescent="0.3">
      <c r="A73" s="861"/>
      <c r="B73" s="864"/>
      <c r="C73" s="864"/>
      <c r="D73" s="864"/>
      <c r="E73" s="864"/>
      <c r="F73" s="613" t="s">
        <v>1642</v>
      </c>
      <c r="G73" s="615"/>
    </row>
    <row r="74" spans="1:7" s="210" customFormat="1" ht="4.5" customHeight="1" x14ac:dyDescent="0.3">
      <c r="A74" s="217"/>
      <c r="B74" s="218"/>
      <c r="C74" s="217"/>
      <c r="D74" s="219"/>
      <c r="E74" s="220"/>
      <c r="F74" s="218"/>
    </row>
    <row r="75" spans="1:7" s="210" customFormat="1" ht="55.2" x14ac:dyDescent="0.3">
      <c r="A75" s="477">
        <f>A60+1</f>
        <v>5</v>
      </c>
      <c r="B75" s="478" t="s">
        <v>1673</v>
      </c>
      <c r="C75" s="478" t="s">
        <v>1627</v>
      </c>
      <c r="D75" s="737">
        <v>15000000</v>
      </c>
      <c r="E75" s="737">
        <v>14996653.939999999</v>
      </c>
      <c r="F75" s="613" t="s">
        <v>1628</v>
      </c>
    </row>
    <row r="76" spans="1:7" s="210" customFormat="1" ht="27.6" x14ac:dyDescent="0.3">
      <c r="A76" s="738"/>
      <c r="B76" s="739"/>
      <c r="C76" s="739"/>
      <c r="D76" s="739"/>
      <c r="E76" s="739"/>
      <c r="F76" s="613" t="s">
        <v>1629</v>
      </c>
    </row>
    <row r="77" spans="1:7" s="210" customFormat="1" ht="41.4" x14ac:dyDescent="0.3">
      <c r="A77" s="738"/>
      <c r="B77" s="739"/>
      <c r="C77" s="739"/>
      <c r="D77" s="739"/>
      <c r="E77" s="739"/>
      <c r="F77" s="613" t="s">
        <v>1674</v>
      </c>
    </row>
    <row r="78" spans="1:7" s="210" customFormat="1" ht="41.4" x14ac:dyDescent="0.3">
      <c r="A78" s="738"/>
      <c r="B78" s="739"/>
      <c r="C78" s="739"/>
      <c r="D78" s="739"/>
      <c r="E78" s="739"/>
      <c r="F78" s="613" t="s">
        <v>1675</v>
      </c>
    </row>
    <row r="79" spans="1:7" s="210" customFormat="1" ht="41.4" x14ac:dyDescent="0.3">
      <c r="A79" s="738"/>
      <c r="B79" s="739"/>
      <c r="C79" s="739"/>
      <c r="D79" s="739"/>
      <c r="E79" s="739"/>
      <c r="F79" s="613" t="s">
        <v>1676</v>
      </c>
    </row>
    <row r="80" spans="1:7" s="210" customFormat="1" ht="41.4" x14ac:dyDescent="0.3">
      <c r="A80" s="738"/>
      <c r="B80" s="739"/>
      <c r="C80" s="739"/>
      <c r="D80" s="739"/>
      <c r="E80" s="739"/>
      <c r="F80" s="613" t="s">
        <v>1677</v>
      </c>
    </row>
    <row r="81" spans="1:6" s="210" customFormat="1" ht="55.2" x14ac:dyDescent="0.3">
      <c r="A81" s="738"/>
      <c r="B81" s="739"/>
      <c r="C81" s="739"/>
      <c r="D81" s="739"/>
      <c r="E81" s="739"/>
      <c r="F81" s="613" t="s">
        <v>1633</v>
      </c>
    </row>
    <row r="82" spans="1:6" s="210" customFormat="1" ht="41.4" x14ac:dyDescent="0.3">
      <c r="A82" s="738"/>
      <c r="B82" s="739"/>
      <c r="C82" s="739"/>
      <c r="D82" s="739"/>
      <c r="E82" s="739"/>
      <c r="F82" s="613" t="s">
        <v>1637</v>
      </c>
    </row>
    <row r="83" spans="1:6" s="210" customFormat="1" ht="55.2" x14ac:dyDescent="0.3">
      <c r="A83" s="738"/>
      <c r="B83" s="739"/>
      <c r="C83" s="739"/>
      <c r="D83" s="739"/>
      <c r="E83" s="739"/>
      <c r="F83" s="613" t="s">
        <v>1678</v>
      </c>
    </row>
    <row r="84" spans="1:6" s="210" customFormat="1" ht="41.4" x14ac:dyDescent="0.3">
      <c r="A84" s="738"/>
      <c r="B84" s="739"/>
      <c r="C84" s="739"/>
      <c r="D84" s="739"/>
      <c r="E84" s="739"/>
      <c r="F84" s="613" t="s">
        <v>1679</v>
      </c>
    </row>
    <row r="85" spans="1:6" s="210" customFormat="1" x14ac:dyDescent="0.3">
      <c r="A85" s="738"/>
      <c r="B85" s="739"/>
      <c r="C85" s="739"/>
      <c r="D85" s="739"/>
      <c r="E85" s="739"/>
      <c r="F85" s="613" t="s">
        <v>1639</v>
      </c>
    </row>
    <row r="86" spans="1:6" s="210" customFormat="1" ht="55.2" x14ac:dyDescent="0.3">
      <c r="A86" s="738"/>
      <c r="B86" s="739"/>
      <c r="C86" s="739"/>
      <c r="D86" s="739"/>
      <c r="E86" s="739"/>
      <c r="F86" s="299" t="s">
        <v>1680</v>
      </c>
    </row>
    <row r="87" spans="1:6" s="210" customFormat="1" ht="41.4" x14ac:dyDescent="0.3">
      <c r="A87" s="740"/>
      <c r="B87" s="741"/>
      <c r="C87" s="741"/>
      <c r="D87" s="741"/>
      <c r="E87" s="741"/>
      <c r="F87" s="613" t="s">
        <v>1642</v>
      </c>
    </row>
    <row r="88" spans="1:6" s="210" customFormat="1" ht="4.5" customHeight="1" x14ac:dyDescent="0.3">
      <c r="A88" s="217"/>
      <c r="B88" s="218"/>
      <c r="C88" s="217"/>
      <c r="D88" s="219"/>
      <c r="E88" s="220"/>
      <c r="F88" s="218"/>
    </row>
    <row r="89" spans="1:6" s="210" customFormat="1" ht="55.2" x14ac:dyDescent="0.3">
      <c r="A89" s="853">
        <f>A75+1</f>
        <v>6</v>
      </c>
      <c r="B89" s="856" t="s">
        <v>1681</v>
      </c>
      <c r="C89" s="847" t="s">
        <v>1627</v>
      </c>
      <c r="D89" s="847">
        <v>15000000</v>
      </c>
      <c r="E89" s="847">
        <v>14989544.130000001</v>
      </c>
      <c r="F89" s="613" t="s">
        <v>1628</v>
      </c>
    </row>
    <row r="90" spans="1:6" s="210" customFormat="1" ht="27.6" x14ac:dyDescent="0.3">
      <c r="A90" s="854"/>
      <c r="B90" s="857"/>
      <c r="C90" s="848"/>
      <c r="D90" s="848"/>
      <c r="E90" s="848"/>
      <c r="F90" s="613" t="s">
        <v>1629</v>
      </c>
    </row>
    <row r="91" spans="1:6" s="210" customFormat="1" x14ac:dyDescent="0.3">
      <c r="A91" s="854"/>
      <c r="B91" s="857"/>
      <c r="C91" s="848"/>
      <c r="D91" s="848"/>
      <c r="E91" s="848"/>
      <c r="F91" s="613" t="s">
        <v>1682</v>
      </c>
    </row>
    <row r="92" spans="1:6" s="210" customFormat="1" ht="41.4" x14ac:dyDescent="0.3">
      <c r="A92" s="854"/>
      <c r="B92" s="857"/>
      <c r="C92" s="848"/>
      <c r="D92" s="848"/>
      <c r="E92" s="848"/>
      <c r="F92" s="613" t="s">
        <v>1630</v>
      </c>
    </row>
    <row r="93" spans="1:6" s="210" customFormat="1" ht="41.4" x14ac:dyDescent="0.3">
      <c r="A93" s="854"/>
      <c r="B93" s="857"/>
      <c r="C93" s="848"/>
      <c r="D93" s="848"/>
      <c r="E93" s="848"/>
      <c r="F93" s="613" t="s">
        <v>1631</v>
      </c>
    </row>
    <row r="94" spans="1:6" s="210" customFormat="1" ht="41.4" x14ac:dyDescent="0.3">
      <c r="A94" s="854"/>
      <c r="B94" s="857"/>
      <c r="C94" s="848"/>
      <c r="D94" s="848"/>
      <c r="E94" s="848"/>
      <c r="F94" s="613" t="s">
        <v>1632</v>
      </c>
    </row>
    <row r="95" spans="1:6" s="210" customFormat="1" ht="41.4" x14ac:dyDescent="0.3">
      <c r="A95" s="854"/>
      <c r="B95" s="857"/>
      <c r="C95" s="848"/>
      <c r="D95" s="848"/>
      <c r="E95" s="848"/>
      <c r="F95" s="613" t="s">
        <v>1635</v>
      </c>
    </row>
    <row r="96" spans="1:6" s="210" customFormat="1" ht="41.4" x14ac:dyDescent="0.3">
      <c r="A96" s="854"/>
      <c r="B96" s="857"/>
      <c r="C96" s="848"/>
      <c r="D96" s="848"/>
      <c r="E96" s="848"/>
      <c r="F96" s="613" t="s">
        <v>1683</v>
      </c>
    </row>
    <row r="97" spans="1:6" s="210" customFormat="1" ht="41.4" x14ac:dyDescent="0.3">
      <c r="A97" s="854"/>
      <c r="B97" s="857"/>
      <c r="C97" s="848"/>
      <c r="D97" s="848"/>
      <c r="E97" s="848"/>
      <c r="F97" s="613" t="s">
        <v>1684</v>
      </c>
    </row>
    <row r="98" spans="1:6" s="210" customFormat="1" ht="41.4" x14ac:dyDescent="0.3">
      <c r="A98" s="854"/>
      <c r="B98" s="857"/>
      <c r="C98" s="848"/>
      <c r="D98" s="848"/>
      <c r="E98" s="848"/>
      <c r="F98" s="613" t="s">
        <v>1637</v>
      </c>
    </row>
    <row r="99" spans="1:6" s="210" customFormat="1" ht="27.6" x14ac:dyDescent="0.3">
      <c r="A99" s="854"/>
      <c r="B99" s="857"/>
      <c r="C99" s="848"/>
      <c r="D99" s="848"/>
      <c r="E99" s="848"/>
      <c r="F99" s="613" t="s">
        <v>1685</v>
      </c>
    </row>
    <row r="100" spans="1:6" s="210" customFormat="1" ht="41.4" x14ac:dyDescent="0.3">
      <c r="A100" s="854"/>
      <c r="B100" s="857"/>
      <c r="C100" s="848"/>
      <c r="D100" s="848"/>
      <c r="E100" s="848"/>
      <c r="F100" s="613" t="s">
        <v>1686</v>
      </c>
    </row>
    <row r="101" spans="1:6" s="210" customFormat="1" x14ac:dyDescent="0.3">
      <c r="A101" s="854"/>
      <c r="B101" s="857"/>
      <c r="C101" s="848"/>
      <c r="D101" s="848"/>
      <c r="E101" s="848"/>
      <c r="F101" s="613" t="s">
        <v>1639</v>
      </c>
    </row>
    <row r="102" spans="1:6" s="210" customFormat="1" ht="27.6" x14ac:dyDescent="0.3">
      <c r="A102" s="854"/>
      <c r="B102" s="857"/>
      <c r="C102" s="848"/>
      <c r="D102" s="848"/>
      <c r="E102" s="848"/>
      <c r="F102" s="613" t="s">
        <v>1687</v>
      </c>
    </row>
    <row r="103" spans="1:6" s="210" customFormat="1" ht="41.4" x14ac:dyDescent="0.3">
      <c r="A103" s="855"/>
      <c r="B103" s="858"/>
      <c r="C103" s="849"/>
      <c r="D103" s="849"/>
      <c r="E103" s="849"/>
      <c r="F103" s="613" t="s">
        <v>1642</v>
      </c>
    </row>
    <row r="104" spans="1:6" s="210" customFormat="1" ht="4.5" customHeight="1" x14ac:dyDescent="0.3">
      <c r="A104" s="217"/>
      <c r="B104" s="218"/>
      <c r="C104" s="217"/>
      <c r="D104" s="219"/>
      <c r="E104" s="219"/>
      <c r="F104" s="218"/>
    </row>
    <row r="105" spans="1:6" s="210" customFormat="1" ht="55.2" x14ac:dyDescent="0.3">
      <c r="A105" s="859">
        <f>A89+1</f>
        <v>7</v>
      </c>
      <c r="B105" s="862" t="s">
        <v>1688</v>
      </c>
      <c r="C105" s="862" t="s">
        <v>1627</v>
      </c>
      <c r="D105" s="862">
        <v>20000000</v>
      </c>
      <c r="E105" s="862">
        <v>19979695.809999999</v>
      </c>
      <c r="F105" s="613" t="s">
        <v>1628</v>
      </c>
    </row>
    <row r="106" spans="1:6" s="210" customFormat="1" ht="27.6" x14ac:dyDescent="0.3">
      <c r="A106" s="860"/>
      <c r="B106" s="863"/>
      <c r="C106" s="863"/>
      <c r="D106" s="863"/>
      <c r="E106" s="863"/>
      <c r="F106" s="613" t="s">
        <v>1629</v>
      </c>
    </row>
    <row r="107" spans="1:6" s="210" customFormat="1" ht="41.4" x14ac:dyDescent="0.3">
      <c r="A107" s="860"/>
      <c r="B107" s="863"/>
      <c r="C107" s="863"/>
      <c r="D107" s="863"/>
      <c r="E107" s="863"/>
      <c r="F107" s="613" t="s">
        <v>1689</v>
      </c>
    </row>
    <row r="108" spans="1:6" s="210" customFormat="1" ht="41.4" x14ac:dyDescent="0.3">
      <c r="A108" s="860"/>
      <c r="B108" s="863"/>
      <c r="C108" s="863"/>
      <c r="D108" s="863"/>
      <c r="E108" s="863"/>
      <c r="F108" s="613" t="s">
        <v>1690</v>
      </c>
    </row>
    <row r="109" spans="1:6" s="210" customFormat="1" ht="41.4" x14ac:dyDescent="0.3">
      <c r="A109" s="860"/>
      <c r="B109" s="863"/>
      <c r="C109" s="863"/>
      <c r="D109" s="863"/>
      <c r="E109" s="863"/>
      <c r="F109" s="613" t="s">
        <v>1691</v>
      </c>
    </row>
    <row r="110" spans="1:6" s="210" customFormat="1" ht="41.4" x14ac:dyDescent="0.3">
      <c r="A110" s="860"/>
      <c r="B110" s="863"/>
      <c r="C110" s="863"/>
      <c r="D110" s="863"/>
      <c r="E110" s="863"/>
      <c r="F110" s="613" t="s">
        <v>1635</v>
      </c>
    </row>
    <row r="111" spans="1:6" s="210" customFormat="1" ht="41.4" x14ac:dyDescent="0.3">
      <c r="A111" s="860"/>
      <c r="B111" s="863"/>
      <c r="C111" s="863"/>
      <c r="D111" s="863"/>
      <c r="E111" s="863"/>
      <c r="F111" s="613" t="s">
        <v>1692</v>
      </c>
    </row>
    <row r="112" spans="1:6" s="210" customFormat="1" ht="41.4" x14ac:dyDescent="0.3">
      <c r="A112" s="860"/>
      <c r="B112" s="863"/>
      <c r="C112" s="863"/>
      <c r="D112" s="863"/>
      <c r="E112" s="863"/>
      <c r="F112" s="613" t="s">
        <v>1637</v>
      </c>
    </row>
    <row r="113" spans="1:7" s="210" customFormat="1" ht="55.2" x14ac:dyDescent="0.3">
      <c r="A113" s="860"/>
      <c r="B113" s="863"/>
      <c r="C113" s="863"/>
      <c r="D113" s="863"/>
      <c r="E113" s="863"/>
      <c r="F113" s="613" t="s">
        <v>1670</v>
      </c>
    </row>
    <row r="114" spans="1:7" s="210" customFormat="1" ht="41.4" x14ac:dyDescent="0.3">
      <c r="A114" s="860"/>
      <c r="B114" s="863"/>
      <c r="C114" s="863"/>
      <c r="D114" s="863"/>
      <c r="E114" s="863"/>
      <c r="F114" s="613" t="s">
        <v>1693</v>
      </c>
    </row>
    <row r="115" spans="1:7" s="210" customFormat="1" x14ac:dyDescent="0.3">
      <c r="A115" s="860"/>
      <c r="B115" s="863"/>
      <c r="C115" s="863"/>
      <c r="D115" s="863"/>
      <c r="E115" s="863"/>
      <c r="F115" s="613" t="s">
        <v>1694</v>
      </c>
    </row>
    <row r="116" spans="1:7" s="210" customFormat="1" ht="41.4" x14ac:dyDescent="0.3">
      <c r="A116" s="861"/>
      <c r="B116" s="864"/>
      <c r="C116" s="864"/>
      <c r="D116" s="864"/>
      <c r="E116" s="864"/>
      <c r="F116" s="613" t="s">
        <v>1642</v>
      </c>
    </row>
    <row r="117" spans="1:7" s="210" customFormat="1" ht="4.5" customHeight="1" x14ac:dyDescent="0.3">
      <c r="A117" s="217"/>
      <c r="B117" s="218"/>
      <c r="C117" s="217"/>
      <c r="D117" s="219"/>
      <c r="E117" s="220"/>
      <c r="F117" s="218"/>
    </row>
    <row r="118" spans="1:7" s="210" customFormat="1" ht="55.2" x14ac:dyDescent="0.3">
      <c r="A118" s="477">
        <f>A105+1</f>
        <v>8</v>
      </c>
      <c r="B118" s="478" t="s">
        <v>1695</v>
      </c>
      <c r="C118" s="478" t="s">
        <v>1627</v>
      </c>
      <c r="D118" s="737">
        <v>18000000</v>
      </c>
      <c r="E118" s="737">
        <v>17996660.890000001</v>
      </c>
      <c r="F118" s="613" t="s">
        <v>1628</v>
      </c>
      <c r="G118" s="259"/>
    </row>
    <row r="119" spans="1:7" s="210" customFormat="1" ht="27.6" x14ac:dyDescent="0.3">
      <c r="A119" s="738"/>
      <c r="B119" s="739"/>
      <c r="C119" s="739"/>
      <c r="D119" s="739"/>
      <c r="E119" s="739"/>
      <c r="F119" s="613" t="s">
        <v>1629</v>
      </c>
      <c r="G119" s="259"/>
    </row>
    <row r="120" spans="1:7" s="210" customFormat="1" ht="41.4" x14ac:dyDescent="0.3">
      <c r="A120" s="738"/>
      <c r="B120" s="739"/>
      <c r="C120" s="739"/>
      <c r="D120" s="739"/>
      <c r="E120" s="739"/>
      <c r="F120" s="613" t="s">
        <v>1696</v>
      </c>
      <c r="G120" s="616"/>
    </row>
    <row r="121" spans="1:7" s="210" customFormat="1" ht="41.4" x14ac:dyDescent="0.3">
      <c r="A121" s="738"/>
      <c r="B121" s="739"/>
      <c r="C121" s="739"/>
      <c r="D121" s="739"/>
      <c r="E121" s="739"/>
      <c r="F121" s="613" t="s">
        <v>1697</v>
      </c>
      <c r="G121" s="616"/>
    </row>
    <row r="122" spans="1:7" s="210" customFormat="1" ht="41.4" x14ac:dyDescent="0.3">
      <c r="A122" s="738"/>
      <c r="B122" s="739"/>
      <c r="C122" s="739"/>
      <c r="D122" s="739"/>
      <c r="E122" s="739"/>
      <c r="F122" s="613" t="s">
        <v>1698</v>
      </c>
      <c r="G122" s="616"/>
    </row>
    <row r="123" spans="1:7" s="210" customFormat="1" ht="41.4" x14ac:dyDescent="0.3">
      <c r="A123" s="738"/>
      <c r="B123" s="739"/>
      <c r="C123" s="739"/>
      <c r="D123" s="739"/>
      <c r="E123" s="739"/>
      <c r="F123" s="613" t="s">
        <v>1637</v>
      </c>
      <c r="G123" s="265"/>
    </row>
    <row r="124" spans="1:7" s="210" customFormat="1" ht="69" x14ac:dyDescent="0.3">
      <c r="A124" s="738"/>
      <c r="B124" s="739"/>
      <c r="C124" s="739"/>
      <c r="D124" s="739"/>
      <c r="E124" s="739"/>
      <c r="F124" s="613" t="s">
        <v>1699</v>
      </c>
      <c r="G124" s="265"/>
    </row>
    <row r="125" spans="1:7" s="210" customFormat="1" x14ac:dyDescent="0.3">
      <c r="A125" s="738"/>
      <c r="B125" s="739"/>
      <c r="C125" s="739"/>
      <c r="D125" s="739"/>
      <c r="E125" s="739"/>
      <c r="F125" s="613" t="s">
        <v>1639</v>
      </c>
      <c r="G125" s="265"/>
    </row>
    <row r="126" spans="1:7" s="210" customFormat="1" ht="41.4" x14ac:dyDescent="0.3">
      <c r="A126" s="738"/>
      <c r="B126" s="739"/>
      <c r="C126" s="739"/>
      <c r="D126" s="739"/>
      <c r="E126" s="739"/>
      <c r="F126" s="613" t="s">
        <v>1652</v>
      </c>
      <c r="G126" s="265"/>
    </row>
    <row r="127" spans="1:7" s="210" customFormat="1" ht="96.6" x14ac:dyDescent="0.3">
      <c r="A127" s="738"/>
      <c r="B127" s="739"/>
      <c r="C127" s="739"/>
      <c r="D127" s="739"/>
      <c r="E127" s="739"/>
      <c r="F127" s="613" t="s">
        <v>1672</v>
      </c>
      <c r="G127" s="265"/>
    </row>
    <row r="128" spans="1:7" s="210" customFormat="1" ht="41.4" x14ac:dyDescent="0.3">
      <c r="A128" s="740"/>
      <c r="B128" s="741"/>
      <c r="C128" s="741"/>
      <c r="D128" s="741"/>
      <c r="E128" s="741"/>
      <c r="F128" s="613" t="s">
        <v>1642</v>
      </c>
      <c r="G128" s="265"/>
    </row>
    <row r="129" spans="1:6" s="210" customFormat="1" ht="4.5" customHeight="1" x14ac:dyDescent="0.3">
      <c r="A129" s="217"/>
      <c r="B129" s="218"/>
      <c r="C129" s="217"/>
      <c r="D129" s="219"/>
      <c r="E129" s="220"/>
      <c r="F129" s="218"/>
    </row>
    <row r="130" spans="1:6" s="210" customFormat="1" ht="55.2" x14ac:dyDescent="0.3">
      <c r="A130" s="859">
        <f>A118+1</f>
        <v>9</v>
      </c>
      <c r="B130" s="862" t="s">
        <v>1700</v>
      </c>
      <c r="C130" s="862" t="s">
        <v>1627</v>
      </c>
      <c r="D130" s="862">
        <v>15000000</v>
      </c>
      <c r="E130" s="862">
        <v>14989782.08</v>
      </c>
      <c r="F130" s="613" t="s">
        <v>1628</v>
      </c>
    </row>
    <row r="131" spans="1:6" s="210" customFormat="1" ht="27.6" x14ac:dyDescent="0.3">
      <c r="A131" s="860"/>
      <c r="B131" s="863"/>
      <c r="C131" s="863"/>
      <c r="D131" s="863"/>
      <c r="E131" s="863"/>
      <c r="F131" s="613" t="s">
        <v>1629</v>
      </c>
    </row>
    <row r="132" spans="1:6" s="210" customFormat="1" ht="41.4" x14ac:dyDescent="0.3">
      <c r="A132" s="860"/>
      <c r="B132" s="863"/>
      <c r="C132" s="863"/>
      <c r="D132" s="863"/>
      <c r="E132" s="863"/>
      <c r="F132" s="613" t="s">
        <v>1656</v>
      </c>
    </row>
    <row r="133" spans="1:6" s="210" customFormat="1" ht="41.4" x14ac:dyDescent="0.3">
      <c r="A133" s="860"/>
      <c r="B133" s="863"/>
      <c r="C133" s="863"/>
      <c r="D133" s="863"/>
      <c r="E133" s="863"/>
      <c r="F133" s="613" t="s">
        <v>1701</v>
      </c>
    </row>
    <row r="134" spans="1:6" s="210" customFormat="1" ht="41.4" x14ac:dyDescent="0.3">
      <c r="A134" s="860"/>
      <c r="B134" s="863"/>
      <c r="C134" s="863"/>
      <c r="D134" s="863"/>
      <c r="E134" s="863"/>
      <c r="F134" s="613" t="s">
        <v>1702</v>
      </c>
    </row>
    <row r="135" spans="1:6" s="210" customFormat="1" ht="41.4" x14ac:dyDescent="0.3">
      <c r="A135" s="860"/>
      <c r="B135" s="863"/>
      <c r="C135" s="863"/>
      <c r="D135" s="863"/>
      <c r="E135" s="863"/>
      <c r="F135" s="613" t="s">
        <v>1703</v>
      </c>
    </row>
    <row r="136" spans="1:6" s="210" customFormat="1" ht="41.4" x14ac:dyDescent="0.3">
      <c r="A136" s="860"/>
      <c r="B136" s="863"/>
      <c r="C136" s="863"/>
      <c r="D136" s="863"/>
      <c r="E136" s="863"/>
      <c r="F136" s="613" t="s">
        <v>1647</v>
      </c>
    </row>
    <row r="137" spans="1:6" s="210" customFormat="1" ht="41.4" x14ac:dyDescent="0.3">
      <c r="A137" s="860"/>
      <c r="B137" s="863"/>
      <c r="C137" s="863"/>
      <c r="D137" s="863"/>
      <c r="E137" s="863"/>
      <c r="F137" s="613" t="s">
        <v>1635</v>
      </c>
    </row>
    <row r="138" spans="1:6" s="210" customFormat="1" ht="41.4" x14ac:dyDescent="0.3">
      <c r="A138" s="860"/>
      <c r="B138" s="863"/>
      <c r="C138" s="863"/>
      <c r="D138" s="863"/>
      <c r="E138" s="863"/>
      <c r="F138" s="613" t="s">
        <v>1704</v>
      </c>
    </row>
    <row r="139" spans="1:6" s="210" customFormat="1" ht="41.4" x14ac:dyDescent="0.3">
      <c r="A139" s="860"/>
      <c r="B139" s="863"/>
      <c r="C139" s="863"/>
      <c r="D139" s="863"/>
      <c r="E139" s="863"/>
      <c r="F139" s="613" t="s">
        <v>1705</v>
      </c>
    </row>
    <row r="140" spans="1:6" s="210" customFormat="1" ht="41.4" x14ac:dyDescent="0.3">
      <c r="A140" s="860"/>
      <c r="B140" s="863"/>
      <c r="C140" s="863"/>
      <c r="D140" s="863"/>
      <c r="E140" s="863"/>
      <c r="F140" s="613" t="s">
        <v>1637</v>
      </c>
    </row>
    <row r="141" spans="1:6" s="210" customFormat="1" ht="55.2" x14ac:dyDescent="0.3">
      <c r="A141" s="860"/>
      <c r="B141" s="863"/>
      <c r="C141" s="863"/>
      <c r="D141" s="863"/>
      <c r="E141" s="863"/>
      <c r="F141" s="613" t="s">
        <v>1706</v>
      </c>
    </row>
    <row r="142" spans="1:6" s="210" customFormat="1" ht="27.6" x14ac:dyDescent="0.3">
      <c r="A142" s="860"/>
      <c r="B142" s="863"/>
      <c r="C142" s="863"/>
      <c r="D142" s="863"/>
      <c r="E142" s="863"/>
      <c r="F142" s="613" t="s">
        <v>1685</v>
      </c>
    </row>
    <row r="143" spans="1:6" s="210" customFormat="1" x14ac:dyDescent="0.3">
      <c r="A143" s="860"/>
      <c r="B143" s="863"/>
      <c r="C143" s="863"/>
      <c r="D143" s="863"/>
      <c r="E143" s="863"/>
      <c r="F143" s="613" t="s">
        <v>1639</v>
      </c>
    </row>
    <row r="144" spans="1:6" s="210" customFormat="1" ht="41.4" x14ac:dyDescent="0.3">
      <c r="A144" s="860"/>
      <c r="B144" s="863"/>
      <c r="C144" s="863"/>
      <c r="D144" s="863"/>
      <c r="E144" s="863"/>
      <c r="F144" s="613" t="s">
        <v>1707</v>
      </c>
    </row>
    <row r="145" spans="1:6" s="210" customFormat="1" x14ac:dyDescent="0.3">
      <c r="A145" s="860"/>
      <c r="B145" s="863"/>
      <c r="C145" s="863"/>
      <c r="D145" s="863"/>
      <c r="E145" s="863"/>
      <c r="F145" s="613" t="s">
        <v>1694</v>
      </c>
    </row>
    <row r="146" spans="1:6" s="210" customFormat="1" ht="41.4" x14ac:dyDescent="0.3">
      <c r="A146" s="861"/>
      <c r="B146" s="864"/>
      <c r="C146" s="864"/>
      <c r="D146" s="864"/>
      <c r="E146" s="864"/>
      <c r="F146" s="613" t="s">
        <v>1642</v>
      </c>
    </row>
    <row r="147" spans="1:6" s="210" customFormat="1" ht="4.5" customHeight="1" x14ac:dyDescent="0.3">
      <c r="A147" s="217"/>
      <c r="B147" s="218"/>
      <c r="C147" s="217"/>
      <c r="D147" s="219"/>
      <c r="E147" s="220"/>
      <c r="F147" s="218"/>
    </row>
    <row r="148" spans="1:6" s="210" customFormat="1" ht="55.2" x14ac:dyDescent="0.3">
      <c r="A148" s="477">
        <f>A130+1</f>
        <v>10</v>
      </c>
      <c r="B148" s="478" t="s">
        <v>1708</v>
      </c>
      <c r="C148" s="478" t="s">
        <v>1627</v>
      </c>
      <c r="D148" s="737">
        <v>17000000</v>
      </c>
      <c r="E148" s="737">
        <v>16987390.41</v>
      </c>
      <c r="F148" s="613" t="s">
        <v>1628</v>
      </c>
    </row>
    <row r="149" spans="1:6" s="210" customFormat="1" ht="27.6" x14ac:dyDescent="0.3">
      <c r="A149" s="738"/>
      <c r="B149" s="739"/>
      <c r="C149" s="739"/>
      <c r="D149" s="739"/>
      <c r="E149" s="739"/>
      <c r="F149" s="613" t="s">
        <v>1629</v>
      </c>
    </row>
    <row r="150" spans="1:6" s="210" customFormat="1" ht="41.4" x14ac:dyDescent="0.3">
      <c r="A150" s="738"/>
      <c r="B150" s="739"/>
      <c r="C150" s="739"/>
      <c r="D150" s="739"/>
      <c r="E150" s="739"/>
      <c r="F150" s="613" t="s">
        <v>1709</v>
      </c>
    </row>
    <row r="151" spans="1:6" s="210" customFormat="1" ht="27.6" x14ac:dyDescent="0.3">
      <c r="A151" s="738"/>
      <c r="B151" s="739"/>
      <c r="C151" s="739"/>
      <c r="D151" s="739"/>
      <c r="E151" s="739"/>
      <c r="F151" s="613" t="s">
        <v>1710</v>
      </c>
    </row>
    <row r="152" spans="1:6" s="210" customFormat="1" ht="41.4" x14ac:dyDescent="0.3">
      <c r="A152" s="738"/>
      <c r="B152" s="739"/>
      <c r="C152" s="739"/>
      <c r="D152" s="739"/>
      <c r="E152" s="739"/>
      <c r="F152" s="613" t="s">
        <v>1630</v>
      </c>
    </row>
    <row r="153" spans="1:6" s="210" customFormat="1" ht="41.4" x14ac:dyDescent="0.3">
      <c r="A153" s="738"/>
      <c r="B153" s="739"/>
      <c r="C153" s="739"/>
      <c r="D153" s="739"/>
      <c r="E153" s="739"/>
      <c r="F153" s="613" t="s">
        <v>1631</v>
      </c>
    </row>
    <row r="154" spans="1:6" s="210" customFormat="1" ht="41.4" x14ac:dyDescent="0.3">
      <c r="A154" s="738"/>
      <c r="B154" s="739"/>
      <c r="C154" s="739"/>
      <c r="D154" s="739"/>
      <c r="E154" s="739"/>
      <c r="F154" s="742" t="s">
        <v>1632</v>
      </c>
    </row>
    <row r="155" spans="1:6" s="210" customFormat="1" ht="27.6" x14ac:dyDescent="0.3">
      <c r="A155" s="738"/>
      <c r="B155" s="739"/>
      <c r="C155" s="739"/>
      <c r="D155" s="739"/>
      <c r="E155" s="739"/>
      <c r="F155" s="613" t="s">
        <v>1711</v>
      </c>
    </row>
    <row r="156" spans="1:6" s="210" customFormat="1" ht="55.2" x14ac:dyDescent="0.3">
      <c r="A156" s="738"/>
      <c r="B156" s="739"/>
      <c r="C156" s="739"/>
      <c r="D156" s="739"/>
      <c r="E156" s="739"/>
      <c r="F156" s="613" t="s">
        <v>1633</v>
      </c>
    </row>
    <row r="157" spans="1:6" s="210" customFormat="1" ht="41.4" x14ac:dyDescent="0.3">
      <c r="A157" s="738"/>
      <c r="B157" s="739"/>
      <c r="C157" s="739"/>
      <c r="D157" s="739"/>
      <c r="E157" s="739"/>
      <c r="F157" s="613" t="s">
        <v>1635</v>
      </c>
    </row>
    <row r="158" spans="1:6" s="210" customFormat="1" ht="41.4" x14ac:dyDescent="0.3">
      <c r="A158" s="738"/>
      <c r="B158" s="739"/>
      <c r="C158" s="739"/>
      <c r="D158" s="739"/>
      <c r="E158" s="739"/>
      <c r="F158" s="613" t="s">
        <v>1636</v>
      </c>
    </row>
    <row r="159" spans="1:6" s="210" customFormat="1" ht="55.2" x14ac:dyDescent="0.3">
      <c r="A159" s="738"/>
      <c r="B159" s="739"/>
      <c r="C159" s="739"/>
      <c r="D159" s="739"/>
      <c r="E159" s="739"/>
      <c r="F159" s="613" t="s">
        <v>1712</v>
      </c>
    </row>
    <row r="160" spans="1:6" s="210" customFormat="1" ht="41.4" x14ac:dyDescent="0.3">
      <c r="A160" s="738"/>
      <c r="B160" s="739"/>
      <c r="C160" s="739"/>
      <c r="D160" s="739"/>
      <c r="E160" s="739"/>
      <c r="F160" s="613" t="s">
        <v>1637</v>
      </c>
    </row>
    <row r="161" spans="1:6" s="210" customFormat="1" ht="55.2" x14ac:dyDescent="0.3">
      <c r="A161" s="738"/>
      <c r="B161" s="739"/>
      <c r="C161" s="739"/>
      <c r="D161" s="739"/>
      <c r="E161" s="739"/>
      <c r="F161" s="613" t="s">
        <v>1713</v>
      </c>
    </row>
    <row r="162" spans="1:6" s="210" customFormat="1" ht="69" x14ac:dyDescent="0.3">
      <c r="A162" s="738"/>
      <c r="B162" s="739"/>
      <c r="C162" s="739"/>
      <c r="D162" s="739"/>
      <c r="E162" s="739"/>
      <c r="F162" s="613" t="s">
        <v>1714</v>
      </c>
    </row>
    <row r="163" spans="1:6" s="210" customFormat="1" x14ac:dyDescent="0.3">
      <c r="A163" s="738"/>
      <c r="B163" s="739"/>
      <c r="C163" s="739"/>
      <c r="D163" s="739"/>
      <c r="E163" s="739"/>
      <c r="F163" s="613" t="s">
        <v>1639</v>
      </c>
    </row>
    <row r="164" spans="1:6" s="210" customFormat="1" ht="41.4" x14ac:dyDescent="0.3">
      <c r="A164" s="738"/>
      <c r="B164" s="739"/>
      <c r="C164" s="739"/>
      <c r="D164" s="739"/>
      <c r="E164" s="739"/>
      <c r="F164" s="613" t="s">
        <v>1715</v>
      </c>
    </row>
    <row r="165" spans="1:6" s="210" customFormat="1" ht="41.4" x14ac:dyDescent="0.3">
      <c r="A165" s="738"/>
      <c r="B165" s="739"/>
      <c r="C165" s="739"/>
      <c r="D165" s="739"/>
      <c r="E165" s="739"/>
      <c r="F165" s="613" t="s">
        <v>1716</v>
      </c>
    </row>
    <row r="166" spans="1:6" s="210" customFormat="1" ht="27.6" x14ac:dyDescent="0.3">
      <c r="A166" s="738"/>
      <c r="B166" s="739"/>
      <c r="C166" s="739"/>
      <c r="D166" s="739"/>
      <c r="E166" s="739"/>
      <c r="F166" s="613" t="s">
        <v>1717</v>
      </c>
    </row>
    <row r="167" spans="1:6" s="210" customFormat="1" ht="27.6" x14ac:dyDescent="0.3">
      <c r="A167" s="738"/>
      <c r="B167" s="739"/>
      <c r="C167" s="739"/>
      <c r="D167" s="739"/>
      <c r="E167" s="739"/>
      <c r="F167" s="613" t="s">
        <v>1718</v>
      </c>
    </row>
    <row r="168" spans="1:6" s="210" customFormat="1" ht="27.6" x14ac:dyDescent="0.3">
      <c r="A168" s="738"/>
      <c r="B168" s="739"/>
      <c r="C168" s="739"/>
      <c r="D168" s="739"/>
      <c r="E168" s="739"/>
      <c r="F168" s="613" t="s">
        <v>1719</v>
      </c>
    </row>
    <row r="169" spans="1:6" s="210" customFormat="1" ht="41.4" x14ac:dyDescent="0.3">
      <c r="A169" s="740"/>
      <c r="B169" s="741"/>
      <c r="C169" s="741"/>
      <c r="D169" s="741"/>
      <c r="E169" s="741"/>
      <c r="F169" s="613" t="s">
        <v>1642</v>
      </c>
    </row>
    <row r="170" spans="1:6" s="210" customFormat="1" ht="4.5" customHeight="1" x14ac:dyDescent="0.3">
      <c r="A170" s="217"/>
      <c r="B170" s="218"/>
      <c r="C170" s="217"/>
      <c r="D170" s="219"/>
      <c r="E170" s="220"/>
      <c r="F170" s="218"/>
    </row>
    <row r="171" spans="1:6" s="210" customFormat="1" ht="75" customHeight="1" x14ac:dyDescent="0.3">
      <c r="A171" s="477">
        <f>A148+1</f>
        <v>11</v>
      </c>
      <c r="B171" s="478" t="s">
        <v>1773</v>
      </c>
      <c r="C171" s="478" t="s">
        <v>1627</v>
      </c>
      <c r="D171" s="737">
        <v>15000000</v>
      </c>
      <c r="E171" s="737">
        <v>14996861.359999999</v>
      </c>
      <c r="F171" s="613" t="s">
        <v>1628</v>
      </c>
    </row>
    <row r="172" spans="1:6" s="210" customFormat="1" ht="27.6" x14ac:dyDescent="0.3">
      <c r="A172" s="738"/>
      <c r="B172" s="739"/>
      <c r="C172" s="739"/>
      <c r="D172" s="739"/>
      <c r="E172" s="739"/>
      <c r="F172" s="613" t="s">
        <v>1629</v>
      </c>
    </row>
    <row r="173" spans="1:6" s="210" customFormat="1" ht="41.4" x14ac:dyDescent="0.3">
      <c r="A173" s="738"/>
      <c r="B173" s="739"/>
      <c r="C173" s="739"/>
      <c r="D173" s="739"/>
      <c r="E173" s="739"/>
      <c r="F173" s="613" t="s">
        <v>1656</v>
      </c>
    </row>
    <row r="174" spans="1:6" s="210" customFormat="1" ht="41.4" x14ac:dyDescent="0.3">
      <c r="A174" s="738"/>
      <c r="B174" s="739"/>
      <c r="C174" s="739"/>
      <c r="D174" s="739"/>
      <c r="E174" s="739"/>
      <c r="F174" s="613" t="s">
        <v>1720</v>
      </c>
    </row>
    <row r="175" spans="1:6" s="210" customFormat="1" ht="41.4" x14ac:dyDescent="0.3">
      <c r="A175" s="738"/>
      <c r="B175" s="739"/>
      <c r="C175" s="739"/>
      <c r="D175" s="739"/>
      <c r="E175" s="739"/>
      <c r="F175" s="613" t="s">
        <v>1721</v>
      </c>
    </row>
    <row r="176" spans="1:6" s="210" customFormat="1" ht="41.4" x14ac:dyDescent="0.3">
      <c r="A176" s="738"/>
      <c r="B176" s="739"/>
      <c r="C176" s="739"/>
      <c r="D176" s="739"/>
      <c r="E176" s="739"/>
      <c r="F176" s="613" t="s">
        <v>1722</v>
      </c>
    </row>
    <row r="177" spans="1:6" s="210" customFormat="1" ht="41.4" x14ac:dyDescent="0.3">
      <c r="A177" s="738"/>
      <c r="B177" s="739"/>
      <c r="C177" s="739"/>
      <c r="D177" s="739"/>
      <c r="E177" s="739"/>
      <c r="F177" s="613" t="s">
        <v>1635</v>
      </c>
    </row>
    <row r="178" spans="1:6" s="210" customFormat="1" ht="41.4" x14ac:dyDescent="0.3">
      <c r="A178" s="738"/>
      <c r="B178" s="739"/>
      <c r="C178" s="739"/>
      <c r="D178" s="739"/>
      <c r="E178" s="739"/>
      <c r="F178" s="742" t="s">
        <v>1723</v>
      </c>
    </row>
    <row r="179" spans="1:6" s="210" customFormat="1" ht="41.4" x14ac:dyDescent="0.3">
      <c r="A179" s="738"/>
      <c r="B179" s="739"/>
      <c r="C179" s="739"/>
      <c r="D179" s="739"/>
      <c r="E179" s="739"/>
      <c r="F179" s="613" t="s">
        <v>1637</v>
      </c>
    </row>
    <row r="180" spans="1:6" s="210" customFormat="1" ht="69" x14ac:dyDescent="0.3">
      <c r="A180" s="738"/>
      <c r="B180" s="739"/>
      <c r="C180" s="739"/>
      <c r="D180" s="739"/>
      <c r="E180" s="739"/>
      <c r="F180" s="613" t="s">
        <v>1724</v>
      </c>
    </row>
    <row r="181" spans="1:6" s="210" customFormat="1" x14ac:dyDescent="0.3">
      <c r="A181" s="738"/>
      <c r="B181" s="739"/>
      <c r="C181" s="739"/>
      <c r="D181" s="739"/>
      <c r="E181" s="739"/>
      <c r="F181" s="613" t="s">
        <v>1639</v>
      </c>
    </row>
    <row r="182" spans="1:6" s="210" customFormat="1" ht="41.4" x14ac:dyDescent="0.3">
      <c r="A182" s="738"/>
      <c r="B182" s="739"/>
      <c r="C182" s="739"/>
      <c r="D182" s="739"/>
      <c r="E182" s="739"/>
      <c r="F182" s="613" t="s">
        <v>1652</v>
      </c>
    </row>
    <row r="183" spans="1:6" s="210" customFormat="1" ht="41.4" x14ac:dyDescent="0.3">
      <c r="A183" s="738"/>
      <c r="B183" s="739"/>
      <c r="C183" s="739"/>
      <c r="D183" s="739"/>
      <c r="E183" s="739"/>
      <c r="F183" s="613" t="s">
        <v>1725</v>
      </c>
    </row>
    <row r="184" spans="1:6" s="210" customFormat="1" ht="41.4" x14ac:dyDescent="0.3">
      <c r="A184" s="740"/>
      <c r="B184" s="741"/>
      <c r="C184" s="741"/>
      <c r="D184" s="741"/>
      <c r="E184" s="741"/>
      <c r="F184" s="613" t="s">
        <v>1642</v>
      </c>
    </row>
    <row r="185" spans="1:6" s="210" customFormat="1" ht="6.6" customHeight="1" x14ac:dyDescent="0.3">
      <c r="A185" s="217"/>
      <c r="B185" s="218"/>
      <c r="C185" s="217"/>
      <c r="D185" s="219"/>
      <c r="E185" s="220"/>
      <c r="F185" s="218"/>
    </row>
    <row r="186" spans="1:6" s="210" customFormat="1" ht="55.2" x14ac:dyDescent="0.3">
      <c r="A186" s="859">
        <f>A171+1</f>
        <v>12</v>
      </c>
      <c r="B186" s="862" t="s">
        <v>1726</v>
      </c>
      <c r="C186" s="862" t="s">
        <v>1627</v>
      </c>
      <c r="D186" s="862">
        <v>16300000</v>
      </c>
      <c r="E186" s="862">
        <v>16292792.43</v>
      </c>
      <c r="F186" s="613" t="s">
        <v>1628</v>
      </c>
    </row>
    <row r="187" spans="1:6" s="210" customFormat="1" ht="27.6" x14ac:dyDescent="0.3">
      <c r="A187" s="860"/>
      <c r="B187" s="863"/>
      <c r="C187" s="863"/>
      <c r="D187" s="863"/>
      <c r="E187" s="863"/>
      <c r="F187" s="613" t="s">
        <v>1629</v>
      </c>
    </row>
    <row r="188" spans="1:6" s="210" customFormat="1" ht="41.4" x14ac:dyDescent="0.3">
      <c r="A188" s="860"/>
      <c r="B188" s="863"/>
      <c r="C188" s="863"/>
      <c r="D188" s="863"/>
      <c r="E188" s="863"/>
      <c r="F188" s="613" t="s">
        <v>1656</v>
      </c>
    </row>
    <row r="189" spans="1:6" s="210" customFormat="1" ht="41.4" x14ac:dyDescent="0.3">
      <c r="A189" s="860"/>
      <c r="B189" s="863"/>
      <c r="C189" s="863"/>
      <c r="D189" s="863"/>
      <c r="E189" s="863"/>
      <c r="F189" s="613" t="s">
        <v>1727</v>
      </c>
    </row>
    <row r="190" spans="1:6" s="210" customFormat="1" ht="41.4" x14ac:dyDescent="0.3">
      <c r="A190" s="860"/>
      <c r="B190" s="863"/>
      <c r="C190" s="863"/>
      <c r="D190" s="863"/>
      <c r="E190" s="863"/>
      <c r="F190" s="613" t="s">
        <v>1728</v>
      </c>
    </row>
    <row r="191" spans="1:6" s="210" customFormat="1" ht="41.4" x14ac:dyDescent="0.3">
      <c r="A191" s="860"/>
      <c r="B191" s="863"/>
      <c r="C191" s="863"/>
      <c r="D191" s="863"/>
      <c r="E191" s="863"/>
      <c r="F191" s="613" t="s">
        <v>1729</v>
      </c>
    </row>
    <row r="192" spans="1:6" s="210" customFormat="1" ht="41.4" x14ac:dyDescent="0.3">
      <c r="A192" s="860"/>
      <c r="B192" s="863"/>
      <c r="C192" s="863"/>
      <c r="D192" s="863"/>
      <c r="E192" s="863"/>
      <c r="F192" s="613" t="s">
        <v>1730</v>
      </c>
    </row>
    <row r="193" spans="1:6" s="210" customFormat="1" ht="41.4" x14ac:dyDescent="0.3">
      <c r="A193" s="860"/>
      <c r="B193" s="863"/>
      <c r="C193" s="863"/>
      <c r="D193" s="863"/>
      <c r="E193" s="863"/>
      <c r="F193" s="613" t="s">
        <v>1635</v>
      </c>
    </row>
    <row r="194" spans="1:6" s="210" customFormat="1" ht="41.4" x14ac:dyDescent="0.3">
      <c r="A194" s="860"/>
      <c r="B194" s="863"/>
      <c r="C194" s="863"/>
      <c r="D194" s="863"/>
      <c r="E194" s="863"/>
      <c r="F194" s="613" t="s">
        <v>1731</v>
      </c>
    </row>
    <row r="195" spans="1:6" s="210" customFormat="1" ht="55.2" x14ac:dyDescent="0.3">
      <c r="A195" s="860"/>
      <c r="B195" s="863"/>
      <c r="C195" s="863"/>
      <c r="D195" s="863"/>
      <c r="E195" s="863"/>
      <c r="F195" s="613" t="s">
        <v>1732</v>
      </c>
    </row>
    <row r="196" spans="1:6" s="210" customFormat="1" ht="55.2" x14ac:dyDescent="0.3">
      <c r="A196" s="860"/>
      <c r="B196" s="863"/>
      <c r="C196" s="863"/>
      <c r="D196" s="863"/>
      <c r="E196" s="863"/>
      <c r="F196" s="613" t="s">
        <v>1733</v>
      </c>
    </row>
    <row r="197" spans="1:6" s="210" customFormat="1" x14ac:dyDescent="0.3">
      <c r="A197" s="860"/>
      <c r="B197" s="863"/>
      <c r="C197" s="863"/>
      <c r="D197" s="863"/>
      <c r="E197" s="863"/>
      <c r="F197" s="613" t="s">
        <v>1639</v>
      </c>
    </row>
    <row r="198" spans="1:6" s="210" customFormat="1" ht="27.6" x14ac:dyDescent="0.3">
      <c r="A198" s="860"/>
      <c r="B198" s="863"/>
      <c r="C198" s="863"/>
      <c r="D198" s="863"/>
      <c r="E198" s="863"/>
      <c r="F198" s="613" t="s">
        <v>1734</v>
      </c>
    </row>
    <row r="199" spans="1:6" s="210" customFormat="1" ht="27.6" x14ac:dyDescent="0.3">
      <c r="A199" s="860"/>
      <c r="B199" s="863"/>
      <c r="C199" s="863"/>
      <c r="D199" s="863"/>
      <c r="E199" s="863"/>
      <c r="F199" s="613" t="s">
        <v>1735</v>
      </c>
    </row>
    <row r="200" spans="1:6" s="210" customFormat="1" ht="41.4" x14ac:dyDescent="0.3">
      <c r="A200" s="861"/>
      <c r="B200" s="864"/>
      <c r="C200" s="864"/>
      <c r="D200" s="864"/>
      <c r="E200" s="864"/>
      <c r="F200" s="613" t="s">
        <v>1642</v>
      </c>
    </row>
    <row r="201" spans="1:6" s="210" customFormat="1" ht="4.5" customHeight="1" x14ac:dyDescent="0.3">
      <c r="A201" s="217"/>
      <c r="B201" s="218"/>
      <c r="C201" s="217"/>
      <c r="D201" s="219"/>
      <c r="E201" s="220"/>
      <c r="F201" s="218"/>
    </row>
    <row r="202" spans="1:6" s="210" customFormat="1" ht="69" x14ac:dyDescent="0.3">
      <c r="A202" s="477">
        <f>A186+1</f>
        <v>13</v>
      </c>
      <c r="B202" s="478" t="s">
        <v>1774</v>
      </c>
      <c r="C202" s="478" t="s">
        <v>1627</v>
      </c>
      <c r="D202" s="737">
        <v>20000000</v>
      </c>
      <c r="E202" s="737">
        <v>19997250.640000001</v>
      </c>
      <c r="F202" s="613" t="s">
        <v>1628</v>
      </c>
    </row>
    <row r="203" spans="1:6" s="210" customFormat="1" ht="27.6" x14ac:dyDescent="0.3">
      <c r="A203" s="738"/>
      <c r="B203" s="739"/>
      <c r="C203" s="739"/>
      <c r="D203" s="739"/>
      <c r="E203" s="739"/>
      <c r="F203" s="613" t="s">
        <v>1629</v>
      </c>
    </row>
    <row r="204" spans="1:6" s="210" customFormat="1" ht="41.4" x14ac:dyDescent="0.3">
      <c r="A204" s="738"/>
      <c r="B204" s="739"/>
      <c r="C204" s="739"/>
      <c r="D204" s="739"/>
      <c r="E204" s="739"/>
      <c r="F204" s="742" t="s">
        <v>1736</v>
      </c>
    </row>
    <row r="205" spans="1:6" s="210" customFormat="1" ht="41.4" x14ac:dyDescent="0.3">
      <c r="A205" s="738"/>
      <c r="B205" s="739"/>
      <c r="C205" s="739"/>
      <c r="D205" s="739"/>
      <c r="E205" s="739"/>
      <c r="F205" s="613" t="s">
        <v>1737</v>
      </c>
    </row>
    <row r="206" spans="1:6" s="210" customFormat="1" ht="41.4" x14ac:dyDescent="0.3">
      <c r="A206" s="738"/>
      <c r="B206" s="739"/>
      <c r="C206" s="739"/>
      <c r="D206" s="739"/>
      <c r="E206" s="739"/>
      <c r="F206" s="613" t="s">
        <v>1738</v>
      </c>
    </row>
    <row r="207" spans="1:6" s="210" customFormat="1" ht="27.6" x14ac:dyDescent="0.3">
      <c r="A207" s="738"/>
      <c r="B207" s="739"/>
      <c r="C207" s="739"/>
      <c r="D207" s="739"/>
      <c r="E207" s="739"/>
      <c r="F207" s="613" t="s">
        <v>1739</v>
      </c>
    </row>
    <row r="208" spans="1:6" s="210" customFormat="1" ht="41.4" x14ac:dyDescent="0.3">
      <c r="A208" s="738"/>
      <c r="B208" s="739"/>
      <c r="C208" s="739"/>
      <c r="D208" s="739"/>
      <c r="E208" s="739"/>
      <c r="F208" s="613" t="s">
        <v>1677</v>
      </c>
    </row>
    <row r="209" spans="1:6" s="210" customFormat="1" ht="55.2" x14ac:dyDescent="0.3">
      <c r="A209" s="738"/>
      <c r="B209" s="739"/>
      <c r="C209" s="739"/>
      <c r="D209" s="739"/>
      <c r="E209" s="739"/>
      <c r="F209" s="613" t="s">
        <v>1633</v>
      </c>
    </row>
    <row r="210" spans="1:6" s="210" customFormat="1" ht="41.4" x14ac:dyDescent="0.3">
      <c r="A210" s="738"/>
      <c r="B210" s="739"/>
      <c r="C210" s="739"/>
      <c r="D210" s="739"/>
      <c r="E210" s="739"/>
      <c r="F210" s="613" t="s">
        <v>1635</v>
      </c>
    </row>
    <row r="211" spans="1:6" s="210" customFormat="1" ht="41.4" x14ac:dyDescent="0.3">
      <c r="A211" s="738"/>
      <c r="B211" s="739"/>
      <c r="C211" s="739"/>
      <c r="D211" s="739"/>
      <c r="E211" s="739"/>
      <c r="F211" s="613" t="s">
        <v>1740</v>
      </c>
    </row>
    <row r="212" spans="1:6" s="210" customFormat="1" ht="41.4" x14ac:dyDescent="0.3">
      <c r="A212" s="738"/>
      <c r="B212" s="739"/>
      <c r="C212" s="739"/>
      <c r="D212" s="739"/>
      <c r="E212" s="739"/>
      <c r="F212" s="613" t="s">
        <v>1637</v>
      </c>
    </row>
    <row r="213" spans="1:6" s="210" customFormat="1" ht="69" x14ac:dyDescent="0.3">
      <c r="A213" s="738"/>
      <c r="B213" s="739"/>
      <c r="C213" s="739"/>
      <c r="D213" s="739"/>
      <c r="E213" s="739"/>
      <c r="F213" s="613" t="s">
        <v>1741</v>
      </c>
    </row>
    <row r="214" spans="1:6" s="210" customFormat="1" ht="55.2" x14ac:dyDescent="0.3">
      <c r="A214" s="738"/>
      <c r="B214" s="739"/>
      <c r="C214" s="739"/>
      <c r="D214" s="739"/>
      <c r="E214" s="739"/>
      <c r="F214" s="613" t="s">
        <v>1678</v>
      </c>
    </row>
    <row r="215" spans="1:6" s="210" customFormat="1" x14ac:dyDescent="0.3">
      <c r="A215" s="738"/>
      <c r="B215" s="739"/>
      <c r="C215" s="739"/>
      <c r="D215" s="739"/>
      <c r="E215" s="739"/>
      <c r="F215" s="613" t="s">
        <v>1639</v>
      </c>
    </row>
    <row r="216" spans="1:6" s="210" customFormat="1" ht="41.4" x14ac:dyDescent="0.3">
      <c r="A216" s="738"/>
      <c r="B216" s="739"/>
      <c r="C216" s="739"/>
      <c r="D216" s="739"/>
      <c r="E216" s="739"/>
      <c r="F216" s="613" t="s">
        <v>1742</v>
      </c>
    </row>
    <row r="217" spans="1:6" s="210" customFormat="1" ht="41.4" x14ac:dyDescent="0.3">
      <c r="A217" s="740"/>
      <c r="B217" s="741"/>
      <c r="C217" s="741"/>
      <c r="D217" s="741"/>
      <c r="E217" s="741"/>
      <c r="F217" s="613" t="s">
        <v>1642</v>
      </c>
    </row>
    <row r="218" spans="1:6" s="210" customFormat="1" ht="4.5" customHeight="1" x14ac:dyDescent="0.3">
      <c r="A218" s="217"/>
      <c r="B218" s="218"/>
      <c r="C218" s="217"/>
      <c r="D218" s="219"/>
      <c r="E218" s="220"/>
      <c r="F218" s="218"/>
    </row>
    <row r="219" spans="1:6" s="210" customFormat="1" ht="55.2" x14ac:dyDescent="0.3">
      <c r="A219" s="481">
        <f>A202+1</f>
        <v>14</v>
      </c>
      <c r="B219" s="482" t="s">
        <v>1743</v>
      </c>
      <c r="C219" s="479" t="s">
        <v>1627</v>
      </c>
      <c r="D219" s="730">
        <v>14000000</v>
      </c>
      <c r="E219" s="730">
        <v>13992499.789999999</v>
      </c>
      <c r="F219" s="613" t="s">
        <v>1628</v>
      </c>
    </row>
    <row r="220" spans="1:6" s="210" customFormat="1" ht="27.6" x14ac:dyDescent="0.3">
      <c r="A220" s="731"/>
      <c r="B220" s="732"/>
      <c r="C220" s="733"/>
      <c r="D220" s="733"/>
      <c r="E220" s="733"/>
      <c r="F220" s="613" t="s">
        <v>1629</v>
      </c>
    </row>
    <row r="221" spans="1:6" s="210" customFormat="1" ht="41.4" x14ac:dyDescent="0.3">
      <c r="A221" s="731"/>
      <c r="B221" s="732"/>
      <c r="C221" s="733"/>
      <c r="D221" s="733"/>
      <c r="E221" s="733"/>
      <c r="F221" s="613" t="s">
        <v>1744</v>
      </c>
    </row>
    <row r="222" spans="1:6" s="210" customFormat="1" ht="41.4" x14ac:dyDescent="0.3">
      <c r="A222" s="731"/>
      <c r="B222" s="732"/>
      <c r="C222" s="733"/>
      <c r="D222" s="733"/>
      <c r="E222" s="733"/>
      <c r="F222" s="613" t="s">
        <v>1745</v>
      </c>
    </row>
    <row r="223" spans="1:6" s="210" customFormat="1" ht="41.4" x14ac:dyDescent="0.3">
      <c r="A223" s="731"/>
      <c r="B223" s="732"/>
      <c r="C223" s="733"/>
      <c r="D223" s="733"/>
      <c r="E223" s="733"/>
      <c r="F223" s="613" t="s">
        <v>1746</v>
      </c>
    </row>
    <row r="224" spans="1:6" s="210" customFormat="1" ht="41.4" x14ac:dyDescent="0.3">
      <c r="A224" s="731"/>
      <c r="B224" s="732"/>
      <c r="C224" s="733"/>
      <c r="D224" s="733"/>
      <c r="E224" s="733"/>
      <c r="F224" s="613" t="s">
        <v>1637</v>
      </c>
    </row>
    <row r="225" spans="1:6" s="210" customFormat="1" ht="27.6" x14ac:dyDescent="0.3">
      <c r="A225" s="731"/>
      <c r="B225" s="732"/>
      <c r="C225" s="733"/>
      <c r="D225" s="733"/>
      <c r="E225" s="733"/>
      <c r="F225" s="613" t="s">
        <v>1747</v>
      </c>
    </row>
    <row r="226" spans="1:6" s="210" customFormat="1" ht="69" x14ac:dyDescent="0.3">
      <c r="A226" s="731"/>
      <c r="B226" s="732"/>
      <c r="C226" s="733"/>
      <c r="D226" s="733"/>
      <c r="E226" s="733"/>
      <c r="F226" s="613" t="s">
        <v>1748</v>
      </c>
    </row>
    <row r="227" spans="1:6" s="210" customFormat="1" x14ac:dyDescent="0.3">
      <c r="A227" s="731"/>
      <c r="B227" s="732"/>
      <c r="C227" s="733"/>
      <c r="D227" s="733"/>
      <c r="E227" s="733"/>
      <c r="F227" s="613" t="s">
        <v>1639</v>
      </c>
    </row>
    <row r="228" spans="1:6" s="210" customFormat="1" ht="41.4" x14ac:dyDescent="0.3">
      <c r="A228" s="731"/>
      <c r="B228" s="732"/>
      <c r="C228" s="733"/>
      <c r="D228" s="733"/>
      <c r="E228" s="733"/>
      <c r="F228" s="742" t="s">
        <v>1749</v>
      </c>
    </row>
    <row r="229" spans="1:6" s="210" customFormat="1" ht="41.4" x14ac:dyDescent="0.3">
      <c r="A229" s="731"/>
      <c r="B229" s="732"/>
      <c r="C229" s="733"/>
      <c r="D229" s="733"/>
      <c r="E229" s="733"/>
      <c r="F229" s="613" t="s">
        <v>1750</v>
      </c>
    </row>
    <row r="230" spans="1:6" s="210" customFormat="1" ht="27.6" x14ac:dyDescent="0.3">
      <c r="A230" s="731"/>
      <c r="B230" s="732"/>
      <c r="C230" s="733"/>
      <c r="D230" s="733"/>
      <c r="E230" s="733"/>
      <c r="F230" s="613" t="s">
        <v>1751</v>
      </c>
    </row>
    <row r="231" spans="1:6" s="210" customFormat="1" ht="41.4" x14ac:dyDescent="0.3">
      <c r="A231" s="734"/>
      <c r="B231" s="735"/>
      <c r="C231" s="736"/>
      <c r="D231" s="736"/>
      <c r="E231" s="736"/>
      <c r="F231" s="613" t="s">
        <v>1642</v>
      </c>
    </row>
    <row r="232" spans="1:6" s="210" customFormat="1" ht="4.5" customHeight="1" x14ac:dyDescent="0.3">
      <c r="A232" s="217"/>
      <c r="B232" s="218"/>
      <c r="C232" s="217"/>
      <c r="D232" s="219"/>
      <c r="E232" s="219"/>
      <c r="F232" s="218"/>
    </row>
    <row r="233" spans="1:6" s="210" customFormat="1" ht="55.2" x14ac:dyDescent="0.3">
      <c r="A233" s="853">
        <f>A219+1</f>
        <v>15</v>
      </c>
      <c r="B233" s="856" t="s">
        <v>1752</v>
      </c>
      <c r="C233" s="847" t="s">
        <v>1627</v>
      </c>
      <c r="D233" s="847">
        <v>15000000</v>
      </c>
      <c r="E233" s="847">
        <v>14940268.359999999</v>
      </c>
      <c r="F233" s="613" t="s">
        <v>1628</v>
      </c>
    </row>
    <row r="234" spans="1:6" s="210" customFormat="1" ht="27.6" x14ac:dyDescent="0.3">
      <c r="A234" s="854"/>
      <c r="B234" s="857"/>
      <c r="C234" s="848"/>
      <c r="D234" s="848"/>
      <c r="E234" s="848"/>
      <c r="F234" s="613" t="s">
        <v>1629</v>
      </c>
    </row>
    <row r="235" spans="1:6" s="210" customFormat="1" x14ac:dyDescent="0.3">
      <c r="A235" s="854"/>
      <c r="B235" s="857"/>
      <c r="C235" s="848"/>
      <c r="D235" s="848"/>
      <c r="E235" s="848"/>
      <c r="F235" s="613" t="s">
        <v>1753</v>
      </c>
    </row>
    <row r="236" spans="1:6" s="210" customFormat="1" ht="41.4" x14ac:dyDescent="0.3">
      <c r="A236" s="854"/>
      <c r="B236" s="857"/>
      <c r="C236" s="848"/>
      <c r="D236" s="848"/>
      <c r="E236" s="848"/>
      <c r="F236" s="613" t="s">
        <v>1754</v>
      </c>
    </row>
    <row r="237" spans="1:6" s="210" customFormat="1" ht="41.4" x14ac:dyDescent="0.3">
      <c r="A237" s="854"/>
      <c r="B237" s="857"/>
      <c r="C237" s="848"/>
      <c r="D237" s="848"/>
      <c r="E237" s="848"/>
      <c r="F237" s="613" t="s">
        <v>1755</v>
      </c>
    </row>
    <row r="238" spans="1:6" s="210" customFormat="1" ht="41.4" x14ac:dyDescent="0.3">
      <c r="A238" s="854"/>
      <c r="B238" s="857"/>
      <c r="C238" s="848"/>
      <c r="D238" s="848"/>
      <c r="E238" s="848"/>
      <c r="F238" s="613" t="s">
        <v>1647</v>
      </c>
    </row>
    <row r="239" spans="1:6" s="210" customFormat="1" ht="41.4" x14ac:dyDescent="0.3">
      <c r="A239" s="854"/>
      <c r="B239" s="857"/>
      <c r="C239" s="848"/>
      <c r="D239" s="848"/>
      <c r="E239" s="848"/>
      <c r="F239" s="613" t="s">
        <v>1756</v>
      </c>
    </row>
    <row r="240" spans="1:6" s="210" customFormat="1" ht="41.4" x14ac:dyDescent="0.3">
      <c r="A240" s="854"/>
      <c r="B240" s="857"/>
      <c r="C240" s="848"/>
      <c r="D240" s="848"/>
      <c r="E240" s="848"/>
      <c r="F240" s="613" t="s">
        <v>1757</v>
      </c>
    </row>
    <row r="241" spans="1:6" s="210" customFormat="1" ht="41.4" x14ac:dyDescent="0.3">
      <c r="A241" s="854"/>
      <c r="B241" s="857"/>
      <c r="C241" s="848"/>
      <c r="D241" s="848"/>
      <c r="E241" s="848"/>
      <c r="F241" s="613" t="s">
        <v>1637</v>
      </c>
    </row>
    <row r="242" spans="1:6" s="210" customFormat="1" ht="55.2" x14ac:dyDescent="0.3">
      <c r="A242" s="854"/>
      <c r="B242" s="857"/>
      <c r="C242" s="848"/>
      <c r="D242" s="848"/>
      <c r="E242" s="848"/>
      <c r="F242" s="613" t="s">
        <v>1758</v>
      </c>
    </row>
    <row r="243" spans="1:6" s="210" customFormat="1" ht="55.2" x14ac:dyDescent="0.3">
      <c r="A243" s="854"/>
      <c r="B243" s="857"/>
      <c r="C243" s="848"/>
      <c r="D243" s="848"/>
      <c r="E243" s="848"/>
      <c r="F243" s="613" t="s">
        <v>1759</v>
      </c>
    </row>
    <row r="244" spans="1:6" s="210" customFormat="1" x14ac:dyDescent="0.3">
      <c r="A244" s="854"/>
      <c r="B244" s="857"/>
      <c r="C244" s="848"/>
      <c r="D244" s="848"/>
      <c r="E244" s="848"/>
      <c r="F244" s="613" t="s">
        <v>1639</v>
      </c>
    </row>
    <row r="245" spans="1:6" s="210" customFormat="1" ht="41.4" x14ac:dyDescent="0.3">
      <c r="A245" s="854"/>
      <c r="B245" s="857"/>
      <c r="C245" s="848"/>
      <c r="D245" s="848"/>
      <c r="E245" s="848"/>
      <c r="F245" s="613" t="s">
        <v>1760</v>
      </c>
    </row>
    <row r="246" spans="1:6" s="210" customFormat="1" ht="27.6" x14ac:dyDescent="0.3">
      <c r="A246" s="854"/>
      <c r="B246" s="857"/>
      <c r="C246" s="848"/>
      <c r="D246" s="848"/>
      <c r="E246" s="848"/>
      <c r="F246" s="613" t="s">
        <v>1761</v>
      </c>
    </row>
    <row r="247" spans="1:6" s="210" customFormat="1" ht="41.4" x14ac:dyDescent="0.3">
      <c r="A247" s="855"/>
      <c r="B247" s="858"/>
      <c r="C247" s="849"/>
      <c r="D247" s="849"/>
      <c r="E247" s="849"/>
      <c r="F247" s="613" t="s">
        <v>1642</v>
      </c>
    </row>
    <row r="248" spans="1:6" s="210" customFormat="1" ht="4.5" customHeight="1" x14ac:dyDescent="0.3">
      <c r="A248" s="217"/>
      <c r="B248" s="218"/>
      <c r="C248" s="217"/>
      <c r="D248" s="219"/>
      <c r="E248" s="219"/>
      <c r="F248" s="218"/>
    </row>
    <row r="249" spans="1:6" s="210" customFormat="1" ht="55.2" x14ac:dyDescent="0.3">
      <c r="A249" s="477">
        <f t="shared" ref="A249" si="0">A233+1</f>
        <v>16</v>
      </c>
      <c r="B249" s="478" t="s">
        <v>1762</v>
      </c>
      <c r="C249" s="478" t="s">
        <v>1763</v>
      </c>
      <c r="D249" s="737">
        <v>21071659</v>
      </c>
      <c r="E249" s="737">
        <v>21054351.050000001</v>
      </c>
      <c r="F249" s="613" t="s">
        <v>1628</v>
      </c>
    </row>
    <row r="250" spans="1:6" s="210" customFormat="1" ht="27.6" x14ac:dyDescent="0.3">
      <c r="A250" s="738"/>
      <c r="B250" s="739"/>
      <c r="C250" s="739"/>
      <c r="D250" s="739"/>
      <c r="E250" s="739"/>
      <c r="F250" s="613" t="s">
        <v>1629</v>
      </c>
    </row>
    <row r="251" spans="1:6" s="210" customFormat="1" ht="41.4" x14ac:dyDescent="0.3">
      <c r="A251" s="738"/>
      <c r="B251" s="739"/>
      <c r="C251" s="739"/>
      <c r="D251" s="739"/>
      <c r="E251" s="739"/>
      <c r="F251" s="613" t="s">
        <v>1764</v>
      </c>
    </row>
    <row r="252" spans="1:6" s="210" customFormat="1" ht="41.4" x14ac:dyDescent="0.3">
      <c r="A252" s="738"/>
      <c r="B252" s="739"/>
      <c r="C252" s="739"/>
      <c r="D252" s="739"/>
      <c r="E252" s="739"/>
      <c r="F252" s="613" t="s">
        <v>1765</v>
      </c>
    </row>
    <row r="253" spans="1:6" s="210" customFormat="1" ht="41.4" x14ac:dyDescent="0.3">
      <c r="A253" s="738"/>
      <c r="B253" s="739"/>
      <c r="C253" s="739"/>
      <c r="D253" s="739"/>
      <c r="E253" s="739"/>
      <c r="F253" s="613" t="s">
        <v>1766</v>
      </c>
    </row>
    <row r="254" spans="1:6" s="210" customFormat="1" ht="41.4" x14ac:dyDescent="0.3">
      <c r="A254" s="738"/>
      <c r="B254" s="739"/>
      <c r="C254" s="739"/>
      <c r="D254" s="739"/>
      <c r="E254" s="739"/>
      <c r="F254" s="742" t="s">
        <v>1767</v>
      </c>
    </row>
    <row r="255" spans="1:6" s="210" customFormat="1" ht="41.4" x14ac:dyDescent="0.3">
      <c r="A255" s="738"/>
      <c r="B255" s="739"/>
      <c r="C255" s="739"/>
      <c r="D255" s="739"/>
      <c r="E255" s="739"/>
      <c r="F255" s="613" t="s">
        <v>1635</v>
      </c>
    </row>
    <row r="256" spans="1:6" s="210" customFormat="1" ht="41.4" x14ac:dyDescent="0.3">
      <c r="A256" s="738"/>
      <c r="B256" s="739"/>
      <c r="C256" s="739"/>
      <c r="D256" s="739"/>
      <c r="E256" s="739"/>
      <c r="F256" s="613" t="s">
        <v>1768</v>
      </c>
    </row>
    <row r="257" spans="1:6" s="210" customFormat="1" ht="41.4" x14ac:dyDescent="0.3">
      <c r="A257" s="738"/>
      <c r="B257" s="739"/>
      <c r="C257" s="739"/>
      <c r="D257" s="739"/>
      <c r="E257" s="739"/>
      <c r="F257" s="613" t="s">
        <v>1637</v>
      </c>
    </row>
    <row r="258" spans="1:6" s="210" customFormat="1" ht="27.6" x14ac:dyDescent="0.3">
      <c r="A258" s="738"/>
      <c r="B258" s="739"/>
      <c r="C258" s="739"/>
      <c r="D258" s="739"/>
      <c r="E258" s="739"/>
      <c r="F258" s="613" t="s">
        <v>1685</v>
      </c>
    </row>
    <row r="259" spans="1:6" s="210" customFormat="1" ht="69" x14ac:dyDescent="0.3">
      <c r="A259" s="738"/>
      <c r="B259" s="739"/>
      <c r="C259" s="739"/>
      <c r="D259" s="739"/>
      <c r="E259" s="739"/>
      <c r="F259" s="613" t="s">
        <v>1769</v>
      </c>
    </row>
    <row r="260" spans="1:6" s="210" customFormat="1" x14ac:dyDescent="0.3">
      <c r="A260" s="738"/>
      <c r="B260" s="739"/>
      <c r="C260" s="739"/>
      <c r="D260" s="739"/>
      <c r="E260" s="739"/>
      <c r="F260" s="613" t="s">
        <v>1639</v>
      </c>
    </row>
    <row r="261" spans="1:6" s="210" customFormat="1" ht="27.6" x14ac:dyDescent="0.3">
      <c r="A261" s="738"/>
      <c r="B261" s="739"/>
      <c r="C261" s="739"/>
      <c r="D261" s="739"/>
      <c r="E261" s="739"/>
      <c r="F261" s="613" t="s">
        <v>1770</v>
      </c>
    </row>
    <row r="262" spans="1:6" s="210" customFormat="1" ht="55.2" x14ac:dyDescent="0.3">
      <c r="A262" s="738"/>
      <c r="B262" s="739"/>
      <c r="C262" s="739"/>
      <c r="D262" s="739"/>
      <c r="E262" s="739"/>
      <c r="F262" s="613" t="s">
        <v>1771</v>
      </c>
    </row>
    <row r="263" spans="1:6" s="210" customFormat="1" ht="96.6" x14ac:dyDescent="0.3">
      <c r="A263" s="740"/>
      <c r="B263" s="741"/>
      <c r="C263" s="741"/>
      <c r="D263" s="741"/>
      <c r="E263" s="741"/>
      <c r="F263" s="299" t="s">
        <v>1772</v>
      </c>
    </row>
    <row r="264" spans="1:6" x14ac:dyDescent="0.25">
      <c r="A264" s="850" t="s">
        <v>759</v>
      </c>
      <c r="B264" s="851"/>
      <c r="C264" s="852"/>
      <c r="D264" s="222">
        <f>SUM(D9:D249)</f>
        <v>266371659</v>
      </c>
      <c r="E264" s="222">
        <f>SUM(E9:E249)</f>
        <v>266093900.42999995</v>
      </c>
      <c r="F264" s="223"/>
    </row>
  </sheetData>
  <sheetProtection algorithmName="SHA-512" hashValue="s/KAqY4jqKy9GEN7u824ehF5L34BIAnEjjhVFie4wkGxMucH2c5OEdmgeVFGORTnqiVeDWGoZIEf45ZZr0I5Qw==" saltValue="YzYA3CdwHtF5sERUqV1WSQ==" spinCount="100000" sheet="1" objects="1" scenarios="1" selectLockedCells="1" selectUnlockedCells="1"/>
  <mergeCells count="36">
    <mergeCell ref="A9:A23"/>
    <mergeCell ref="B9:B23"/>
    <mergeCell ref="C9:C23"/>
    <mergeCell ref="D9:D23"/>
    <mergeCell ref="E9:E23"/>
    <mergeCell ref="A60:A73"/>
    <mergeCell ref="B60:B73"/>
    <mergeCell ref="C60:C73"/>
    <mergeCell ref="D60:D73"/>
    <mergeCell ref="E60:E73"/>
    <mergeCell ref="A89:A103"/>
    <mergeCell ref="B89:B103"/>
    <mergeCell ref="C89:C103"/>
    <mergeCell ref="D89:D103"/>
    <mergeCell ref="E89:E103"/>
    <mergeCell ref="A105:A116"/>
    <mergeCell ref="B105:B116"/>
    <mergeCell ref="C105:C116"/>
    <mergeCell ref="D105:D116"/>
    <mergeCell ref="E105:E116"/>
    <mergeCell ref="A130:A146"/>
    <mergeCell ref="B130:B146"/>
    <mergeCell ref="C130:C146"/>
    <mergeCell ref="D130:D146"/>
    <mergeCell ref="E130:E146"/>
    <mergeCell ref="A186:A200"/>
    <mergeCell ref="B186:B200"/>
    <mergeCell ref="C186:C200"/>
    <mergeCell ref="D186:D200"/>
    <mergeCell ref="E186:E200"/>
    <mergeCell ref="E233:E247"/>
    <mergeCell ref="A264:C264"/>
    <mergeCell ref="A233:A247"/>
    <mergeCell ref="B233:B247"/>
    <mergeCell ref="C233:C247"/>
    <mergeCell ref="D233:D247"/>
  </mergeCells>
  <printOptions horizontalCentered="1"/>
  <pageMargins left="1.4960629921259843" right="0.70866141732283472" top="0.74803149606299213" bottom="0.74803149606299213" header="0.31496062992125984" footer="0.31496062992125984"/>
  <pageSetup scale="61" fitToHeight="0" orientation="portrait" r:id="rId1"/>
  <headerFooter>
    <oddHeader>&amp;R&amp;"Times New Roman,Regular"&amp;12
Annex P
AAR Page 166</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J130"/>
  <sheetViews>
    <sheetView zoomScaleNormal="100" zoomScaleSheetLayoutView="80" workbookViewId="0"/>
  </sheetViews>
  <sheetFormatPr defaultColWidth="10.88671875" defaultRowHeight="13.8" x14ac:dyDescent="0.25"/>
  <cols>
    <col min="1" max="1" width="20.88671875" style="257" customWidth="1"/>
    <col min="2" max="2" width="14.44140625" style="258" customWidth="1"/>
    <col min="3" max="3" width="3" style="258" customWidth="1"/>
    <col min="4" max="4" width="33.5546875" style="259" customWidth="1"/>
    <col min="5" max="5" width="16.88671875" style="257" bestFit="1" customWidth="1"/>
    <col min="6" max="6" width="12" style="257" bestFit="1" customWidth="1"/>
    <col min="7" max="7" width="16" style="257" customWidth="1"/>
    <col min="8" max="16384" width="10.88671875" style="260"/>
  </cols>
  <sheetData>
    <row r="1" spans="1:10" x14ac:dyDescent="0.25">
      <c r="A1" s="257" t="s">
        <v>0</v>
      </c>
    </row>
    <row r="2" spans="1:10" x14ac:dyDescent="0.25">
      <c r="A2" s="261" t="s">
        <v>2102</v>
      </c>
    </row>
    <row r="3" spans="1:10" x14ac:dyDescent="0.25">
      <c r="A3" s="257" t="s">
        <v>5</v>
      </c>
    </row>
    <row r="5" spans="1:10" s="264" customFormat="1" ht="27.6" x14ac:dyDescent="0.3">
      <c r="A5" s="262" t="s">
        <v>2103</v>
      </c>
      <c r="B5" s="262" t="s">
        <v>2104</v>
      </c>
      <c r="C5" s="262"/>
      <c r="D5" s="262" t="s">
        <v>2105</v>
      </c>
      <c r="E5" s="263" t="s">
        <v>2106</v>
      </c>
      <c r="F5" s="263" t="s">
        <v>2107</v>
      </c>
    </row>
    <row r="6" spans="1:10" ht="27.6" x14ac:dyDescent="0.25">
      <c r="A6" s="265" t="s">
        <v>66</v>
      </c>
      <c r="B6" s="258" t="s">
        <v>2108</v>
      </c>
      <c r="C6" s="258">
        <v>1</v>
      </c>
      <c r="D6" s="265" t="s">
        <v>2109</v>
      </c>
      <c r="E6" s="266">
        <v>3000000</v>
      </c>
      <c r="F6" s="266">
        <v>0</v>
      </c>
      <c r="H6" s="257"/>
      <c r="I6" s="257"/>
      <c r="J6" s="257"/>
    </row>
    <row r="7" spans="1:10" ht="27.6" x14ac:dyDescent="0.25">
      <c r="A7" s="265" t="s">
        <v>66</v>
      </c>
      <c r="B7" s="258" t="s">
        <v>2108</v>
      </c>
      <c r="C7" s="258">
        <v>2</v>
      </c>
      <c r="D7" s="265" t="s">
        <v>2110</v>
      </c>
      <c r="E7" s="266">
        <v>300000</v>
      </c>
      <c r="F7" s="266">
        <v>0</v>
      </c>
      <c r="H7" s="257"/>
      <c r="I7" s="257"/>
      <c r="J7" s="257"/>
    </row>
    <row r="8" spans="1:10" ht="27.6" x14ac:dyDescent="0.25">
      <c r="A8" s="265" t="s">
        <v>66</v>
      </c>
      <c r="B8" s="258" t="s">
        <v>2108</v>
      </c>
      <c r="C8" s="258">
        <v>3</v>
      </c>
      <c r="D8" s="265" t="s">
        <v>2111</v>
      </c>
      <c r="E8" s="266">
        <v>2600000</v>
      </c>
      <c r="F8" s="266">
        <v>0</v>
      </c>
      <c r="H8" s="257"/>
      <c r="I8" s="257"/>
      <c r="J8" s="257"/>
    </row>
    <row r="9" spans="1:10" ht="27.6" x14ac:dyDescent="0.25">
      <c r="A9" s="265" t="s">
        <v>66</v>
      </c>
      <c r="B9" s="258" t="s">
        <v>2108</v>
      </c>
      <c r="C9" s="258">
        <v>4</v>
      </c>
      <c r="D9" s="265" t="s">
        <v>2112</v>
      </c>
      <c r="E9" s="266">
        <v>10000000</v>
      </c>
      <c r="F9" s="266">
        <v>0</v>
      </c>
      <c r="H9" s="257"/>
      <c r="I9" s="257"/>
      <c r="J9" s="257"/>
    </row>
    <row r="10" spans="1:10" ht="27.6" x14ac:dyDescent="0.25">
      <c r="A10" s="265" t="s">
        <v>66</v>
      </c>
      <c r="B10" s="258" t="s">
        <v>2108</v>
      </c>
      <c r="C10" s="258">
        <v>5</v>
      </c>
      <c r="D10" s="265" t="s">
        <v>2113</v>
      </c>
      <c r="E10" s="266">
        <v>2000000</v>
      </c>
      <c r="F10" s="266">
        <v>0</v>
      </c>
      <c r="H10" s="257"/>
      <c r="I10" s="257"/>
      <c r="J10" s="257"/>
    </row>
    <row r="11" spans="1:10" ht="27.6" x14ac:dyDescent="0.25">
      <c r="A11" s="265" t="s">
        <v>66</v>
      </c>
      <c r="B11" s="258" t="s">
        <v>2108</v>
      </c>
      <c r="C11" s="258">
        <v>6</v>
      </c>
      <c r="D11" s="265" t="s">
        <v>2114</v>
      </c>
      <c r="E11" s="266">
        <v>590000</v>
      </c>
      <c r="F11" s="266">
        <v>0</v>
      </c>
      <c r="H11" s="257"/>
      <c r="I11" s="257"/>
      <c r="J11" s="257"/>
    </row>
    <row r="12" spans="1:10" ht="27.6" x14ac:dyDescent="0.25">
      <c r="A12" s="265" t="s">
        <v>66</v>
      </c>
      <c r="B12" s="258" t="s">
        <v>2108</v>
      </c>
      <c r="C12" s="258">
        <v>7</v>
      </c>
      <c r="D12" s="265" t="s">
        <v>2115</v>
      </c>
      <c r="E12" s="266">
        <v>2000000</v>
      </c>
      <c r="F12" s="266">
        <v>0</v>
      </c>
      <c r="H12" s="257"/>
      <c r="I12" s="257"/>
      <c r="J12" s="257"/>
    </row>
    <row r="13" spans="1:10" ht="27.6" x14ac:dyDescent="0.25">
      <c r="A13" s="265" t="s">
        <v>66</v>
      </c>
      <c r="B13" s="258" t="s">
        <v>2108</v>
      </c>
      <c r="C13" s="258">
        <v>8</v>
      </c>
      <c r="D13" s="265" t="s">
        <v>2116</v>
      </c>
      <c r="E13" s="266">
        <v>2000000</v>
      </c>
      <c r="F13" s="266">
        <v>0</v>
      </c>
      <c r="H13" s="257"/>
      <c r="I13" s="257"/>
    </row>
    <row r="14" spans="1:10" ht="27.6" x14ac:dyDescent="0.25">
      <c r="A14" s="265" t="s">
        <v>66</v>
      </c>
      <c r="B14" s="258" t="s">
        <v>2108</v>
      </c>
      <c r="C14" s="258">
        <v>9</v>
      </c>
      <c r="D14" s="265" t="s">
        <v>2117</v>
      </c>
      <c r="E14" s="266">
        <v>120000</v>
      </c>
      <c r="F14" s="266">
        <v>0</v>
      </c>
      <c r="H14" s="257"/>
      <c r="I14" s="257"/>
    </row>
    <row r="15" spans="1:10" ht="27.6" x14ac:dyDescent="0.25">
      <c r="A15" s="265" t="s">
        <v>66</v>
      </c>
      <c r="B15" s="258" t="s">
        <v>2108</v>
      </c>
      <c r="C15" s="258">
        <v>10</v>
      </c>
      <c r="D15" s="265" t="s">
        <v>2118</v>
      </c>
      <c r="E15" s="266">
        <v>1500000</v>
      </c>
      <c r="F15" s="266">
        <v>0</v>
      </c>
      <c r="H15" s="257"/>
      <c r="I15" s="257"/>
    </row>
    <row r="16" spans="1:10" ht="27.6" x14ac:dyDescent="0.25">
      <c r="A16" s="265" t="s">
        <v>66</v>
      </c>
      <c r="B16" s="258" t="s">
        <v>2108</v>
      </c>
      <c r="C16" s="258">
        <v>11</v>
      </c>
      <c r="D16" s="265" t="s">
        <v>2119</v>
      </c>
      <c r="E16" s="266">
        <v>3300000</v>
      </c>
      <c r="F16" s="266">
        <v>0</v>
      </c>
      <c r="H16" s="257"/>
      <c r="I16" s="257"/>
    </row>
    <row r="17" spans="1:9" ht="27.6" x14ac:dyDescent="0.25">
      <c r="A17" s="265" t="s">
        <v>66</v>
      </c>
      <c r="B17" s="258" t="s">
        <v>2108</v>
      </c>
      <c r="C17" s="258">
        <v>12</v>
      </c>
      <c r="D17" s="265" t="s">
        <v>2120</v>
      </c>
      <c r="E17" s="266">
        <v>700000</v>
      </c>
      <c r="F17" s="266">
        <v>0</v>
      </c>
      <c r="H17" s="257"/>
      <c r="I17" s="257"/>
    </row>
    <row r="18" spans="1:9" x14ac:dyDescent="0.25">
      <c r="A18" s="265" t="s">
        <v>66</v>
      </c>
      <c r="B18" s="258" t="s">
        <v>2108</v>
      </c>
      <c r="C18" s="258">
        <v>13</v>
      </c>
      <c r="D18" s="265" t="s">
        <v>2121</v>
      </c>
      <c r="E18" s="266">
        <v>200000</v>
      </c>
      <c r="F18" s="266">
        <v>0</v>
      </c>
      <c r="H18" s="257"/>
      <c r="I18" s="257"/>
    </row>
    <row r="19" spans="1:9" ht="27.6" x14ac:dyDescent="0.25">
      <c r="A19" s="265" t="s">
        <v>66</v>
      </c>
      <c r="B19" s="258" t="s">
        <v>2108</v>
      </c>
      <c r="C19" s="258">
        <v>14</v>
      </c>
      <c r="D19" s="265" t="s">
        <v>2122</v>
      </c>
      <c r="E19" s="266">
        <v>15000000</v>
      </c>
      <c r="F19" s="266">
        <v>0</v>
      </c>
      <c r="H19" s="257"/>
      <c r="I19" s="257"/>
    </row>
    <row r="20" spans="1:9" ht="27.6" x14ac:dyDescent="0.25">
      <c r="A20" s="265" t="s">
        <v>66</v>
      </c>
      <c r="B20" s="258" t="s">
        <v>2108</v>
      </c>
      <c r="C20" s="258">
        <v>15</v>
      </c>
      <c r="D20" s="265" t="s">
        <v>2123</v>
      </c>
      <c r="E20" s="266">
        <v>11000000</v>
      </c>
      <c r="F20" s="266">
        <v>0</v>
      </c>
      <c r="H20" s="257"/>
      <c r="I20" s="257"/>
    </row>
    <row r="21" spans="1:9" x14ac:dyDescent="0.25">
      <c r="A21" s="265" t="s">
        <v>66</v>
      </c>
      <c r="B21" s="258" t="s">
        <v>2108</v>
      </c>
      <c r="C21" s="258">
        <v>16</v>
      </c>
      <c r="D21" s="265" t="s">
        <v>2124</v>
      </c>
      <c r="E21" s="266">
        <v>1000000</v>
      </c>
      <c r="F21" s="266">
        <v>0</v>
      </c>
      <c r="H21" s="257"/>
      <c r="I21" s="257"/>
    </row>
    <row r="22" spans="1:9" ht="27.6" x14ac:dyDescent="0.25">
      <c r="A22" s="265" t="s">
        <v>66</v>
      </c>
      <c r="B22" s="258" t="s">
        <v>2108</v>
      </c>
      <c r="C22" s="258">
        <v>17</v>
      </c>
      <c r="D22" s="265" t="s">
        <v>2125</v>
      </c>
      <c r="E22" s="266">
        <v>2960000</v>
      </c>
      <c r="F22" s="266">
        <v>0</v>
      </c>
      <c r="H22" s="257"/>
      <c r="I22" s="257"/>
    </row>
    <row r="23" spans="1:9" ht="27.6" x14ac:dyDescent="0.25">
      <c r="A23" s="265" t="s">
        <v>66</v>
      </c>
      <c r="B23" s="258" t="s">
        <v>2108</v>
      </c>
      <c r="C23" s="258">
        <v>18</v>
      </c>
      <c r="D23" s="265" t="s">
        <v>2126</v>
      </c>
      <c r="E23" s="266">
        <v>1360000</v>
      </c>
      <c r="F23" s="266">
        <v>0</v>
      </c>
      <c r="H23" s="257"/>
      <c r="I23" s="257"/>
    </row>
    <row r="24" spans="1:9" ht="27.6" x14ac:dyDescent="0.25">
      <c r="A24" s="265" t="s">
        <v>66</v>
      </c>
      <c r="B24" s="258" t="s">
        <v>2108</v>
      </c>
      <c r="C24" s="258">
        <v>19</v>
      </c>
      <c r="D24" s="265" t="s">
        <v>2127</v>
      </c>
      <c r="E24" s="266">
        <v>8700000</v>
      </c>
      <c r="F24" s="266">
        <v>0</v>
      </c>
      <c r="H24" s="257"/>
      <c r="I24" s="257"/>
    </row>
    <row r="25" spans="1:9" ht="27.6" x14ac:dyDescent="0.25">
      <c r="A25" s="265" t="s">
        <v>66</v>
      </c>
      <c r="B25" s="258" t="s">
        <v>2108</v>
      </c>
      <c r="C25" s="258">
        <v>20</v>
      </c>
      <c r="D25" s="265" t="s">
        <v>2128</v>
      </c>
      <c r="E25" s="266">
        <v>23600000</v>
      </c>
      <c r="F25" s="266">
        <v>0</v>
      </c>
      <c r="H25" s="257"/>
      <c r="I25" s="257"/>
    </row>
    <row r="26" spans="1:9" ht="27.6" x14ac:dyDescent="0.25">
      <c r="A26" s="265" t="s">
        <v>66</v>
      </c>
      <c r="B26" s="258" t="s">
        <v>2108</v>
      </c>
      <c r="C26" s="258">
        <v>21</v>
      </c>
      <c r="D26" s="265" t="s">
        <v>2129</v>
      </c>
      <c r="E26" s="266">
        <v>2700000</v>
      </c>
      <c r="F26" s="266">
        <v>0</v>
      </c>
      <c r="H26" s="257"/>
      <c r="I26" s="257"/>
    </row>
    <row r="27" spans="1:9" ht="27.6" x14ac:dyDescent="0.25">
      <c r="A27" s="265" t="s">
        <v>66</v>
      </c>
      <c r="B27" s="258" t="s">
        <v>2108</v>
      </c>
      <c r="C27" s="258">
        <v>22</v>
      </c>
      <c r="D27" s="265" t="s">
        <v>2130</v>
      </c>
      <c r="E27" s="266">
        <v>7600000</v>
      </c>
      <c r="F27" s="266">
        <v>0</v>
      </c>
      <c r="H27" s="257"/>
      <c r="I27" s="257"/>
    </row>
    <row r="28" spans="1:9" ht="27.6" x14ac:dyDescent="0.25">
      <c r="A28" s="265" t="s">
        <v>66</v>
      </c>
      <c r="B28" s="258" t="s">
        <v>2108</v>
      </c>
      <c r="C28" s="258">
        <v>23</v>
      </c>
      <c r="D28" s="265" t="s">
        <v>2131</v>
      </c>
      <c r="E28" s="266">
        <v>7200000</v>
      </c>
      <c r="F28" s="266">
        <v>0</v>
      </c>
      <c r="H28" s="257"/>
      <c r="I28" s="257"/>
    </row>
    <row r="29" spans="1:9" ht="27.6" x14ac:dyDescent="0.25">
      <c r="A29" s="265" t="s">
        <v>66</v>
      </c>
      <c r="B29" s="258" t="s">
        <v>2108</v>
      </c>
      <c r="C29" s="258">
        <v>24</v>
      </c>
      <c r="D29" s="265" t="s">
        <v>2132</v>
      </c>
      <c r="E29" s="266">
        <v>3000000</v>
      </c>
      <c r="F29" s="266">
        <v>0</v>
      </c>
      <c r="H29" s="257"/>
      <c r="I29" s="257"/>
    </row>
    <row r="30" spans="1:9" ht="27.6" x14ac:dyDescent="0.25">
      <c r="A30" s="265" t="s">
        <v>66</v>
      </c>
      <c r="B30" s="258" t="s">
        <v>2108</v>
      </c>
      <c r="C30" s="258">
        <v>25</v>
      </c>
      <c r="D30" s="259" t="s">
        <v>2133</v>
      </c>
      <c r="E30" s="266">
        <v>2000000</v>
      </c>
      <c r="F30" s="266">
        <v>0</v>
      </c>
      <c r="H30" s="257"/>
      <c r="I30" s="257"/>
    </row>
    <row r="31" spans="1:9" ht="27.6" x14ac:dyDescent="0.25">
      <c r="A31" s="265" t="s">
        <v>66</v>
      </c>
      <c r="B31" s="258" t="s">
        <v>2108</v>
      </c>
      <c r="C31" s="258">
        <v>26</v>
      </c>
      <c r="D31" s="259" t="s">
        <v>2134</v>
      </c>
      <c r="E31" s="266">
        <v>3000000</v>
      </c>
      <c r="F31" s="266">
        <v>0</v>
      </c>
      <c r="H31" s="257"/>
      <c r="I31" s="257"/>
    </row>
    <row r="32" spans="1:9" ht="27.6" x14ac:dyDescent="0.25">
      <c r="A32" s="265" t="s">
        <v>66</v>
      </c>
      <c r="B32" s="258" t="s">
        <v>2108</v>
      </c>
      <c r="C32" s="258">
        <v>27</v>
      </c>
      <c r="D32" s="265" t="s">
        <v>2135</v>
      </c>
      <c r="E32" s="266">
        <v>6000000</v>
      </c>
      <c r="F32" s="266">
        <v>0</v>
      </c>
      <c r="H32" s="257"/>
      <c r="I32" s="257"/>
    </row>
    <row r="33" spans="1:9" ht="27.6" x14ac:dyDescent="0.25">
      <c r="A33" s="265" t="s">
        <v>66</v>
      </c>
      <c r="B33" s="258" t="s">
        <v>2108</v>
      </c>
      <c r="C33" s="258">
        <v>28</v>
      </c>
      <c r="D33" s="265" t="s">
        <v>2136</v>
      </c>
      <c r="E33" s="266">
        <v>50000000</v>
      </c>
      <c r="F33" s="266">
        <v>0</v>
      </c>
      <c r="H33" s="257"/>
      <c r="I33" s="257"/>
    </row>
    <row r="34" spans="1:9" ht="27.6" x14ac:dyDescent="0.25">
      <c r="A34" s="265" t="s">
        <v>66</v>
      </c>
      <c r="B34" s="258" t="s">
        <v>2108</v>
      </c>
      <c r="C34" s="258">
        <v>29</v>
      </c>
      <c r="D34" s="265" t="s">
        <v>2137</v>
      </c>
      <c r="E34" s="266">
        <v>45000000</v>
      </c>
      <c r="F34" s="266">
        <v>0</v>
      </c>
      <c r="H34" s="257"/>
      <c r="I34" s="257"/>
    </row>
    <row r="35" spans="1:9" x14ac:dyDescent="0.25">
      <c r="A35" s="267" t="s">
        <v>66</v>
      </c>
      <c r="B35" s="268"/>
      <c r="C35" s="268"/>
      <c r="D35" s="267"/>
      <c r="E35" s="269">
        <f>SUM(E6:E34)</f>
        <v>218430000</v>
      </c>
      <c r="F35" s="269">
        <f t="shared" ref="F35" si="0">SUM(F6:F34)</f>
        <v>0</v>
      </c>
      <c r="H35" s="257"/>
      <c r="I35" s="257"/>
    </row>
    <row r="36" spans="1:9" ht="27.6" x14ac:dyDescent="0.25">
      <c r="A36" s="259" t="s">
        <v>2138</v>
      </c>
      <c r="B36" s="258" t="s">
        <v>2108</v>
      </c>
      <c r="C36" s="258">
        <v>30</v>
      </c>
      <c r="D36" s="265" t="s">
        <v>2139</v>
      </c>
      <c r="E36" s="266">
        <v>1200000</v>
      </c>
      <c r="F36" s="266">
        <v>0</v>
      </c>
      <c r="H36" s="257"/>
      <c r="I36" s="257"/>
    </row>
    <row r="37" spans="1:9" ht="27.6" x14ac:dyDescent="0.25">
      <c r="A37" s="259" t="s">
        <v>2138</v>
      </c>
      <c r="B37" s="258" t="s">
        <v>2108</v>
      </c>
      <c r="C37" s="258">
        <v>31</v>
      </c>
      <c r="D37" s="265" t="s">
        <v>2140</v>
      </c>
      <c r="E37" s="266">
        <v>1500000</v>
      </c>
      <c r="F37" s="266">
        <v>0</v>
      </c>
      <c r="H37" s="257"/>
      <c r="I37" s="257"/>
    </row>
    <row r="38" spans="1:9" ht="27.6" x14ac:dyDescent="0.25">
      <c r="A38" s="259" t="s">
        <v>2138</v>
      </c>
      <c r="B38" s="258" t="s">
        <v>2108</v>
      </c>
      <c r="C38" s="258">
        <v>32</v>
      </c>
      <c r="D38" s="265" t="s">
        <v>2141</v>
      </c>
      <c r="E38" s="266">
        <v>1000000</v>
      </c>
      <c r="F38" s="266">
        <v>0</v>
      </c>
      <c r="H38" s="257"/>
      <c r="I38" s="257"/>
    </row>
    <row r="39" spans="1:9" ht="41.4" x14ac:dyDescent="0.25">
      <c r="A39" s="259" t="s">
        <v>2138</v>
      </c>
      <c r="B39" s="258" t="s">
        <v>2108</v>
      </c>
      <c r="C39" s="258">
        <v>33</v>
      </c>
      <c r="D39" s="265" t="s">
        <v>2142</v>
      </c>
      <c r="E39" s="266">
        <v>500000</v>
      </c>
      <c r="F39" s="266">
        <v>0</v>
      </c>
      <c r="H39" s="257"/>
      <c r="I39" s="257"/>
    </row>
    <row r="40" spans="1:9" ht="27.6" x14ac:dyDescent="0.25">
      <c r="A40" s="259" t="s">
        <v>2138</v>
      </c>
      <c r="B40" s="258" t="s">
        <v>2108</v>
      </c>
      <c r="C40" s="258">
        <v>34</v>
      </c>
      <c r="D40" s="265" t="s">
        <v>2143</v>
      </c>
      <c r="E40" s="266">
        <v>1000000</v>
      </c>
      <c r="F40" s="266">
        <v>0</v>
      </c>
      <c r="H40" s="257"/>
      <c r="I40" s="257"/>
    </row>
    <row r="41" spans="1:9" ht="27.6" x14ac:dyDescent="0.25">
      <c r="A41" s="259" t="s">
        <v>2138</v>
      </c>
      <c r="B41" s="258" t="s">
        <v>2108</v>
      </c>
      <c r="C41" s="258">
        <v>35</v>
      </c>
      <c r="D41" s="265" t="s">
        <v>2144</v>
      </c>
      <c r="E41" s="266">
        <v>1000000</v>
      </c>
      <c r="F41" s="266">
        <v>0</v>
      </c>
      <c r="H41" s="257"/>
      <c r="I41" s="257"/>
    </row>
    <row r="42" spans="1:9" ht="27.6" x14ac:dyDescent="0.25">
      <c r="A42" s="259" t="s">
        <v>2138</v>
      </c>
      <c r="B42" s="258" t="s">
        <v>2108</v>
      </c>
      <c r="C42" s="258">
        <v>36</v>
      </c>
      <c r="D42" s="265" t="s">
        <v>2145</v>
      </c>
      <c r="E42" s="266">
        <v>6000000</v>
      </c>
      <c r="F42" s="266">
        <v>0</v>
      </c>
      <c r="H42" s="257"/>
      <c r="I42" s="257"/>
    </row>
    <row r="43" spans="1:9" ht="27.6" x14ac:dyDescent="0.25">
      <c r="A43" s="259" t="s">
        <v>2138</v>
      </c>
      <c r="B43" s="258" t="s">
        <v>2108</v>
      </c>
      <c r="C43" s="258">
        <v>37</v>
      </c>
      <c r="D43" s="265" t="s">
        <v>2146</v>
      </c>
      <c r="E43" s="266">
        <v>1000000</v>
      </c>
      <c r="F43" s="266">
        <v>0</v>
      </c>
      <c r="H43" s="257"/>
      <c r="I43" s="257"/>
    </row>
    <row r="44" spans="1:9" ht="27.6" x14ac:dyDescent="0.25">
      <c r="A44" s="259" t="s">
        <v>2147</v>
      </c>
      <c r="B44" s="258" t="s">
        <v>2108</v>
      </c>
      <c r="C44" s="258">
        <v>38</v>
      </c>
      <c r="D44" s="265" t="s">
        <v>2148</v>
      </c>
      <c r="E44" s="266">
        <v>1000000</v>
      </c>
      <c r="F44" s="266">
        <v>0</v>
      </c>
      <c r="H44" s="257"/>
      <c r="I44" s="257"/>
    </row>
    <row r="45" spans="1:9" ht="27.6" x14ac:dyDescent="0.25">
      <c r="A45" s="259" t="s">
        <v>2149</v>
      </c>
      <c r="B45" s="258" t="s">
        <v>2108</v>
      </c>
      <c r="C45" s="258">
        <v>39</v>
      </c>
      <c r="D45" s="265" t="s">
        <v>2150</v>
      </c>
      <c r="E45" s="266">
        <v>2500000</v>
      </c>
      <c r="F45" s="266">
        <v>0</v>
      </c>
      <c r="H45" s="257"/>
      <c r="I45" s="257"/>
    </row>
    <row r="46" spans="1:9" ht="27.6" x14ac:dyDescent="0.25">
      <c r="A46" s="259" t="s">
        <v>2149</v>
      </c>
      <c r="B46" s="258" t="s">
        <v>2108</v>
      </c>
      <c r="C46" s="258">
        <v>40</v>
      </c>
      <c r="D46" s="265" t="s">
        <v>2151</v>
      </c>
      <c r="E46" s="266">
        <v>3000000</v>
      </c>
      <c r="F46" s="266">
        <v>0</v>
      </c>
      <c r="H46" s="257"/>
      <c r="I46" s="257"/>
    </row>
    <row r="47" spans="1:9" ht="27.6" x14ac:dyDescent="0.25">
      <c r="A47" s="259" t="s">
        <v>2149</v>
      </c>
      <c r="B47" s="258" t="s">
        <v>2108</v>
      </c>
      <c r="C47" s="258">
        <v>41</v>
      </c>
      <c r="D47" s="265" t="s">
        <v>2152</v>
      </c>
      <c r="E47" s="266">
        <v>2500000</v>
      </c>
      <c r="F47" s="266">
        <v>0</v>
      </c>
      <c r="H47" s="257"/>
      <c r="I47" s="257"/>
    </row>
    <row r="48" spans="1:9" ht="27.6" x14ac:dyDescent="0.25">
      <c r="A48" s="259" t="s">
        <v>2149</v>
      </c>
      <c r="B48" s="258" t="s">
        <v>2108</v>
      </c>
      <c r="C48" s="258">
        <v>42</v>
      </c>
      <c r="D48" s="265" t="s">
        <v>2153</v>
      </c>
      <c r="E48" s="266">
        <v>1000000</v>
      </c>
      <c r="F48" s="266">
        <v>0</v>
      </c>
      <c r="H48" s="257"/>
      <c r="I48" s="257"/>
    </row>
    <row r="49" spans="1:9" ht="27.6" x14ac:dyDescent="0.25">
      <c r="A49" s="259" t="s">
        <v>2149</v>
      </c>
      <c r="B49" s="258" t="s">
        <v>2108</v>
      </c>
      <c r="C49" s="258">
        <v>43</v>
      </c>
      <c r="D49" s="265" t="s">
        <v>2154</v>
      </c>
      <c r="E49" s="266">
        <v>1500000</v>
      </c>
      <c r="F49" s="266">
        <v>0</v>
      </c>
      <c r="H49" s="257"/>
      <c r="I49" s="257"/>
    </row>
    <row r="50" spans="1:9" ht="27.6" x14ac:dyDescent="0.25">
      <c r="A50" s="259" t="s">
        <v>2149</v>
      </c>
      <c r="B50" s="258" t="s">
        <v>2108</v>
      </c>
      <c r="C50" s="258">
        <v>44</v>
      </c>
      <c r="D50" s="265" t="s">
        <v>2155</v>
      </c>
      <c r="E50" s="266">
        <v>8500000</v>
      </c>
      <c r="F50" s="266">
        <v>0</v>
      </c>
      <c r="H50" s="257"/>
      <c r="I50" s="257"/>
    </row>
    <row r="51" spans="1:9" x14ac:dyDescent="0.25">
      <c r="A51" s="267" t="s">
        <v>2156</v>
      </c>
      <c r="B51" s="268"/>
      <c r="C51" s="268"/>
      <c r="D51" s="267"/>
      <c r="E51" s="269">
        <f>SUM(E36:E50)</f>
        <v>33200000</v>
      </c>
      <c r="F51" s="269">
        <f t="shared" ref="F51" si="1">SUM(F36:F50)</f>
        <v>0</v>
      </c>
      <c r="H51" s="257"/>
      <c r="I51" s="257"/>
    </row>
    <row r="52" spans="1:9" ht="27.6" x14ac:dyDescent="0.25">
      <c r="A52" s="257" t="s">
        <v>904</v>
      </c>
      <c r="B52" s="258" t="s">
        <v>2108</v>
      </c>
      <c r="C52" s="258">
        <v>45</v>
      </c>
      <c r="D52" s="208" t="s">
        <v>2157</v>
      </c>
      <c r="E52" s="270">
        <v>150000</v>
      </c>
      <c r="F52" s="270">
        <v>0</v>
      </c>
      <c r="G52" s="260"/>
    </row>
    <row r="53" spans="1:9" ht="27.6" x14ac:dyDescent="0.25">
      <c r="A53" s="257" t="s">
        <v>904</v>
      </c>
      <c r="B53" s="258" t="s">
        <v>2108</v>
      </c>
      <c r="C53" s="258">
        <v>46</v>
      </c>
      <c r="D53" s="208" t="s">
        <v>2158</v>
      </c>
      <c r="E53" s="270">
        <v>100000</v>
      </c>
      <c r="F53" s="270">
        <v>0</v>
      </c>
      <c r="G53" s="260"/>
    </row>
    <row r="54" spans="1:9" ht="27.6" x14ac:dyDescent="0.25">
      <c r="A54" s="257" t="s">
        <v>904</v>
      </c>
      <c r="B54" s="258" t="s">
        <v>2108</v>
      </c>
      <c r="C54" s="258">
        <v>47</v>
      </c>
      <c r="D54" s="208" t="s">
        <v>2159</v>
      </c>
      <c r="E54" s="270">
        <v>200000</v>
      </c>
      <c r="F54" s="270">
        <v>0</v>
      </c>
      <c r="G54" s="260"/>
    </row>
    <row r="55" spans="1:9" ht="27.6" x14ac:dyDescent="0.25">
      <c r="A55" s="257" t="s">
        <v>904</v>
      </c>
      <c r="B55" s="258" t="s">
        <v>2108</v>
      </c>
      <c r="C55" s="258">
        <v>48</v>
      </c>
      <c r="D55" s="208" t="s">
        <v>2160</v>
      </c>
      <c r="E55" s="270">
        <v>200000</v>
      </c>
      <c r="F55" s="270">
        <v>0</v>
      </c>
      <c r="G55" s="260"/>
    </row>
    <row r="56" spans="1:9" ht="27.6" x14ac:dyDescent="0.25">
      <c r="A56" s="257" t="s">
        <v>904</v>
      </c>
      <c r="B56" s="258" t="s">
        <v>2108</v>
      </c>
      <c r="C56" s="258">
        <v>49</v>
      </c>
      <c r="D56" s="208" t="s">
        <v>2161</v>
      </c>
      <c r="E56" s="270">
        <v>200000</v>
      </c>
      <c r="F56" s="270">
        <v>0</v>
      </c>
      <c r="G56" s="260"/>
    </row>
    <row r="57" spans="1:9" ht="27.6" x14ac:dyDescent="0.25">
      <c r="A57" s="257" t="s">
        <v>904</v>
      </c>
      <c r="B57" s="258" t="s">
        <v>2108</v>
      </c>
      <c r="C57" s="258">
        <v>50</v>
      </c>
      <c r="D57" s="208" t="s">
        <v>2162</v>
      </c>
      <c r="E57" s="270">
        <v>500000</v>
      </c>
      <c r="F57" s="270">
        <v>0</v>
      </c>
      <c r="G57" s="260"/>
    </row>
    <row r="58" spans="1:9" ht="27.6" x14ac:dyDescent="0.25">
      <c r="A58" s="257" t="s">
        <v>904</v>
      </c>
      <c r="B58" s="258" t="s">
        <v>2108</v>
      </c>
      <c r="C58" s="258">
        <v>51</v>
      </c>
      <c r="D58" s="208" t="s">
        <v>2163</v>
      </c>
      <c r="E58" s="270">
        <v>500000</v>
      </c>
      <c r="F58" s="270">
        <v>0</v>
      </c>
      <c r="G58" s="260"/>
    </row>
    <row r="59" spans="1:9" ht="27.6" x14ac:dyDescent="0.25">
      <c r="A59" s="257" t="s">
        <v>904</v>
      </c>
      <c r="B59" s="258" t="s">
        <v>2108</v>
      </c>
      <c r="C59" s="258">
        <v>52</v>
      </c>
      <c r="D59" s="208" t="s">
        <v>2164</v>
      </c>
      <c r="E59" s="270">
        <v>500000</v>
      </c>
      <c r="F59" s="270">
        <v>0</v>
      </c>
      <c r="G59" s="260"/>
    </row>
    <row r="60" spans="1:9" ht="27.6" x14ac:dyDescent="0.25">
      <c r="A60" s="257" t="s">
        <v>904</v>
      </c>
      <c r="B60" s="258" t="s">
        <v>2108</v>
      </c>
      <c r="C60" s="258">
        <v>53</v>
      </c>
      <c r="D60" s="208" t="s">
        <v>2165</v>
      </c>
      <c r="E60" s="270">
        <v>500000</v>
      </c>
      <c r="F60" s="270">
        <v>0</v>
      </c>
      <c r="G60" s="260"/>
    </row>
    <row r="61" spans="1:9" ht="27.6" x14ac:dyDescent="0.25">
      <c r="A61" s="257" t="s">
        <v>904</v>
      </c>
      <c r="B61" s="258" t="s">
        <v>2108</v>
      </c>
      <c r="C61" s="258">
        <v>54</v>
      </c>
      <c r="D61" s="208" t="s">
        <v>2166</v>
      </c>
      <c r="E61" s="270">
        <v>500000</v>
      </c>
      <c r="F61" s="270">
        <v>0</v>
      </c>
      <c r="G61" s="260"/>
    </row>
    <row r="62" spans="1:9" ht="27.6" x14ac:dyDescent="0.25">
      <c r="A62" s="257" t="s">
        <v>904</v>
      </c>
      <c r="B62" s="258" t="s">
        <v>2108</v>
      </c>
      <c r="C62" s="258">
        <v>55</v>
      </c>
      <c r="D62" s="208" t="s">
        <v>2167</v>
      </c>
      <c r="E62" s="270">
        <v>1500000</v>
      </c>
      <c r="F62" s="270">
        <v>0</v>
      </c>
      <c r="G62" s="260"/>
    </row>
    <row r="63" spans="1:9" ht="27.6" x14ac:dyDescent="0.25">
      <c r="A63" s="257" t="s">
        <v>904</v>
      </c>
      <c r="B63" s="258" t="s">
        <v>2108</v>
      </c>
      <c r="C63" s="258">
        <v>56</v>
      </c>
      <c r="D63" s="208" t="s">
        <v>2168</v>
      </c>
      <c r="E63" s="270">
        <v>1500000</v>
      </c>
      <c r="F63" s="270">
        <v>0</v>
      </c>
      <c r="G63" s="260"/>
    </row>
    <row r="64" spans="1:9" ht="27.6" x14ac:dyDescent="0.25">
      <c r="A64" s="257" t="s">
        <v>904</v>
      </c>
      <c r="B64" s="258" t="s">
        <v>2108</v>
      </c>
      <c r="C64" s="258">
        <v>57</v>
      </c>
      <c r="D64" s="208" t="s">
        <v>2169</v>
      </c>
      <c r="E64" s="270">
        <v>1500000</v>
      </c>
      <c r="F64" s="270">
        <v>0</v>
      </c>
      <c r="G64" s="260"/>
    </row>
    <row r="65" spans="1:7" ht="27.6" x14ac:dyDescent="0.25">
      <c r="A65" s="257" t="s">
        <v>904</v>
      </c>
      <c r="B65" s="258" t="s">
        <v>2108</v>
      </c>
      <c r="C65" s="258">
        <v>58</v>
      </c>
      <c r="D65" s="208" t="s">
        <v>2170</v>
      </c>
      <c r="E65" s="270">
        <v>1500000</v>
      </c>
      <c r="F65" s="270">
        <v>0</v>
      </c>
      <c r="G65" s="260"/>
    </row>
    <row r="66" spans="1:7" ht="27.6" x14ac:dyDescent="0.25">
      <c r="A66" s="257" t="s">
        <v>904</v>
      </c>
      <c r="B66" s="258" t="s">
        <v>2108</v>
      </c>
      <c r="C66" s="258">
        <v>59</v>
      </c>
      <c r="D66" s="208" t="s">
        <v>2171</v>
      </c>
      <c r="E66" s="270">
        <v>500000</v>
      </c>
      <c r="F66" s="270">
        <v>0</v>
      </c>
      <c r="G66" s="260"/>
    </row>
    <row r="67" spans="1:7" ht="27.6" x14ac:dyDescent="0.25">
      <c r="A67" s="257" t="s">
        <v>904</v>
      </c>
      <c r="B67" s="258" t="s">
        <v>2108</v>
      </c>
      <c r="C67" s="258">
        <v>60</v>
      </c>
      <c r="D67" s="208" t="s">
        <v>2172</v>
      </c>
      <c r="E67" s="270">
        <v>1500000</v>
      </c>
      <c r="F67" s="270">
        <v>0</v>
      </c>
      <c r="G67" s="260"/>
    </row>
    <row r="68" spans="1:7" ht="27.6" x14ac:dyDescent="0.25">
      <c r="A68" s="257" t="s">
        <v>904</v>
      </c>
      <c r="B68" s="258" t="s">
        <v>2108</v>
      </c>
      <c r="C68" s="258">
        <v>61</v>
      </c>
      <c r="D68" s="208" t="s">
        <v>2173</v>
      </c>
      <c r="E68" s="270">
        <v>300000</v>
      </c>
      <c r="F68" s="270">
        <v>0</v>
      </c>
      <c r="G68" s="260"/>
    </row>
    <row r="69" spans="1:7" ht="27.6" x14ac:dyDescent="0.25">
      <c r="A69" s="257" t="s">
        <v>904</v>
      </c>
      <c r="B69" s="258" t="s">
        <v>2108</v>
      </c>
      <c r="C69" s="258">
        <v>62</v>
      </c>
      <c r="D69" s="208" t="s">
        <v>2174</v>
      </c>
      <c r="E69" s="270">
        <v>300000</v>
      </c>
      <c r="F69" s="270">
        <v>0</v>
      </c>
      <c r="G69" s="260"/>
    </row>
    <row r="70" spans="1:7" ht="27.6" x14ac:dyDescent="0.25">
      <c r="A70" s="257" t="s">
        <v>904</v>
      </c>
      <c r="B70" s="258" t="s">
        <v>2108</v>
      </c>
      <c r="C70" s="258">
        <v>63</v>
      </c>
      <c r="D70" s="208" t="s">
        <v>2175</v>
      </c>
      <c r="E70" s="270">
        <v>200000</v>
      </c>
      <c r="F70" s="270">
        <v>0</v>
      </c>
      <c r="G70" s="260"/>
    </row>
    <row r="71" spans="1:7" ht="27.6" x14ac:dyDescent="0.25">
      <c r="A71" s="257" t="s">
        <v>904</v>
      </c>
      <c r="B71" s="258" t="s">
        <v>2108</v>
      </c>
      <c r="C71" s="258">
        <v>64</v>
      </c>
      <c r="D71" s="208" t="s">
        <v>2176</v>
      </c>
      <c r="E71" s="270">
        <v>200000</v>
      </c>
      <c r="F71" s="270">
        <v>0</v>
      </c>
      <c r="G71" s="260"/>
    </row>
    <row r="72" spans="1:7" ht="27.6" x14ac:dyDescent="0.25">
      <c r="A72" s="257" t="s">
        <v>904</v>
      </c>
      <c r="B72" s="258" t="s">
        <v>2108</v>
      </c>
      <c r="C72" s="258">
        <v>65</v>
      </c>
      <c r="D72" s="208" t="s">
        <v>2177</v>
      </c>
      <c r="E72" s="270">
        <v>50000</v>
      </c>
      <c r="F72" s="270">
        <v>0</v>
      </c>
      <c r="G72" s="260"/>
    </row>
    <row r="73" spans="1:7" ht="27.6" x14ac:dyDescent="0.25">
      <c r="A73" s="257" t="s">
        <v>904</v>
      </c>
      <c r="B73" s="258" t="s">
        <v>2108</v>
      </c>
      <c r="C73" s="258">
        <v>66</v>
      </c>
      <c r="D73" s="208" t="s">
        <v>2178</v>
      </c>
      <c r="E73" s="270">
        <v>100000</v>
      </c>
      <c r="F73" s="270">
        <v>0</v>
      </c>
      <c r="G73" s="260"/>
    </row>
    <row r="74" spans="1:7" ht="27.6" x14ac:dyDescent="0.25">
      <c r="A74" s="257" t="s">
        <v>904</v>
      </c>
      <c r="B74" s="258" t="s">
        <v>2108</v>
      </c>
      <c r="C74" s="258">
        <v>67</v>
      </c>
      <c r="D74" s="208" t="s">
        <v>2179</v>
      </c>
      <c r="E74" s="270">
        <v>300000</v>
      </c>
      <c r="F74" s="270">
        <v>0</v>
      </c>
      <c r="G74" s="260"/>
    </row>
    <row r="75" spans="1:7" ht="41.4" x14ac:dyDescent="0.25">
      <c r="A75" s="257" t="s">
        <v>904</v>
      </c>
      <c r="B75" s="258" t="s">
        <v>2108</v>
      </c>
      <c r="C75" s="258">
        <v>68</v>
      </c>
      <c r="D75" s="208" t="s">
        <v>2180</v>
      </c>
      <c r="E75" s="270">
        <v>300000</v>
      </c>
      <c r="F75" s="270">
        <v>0</v>
      </c>
      <c r="G75" s="260"/>
    </row>
    <row r="76" spans="1:7" ht="27.6" x14ac:dyDescent="0.25">
      <c r="A76" s="257" t="s">
        <v>904</v>
      </c>
      <c r="B76" s="258" t="s">
        <v>2108</v>
      </c>
      <c r="C76" s="258">
        <v>69</v>
      </c>
      <c r="D76" s="208" t="s">
        <v>2181</v>
      </c>
      <c r="E76" s="270">
        <v>200000</v>
      </c>
      <c r="F76" s="270">
        <v>0</v>
      </c>
      <c r="G76" s="260"/>
    </row>
    <row r="77" spans="1:7" ht="27.6" x14ac:dyDescent="0.25">
      <c r="A77" s="257" t="s">
        <v>904</v>
      </c>
      <c r="B77" s="258" t="s">
        <v>2108</v>
      </c>
      <c r="C77" s="258">
        <v>70</v>
      </c>
      <c r="D77" s="208" t="s">
        <v>2182</v>
      </c>
      <c r="E77" s="270">
        <v>150000</v>
      </c>
      <c r="F77" s="270">
        <v>0</v>
      </c>
      <c r="G77" s="260"/>
    </row>
    <row r="78" spans="1:7" ht="27.6" x14ac:dyDescent="0.25">
      <c r="A78" s="257" t="s">
        <v>904</v>
      </c>
      <c r="B78" s="258" t="s">
        <v>2108</v>
      </c>
      <c r="C78" s="258">
        <v>71</v>
      </c>
      <c r="D78" s="208" t="s">
        <v>2183</v>
      </c>
      <c r="E78" s="270">
        <v>50000</v>
      </c>
      <c r="F78" s="270">
        <v>0</v>
      </c>
      <c r="G78" s="260"/>
    </row>
    <row r="79" spans="1:7" ht="27.6" x14ac:dyDescent="0.25">
      <c r="A79" s="257" t="s">
        <v>904</v>
      </c>
      <c r="B79" s="258" t="s">
        <v>2108</v>
      </c>
      <c r="C79" s="258">
        <v>72</v>
      </c>
      <c r="D79" s="208" t="s">
        <v>2184</v>
      </c>
      <c r="E79" s="270">
        <v>50000</v>
      </c>
      <c r="F79" s="270">
        <v>0</v>
      </c>
      <c r="G79" s="260"/>
    </row>
    <row r="80" spans="1:7" ht="27.6" x14ac:dyDescent="0.25">
      <c r="A80" s="257" t="s">
        <v>904</v>
      </c>
      <c r="B80" s="258" t="s">
        <v>2108</v>
      </c>
      <c r="C80" s="258">
        <v>73</v>
      </c>
      <c r="D80" s="208" t="s">
        <v>2185</v>
      </c>
      <c r="E80" s="270">
        <v>300000</v>
      </c>
      <c r="F80" s="270">
        <v>0</v>
      </c>
      <c r="G80" s="260"/>
    </row>
    <row r="81" spans="1:10" ht="27.6" x14ac:dyDescent="0.25">
      <c r="A81" s="257" t="s">
        <v>904</v>
      </c>
      <c r="B81" s="258" t="s">
        <v>2108</v>
      </c>
      <c r="C81" s="258">
        <v>74</v>
      </c>
      <c r="D81" s="208" t="s">
        <v>2186</v>
      </c>
      <c r="E81" s="270">
        <v>500000</v>
      </c>
      <c r="F81" s="270">
        <v>0</v>
      </c>
      <c r="G81" s="260"/>
    </row>
    <row r="82" spans="1:10" x14ac:dyDescent="0.25">
      <c r="A82" s="271" t="s">
        <v>904</v>
      </c>
      <c r="B82" s="268"/>
      <c r="C82" s="268"/>
      <c r="D82" s="272" t="s">
        <v>2187</v>
      </c>
      <c r="E82" s="273">
        <f>SUM(E52:E81)</f>
        <v>14350000</v>
      </c>
      <c r="F82" s="273">
        <f t="shared" ref="F82" si="2">SUM(F52:F81)</f>
        <v>0</v>
      </c>
      <c r="G82" s="260"/>
    </row>
    <row r="83" spans="1:10" x14ac:dyDescent="0.25">
      <c r="A83" s="274" t="s">
        <v>2188</v>
      </c>
      <c r="B83" s="274"/>
      <c r="C83" s="274"/>
      <c r="D83" s="274" t="s">
        <v>743</v>
      </c>
      <c r="E83" s="275">
        <f>E82+E51+E35</f>
        <v>265980000</v>
      </c>
      <c r="F83" s="275">
        <f>F82+F51+F35</f>
        <v>0</v>
      </c>
      <c r="G83" s="260"/>
    </row>
    <row r="84" spans="1:10" ht="41.4" x14ac:dyDescent="0.25">
      <c r="A84" s="259" t="s">
        <v>2138</v>
      </c>
      <c r="B84" s="258" t="s">
        <v>2048</v>
      </c>
      <c r="C84" s="258">
        <v>1</v>
      </c>
      <c r="D84" s="259" t="s">
        <v>2189</v>
      </c>
      <c r="E84" s="276">
        <v>1000000</v>
      </c>
      <c r="F84" s="276">
        <v>0</v>
      </c>
      <c r="G84" s="260"/>
      <c r="J84" s="257"/>
    </row>
    <row r="85" spans="1:10" ht="27.6" x14ac:dyDescent="0.25">
      <c r="A85" s="259" t="s">
        <v>2138</v>
      </c>
      <c r="B85" s="258" t="s">
        <v>2048</v>
      </c>
      <c r="C85" s="258">
        <v>2</v>
      </c>
      <c r="D85" s="259" t="s">
        <v>2190</v>
      </c>
      <c r="E85" s="276">
        <v>1000000</v>
      </c>
      <c r="F85" s="276">
        <v>0</v>
      </c>
      <c r="G85" s="260"/>
      <c r="J85" s="257"/>
    </row>
    <row r="86" spans="1:10" ht="27.6" x14ac:dyDescent="0.25">
      <c r="A86" s="259" t="s">
        <v>2138</v>
      </c>
      <c r="B86" s="258" t="s">
        <v>2048</v>
      </c>
      <c r="C86" s="258">
        <v>3</v>
      </c>
      <c r="D86" s="259" t="s">
        <v>2146</v>
      </c>
      <c r="E86" s="276">
        <v>3000000</v>
      </c>
      <c r="F86" s="276">
        <v>0</v>
      </c>
      <c r="G86" s="260"/>
      <c r="J86" s="257"/>
    </row>
    <row r="87" spans="1:10" ht="27.6" x14ac:dyDescent="0.25">
      <c r="A87" s="259" t="s">
        <v>2138</v>
      </c>
      <c r="B87" s="258" t="s">
        <v>2048</v>
      </c>
      <c r="C87" s="258">
        <v>4</v>
      </c>
      <c r="D87" s="259" t="s">
        <v>2191</v>
      </c>
      <c r="E87" s="276">
        <v>6000000</v>
      </c>
      <c r="F87" s="276">
        <v>0</v>
      </c>
      <c r="G87" s="260"/>
      <c r="J87" s="257"/>
    </row>
    <row r="88" spans="1:10" x14ac:dyDescent="0.25">
      <c r="A88" s="271" t="s">
        <v>2138</v>
      </c>
      <c r="B88" s="268"/>
      <c r="C88" s="268"/>
      <c r="D88" s="277"/>
      <c r="E88" s="269">
        <f>SUM(E84:E87)</f>
        <v>11000000</v>
      </c>
      <c r="F88" s="269">
        <f>SUM(F84:F87)</f>
        <v>0</v>
      </c>
      <c r="G88" s="260"/>
      <c r="J88" s="257"/>
    </row>
    <row r="89" spans="1:10" ht="27.6" x14ac:dyDescent="0.25">
      <c r="A89" s="257" t="s">
        <v>66</v>
      </c>
      <c r="B89" s="258" t="s">
        <v>2048</v>
      </c>
      <c r="C89" s="258">
        <v>5</v>
      </c>
      <c r="D89" s="259" t="s">
        <v>2192</v>
      </c>
      <c r="E89" s="276">
        <v>532062.93000000005</v>
      </c>
      <c r="F89" s="276">
        <v>0</v>
      </c>
      <c r="G89" s="260"/>
    </row>
    <row r="90" spans="1:10" x14ac:dyDescent="0.25">
      <c r="A90" s="271" t="s">
        <v>66</v>
      </c>
      <c r="B90" s="268"/>
      <c r="C90" s="268"/>
      <c r="D90" s="277"/>
      <c r="E90" s="269">
        <f>SUM(E89:E89)</f>
        <v>532062.93000000005</v>
      </c>
      <c r="F90" s="269">
        <f>SUM(F89:F89)</f>
        <v>0</v>
      </c>
      <c r="G90" s="260"/>
    </row>
    <row r="91" spans="1:10" ht="27.6" x14ac:dyDescent="0.25">
      <c r="A91" s="257" t="s">
        <v>904</v>
      </c>
      <c r="B91" s="258" t="s">
        <v>2048</v>
      </c>
      <c r="C91" s="258">
        <v>6</v>
      </c>
      <c r="D91" s="259" t="s">
        <v>2193</v>
      </c>
      <c r="E91" s="276">
        <v>500000</v>
      </c>
      <c r="F91" s="276">
        <v>0</v>
      </c>
      <c r="G91" s="260"/>
    </row>
    <row r="92" spans="1:10" ht="27.6" x14ac:dyDescent="0.25">
      <c r="A92" s="257" t="s">
        <v>904</v>
      </c>
      <c r="B92" s="258" t="s">
        <v>2048</v>
      </c>
      <c r="C92" s="258">
        <v>7</v>
      </c>
      <c r="D92" s="259" t="s">
        <v>2194</v>
      </c>
      <c r="E92" s="276">
        <v>500000</v>
      </c>
      <c r="F92" s="276">
        <v>0</v>
      </c>
      <c r="G92" s="260"/>
    </row>
    <row r="93" spans="1:10" ht="27.6" x14ac:dyDescent="0.25">
      <c r="A93" s="257" t="s">
        <v>904</v>
      </c>
      <c r="B93" s="258" t="s">
        <v>2048</v>
      </c>
      <c r="C93" s="258">
        <v>8</v>
      </c>
      <c r="D93" s="259" t="s">
        <v>2195</v>
      </c>
      <c r="E93" s="276">
        <v>116010</v>
      </c>
      <c r="F93" s="276">
        <v>0</v>
      </c>
      <c r="G93" s="260"/>
    </row>
    <row r="94" spans="1:10" ht="27.6" x14ac:dyDescent="0.25">
      <c r="A94" s="257" t="s">
        <v>904</v>
      </c>
      <c r="B94" s="258" t="s">
        <v>2048</v>
      </c>
      <c r="C94" s="258">
        <v>9</v>
      </c>
      <c r="D94" s="259" t="s">
        <v>2196</v>
      </c>
      <c r="E94" s="276">
        <v>140000</v>
      </c>
      <c r="F94" s="276">
        <v>0</v>
      </c>
      <c r="G94" s="260"/>
    </row>
    <row r="95" spans="1:10" x14ac:dyDescent="0.25">
      <c r="A95" s="271" t="s">
        <v>904</v>
      </c>
      <c r="B95" s="268"/>
      <c r="C95" s="268"/>
      <c r="D95" s="277"/>
      <c r="E95" s="269">
        <f>SUM(E91:E94)</f>
        <v>1256010</v>
      </c>
      <c r="F95" s="269">
        <f>SUM(F91:F94)</f>
        <v>0</v>
      </c>
      <c r="G95" s="260"/>
    </row>
    <row r="96" spans="1:10" x14ac:dyDescent="0.25">
      <c r="A96" s="274" t="s">
        <v>2197</v>
      </c>
      <c r="B96" s="274"/>
      <c r="C96" s="274"/>
      <c r="D96" s="274" t="s">
        <v>743</v>
      </c>
      <c r="E96" s="278">
        <f>E95+E90+E88</f>
        <v>12788072.93</v>
      </c>
      <c r="F96" s="278">
        <f>F95+F90+F88</f>
        <v>0</v>
      </c>
      <c r="G96" s="260"/>
    </row>
    <row r="97" spans="1:10" ht="41.4" x14ac:dyDescent="0.25">
      <c r="A97" s="259" t="s">
        <v>2138</v>
      </c>
      <c r="B97" s="258" t="s">
        <v>2044</v>
      </c>
      <c r="C97" s="258">
        <v>1</v>
      </c>
      <c r="D97" s="259" t="s">
        <v>2198</v>
      </c>
      <c r="E97" s="276">
        <v>1500000</v>
      </c>
      <c r="F97" s="276">
        <v>0</v>
      </c>
      <c r="G97" s="260"/>
      <c r="J97" s="257"/>
    </row>
    <row r="98" spans="1:10" ht="41.4" x14ac:dyDescent="0.25">
      <c r="A98" s="259" t="s">
        <v>2138</v>
      </c>
      <c r="B98" s="258" t="s">
        <v>2044</v>
      </c>
      <c r="C98" s="258">
        <v>2</v>
      </c>
      <c r="D98" s="259" t="s">
        <v>2199</v>
      </c>
      <c r="E98" s="276">
        <v>200000</v>
      </c>
      <c r="F98" s="276">
        <v>0</v>
      </c>
      <c r="G98" s="260"/>
      <c r="J98" s="257"/>
    </row>
    <row r="99" spans="1:10" ht="41.4" x14ac:dyDescent="0.25">
      <c r="A99" s="259" t="s">
        <v>2200</v>
      </c>
      <c r="B99" s="258" t="s">
        <v>2044</v>
      </c>
      <c r="C99" s="258">
        <v>3</v>
      </c>
      <c r="D99" s="259" t="s">
        <v>2201</v>
      </c>
      <c r="E99" s="276">
        <v>1000000</v>
      </c>
      <c r="F99" s="276">
        <v>0</v>
      </c>
      <c r="G99" s="260"/>
      <c r="J99" s="257"/>
    </row>
    <row r="100" spans="1:10" ht="41.4" x14ac:dyDescent="0.25">
      <c r="A100" s="259" t="s">
        <v>2200</v>
      </c>
      <c r="B100" s="258" t="s">
        <v>2044</v>
      </c>
      <c r="C100" s="258">
        <v>4</v>
      </c>
      <c r="D100" s="259" t="s">
        <v>2202</v>
      </c>
      <c r="E100" s="276">
        <v>600000</v>
      </c>
      <c r="F100" s="276">
        <v>0</v>
      </c>
      <c r="G100" s="260"/>
      <c r="J100" s="257"/>
    </row>
    <row r="101" spans="1:10" ht="27.6" x14ac:dyDescent="0.25">
      <c r="A101" s="259" t="s">
        <v>2147</v>
      </c>
      <c r="B101" s="258" t="s">
        <v>2044</v>
      </c>
      <c r="C101" s="258">
        <v>5</v>
      </c>
      <c r="D101" s="259" t="s">
        <v>2203</v>
      </c>
      <c r="E101" s="276">
        <v>1000000</v>
      </c>
      <c r="F101" s="276">
        <v>0</v>
      </c>
      <c r="G101" s="260"/>
      <c r="J101" s="257"/>
    </row>
    <row r="102" spans="1:10" ht="41.4" x14ac:dyDescent="0.25">
      <c r="A102" s="259" t="s">
        <v>2147</v>
      </c>
      <c r="B102" s="258" t="s">
        <v>2044</v>
      </c>
      <c r="C102" s="258">
        <v>6</v>
      </c>
      <c r="D102" s="259" t="s">
        <v>2204</v>
      </c>
      <c r="E102" s="276">
        <v>150000</v>
      </c>
      <c r="F102" s="276">
        <v>0</v>
      </c>
      <c r="G102" s="260"/>
      <c r="J102" s="257"/>
    </row>
    <row r="103" spans="1:10" x14ac:dyDescent="0.25">
      <c r="A103" s="271" t="s">
        <v>2147</v>
      </c>
      <c r="B103" s="268"/>
      <c r="C103" s="268"/>
      <c r="D103" s="277"/>
      <c r="E103" s="269">
        <f>SUM(E97:E102)</f>
        <v>4450000</v>
      </c>
      <c r="F103" s="269">
        <f>SUM(F97:F102)</f>
        <v>0</v>
      </c>
      <c r="G103" s="260"/>
      <c r="J103" s="257"/>
    </row>
    <row r="104" spans="1:10" x14ac:dyDescent="0.25">
      <c r="A104" s="257" t="s">
        <v>66</v>
      </c>
      <c r="B104" s="258" t="s">
        <v>2044</v>
      </c>
      <c r="C104" s="258">
        <v>7</v>
      </c>
      <c r="D104" s="259" t="s">
        <v>817</v>
      </c>
      <c r="E104" s="276">
        <v>1007786.86</v>
      </c>
      <c r="F104" s="276">
        <v>0</v>
      </c>
      <c r="G104" s="260"/>
    </row>
    <row r="105" spans="1:10" x14ac:dyDescent="0.25">
      <c r="A105" s="271"/>
      <c r="B105" s="268"/>
      <c r="C105" s="268"/>
      <c r="D105" s="277"/>
      <c r="E105" s="269">
        <f>SUM(E104)</f>
        <v>1007786.86</v>
      </c>
      <c r="F105" s="269">
        <f t="shared" ref="F105" si="3">SUM(F104)</f>
        <v>0</v>
      </c>
      <c r="G105" s="260"/>
    </row>
    <row r="106" spans="1:10" x14ac:dyDescent="0.25">
      <c r="A106" s="274" t="s">
        <v>2205</v>
      </c>
      <c r="B106" s="279"/>
      <c r="C106" s="279"/>
      <c r="D106" s="274" t="s">
        <v>743</v>
      </c>
      <c r="E106" s="278">
        <f>E103+E105</f>
        <v>5457786.8600000003</v>
      </c>
      <c r="F106" s="278">
        <f t="shared" ref="F106" si="4">F103+F105</f>
        <v>0</v>
      </c>
      <c r="G106" s="260"/>
    </row>
    <row r="107" spans="1:10" ht="27.6" x14ac:dyDescent="0.25">
      <c r="A107" s="259" t="s">
        <v>2149</v>
      </c>
      <c r="B107" s="258" t="s">
        <v>2042</v>
      </c>
      <c r="C107" s="258">
        <v>1</v>
      </c>
      <c r="D107" s="259" t="s">
        <v>2206</v>
      </c>
      <c r="E107" s="276">
        <v>1016209.23</v>
      </c>
      <c r="F107" s="276">
        <v>0</v>
      </c>
      <c r="G107" s="260"/>
      <c r="J107" s="257"/>
    </row>
    <row r="108" spans="1:10" ht="41.4" x14ac:dyDescent="0.25">
      <c r="A108" s="259" t="s">
        <v>2200</v>
      </c>
      <c r="B108" s="258" t="s">
        <v>2042</v>
      </c>
      <c r="C108" s="258">
        <v>2</v>
      </c>
      <c r="D108" s="259" t="s">
        <v>574</v>
      </c>
      <c r="E108" s="276">
        <v>200000</v>
      </c>
      <c r="F108" s="276">
        <v>0</v>
      </c>
      <c r="G108" s="260"/>
      <c r="J108" s="257"/>
    </row>
    <row r="109" spans="1:10" x14ac:dyDescent="0.25">
      <c r="A109" s="271" t="s">
        <v>2147</v>
      </c>
      <c r="B109" s="268"/>
      <c r="C109" s="268"/>
      <c r="D109" s="277"/>
      <c r="E109" s="269">
        <f>SUM(E107:E108)</f>
        <v>1216209.23</v>
      </c>
      <c r="F109" s="269">
        <f>SUM(F107:F108)</f>
        <v>0</v>
      </c>
      <c r="G109" s="260"/>
      <c r="J109" s="257"/>
    </row>
    <row r="110" spans="1:10" ht="27.6" x14ac:dyDescent="0.25">
      <c r="A110" s="257" t="s">
        <v>66</v>
      </c>
      <c r="B110" s="258" t="s">
        <v>2042</v>
      </c>
      <c r="C110" s="258">
        <v>3</v>
      </c>
      <c r="D110" s="259" t="s">
        <v>2207</v>
      </c>
      <c r="E110" s="276">
        <v>3000000</v>
      </c>
      <c r="F110" s="276">
        <v>0</v>
      </c>
      <c r="G110" s="260"/>
    </row>
    <row r="111" spans="1:10" ht="27.6" x14ac:dyDescent="0.25">
      <c r="A111" s="257" t="s">
        <v>66</v>
      </c>
      <c r="B111" s="258" t="s">
        <v>2042</v>
      </c>
      <c r="C111" s="258">
        <v>4</v>
      </c>
      <c r="D111" s="259" t="s">
        <v>2208</v>
      </c>
      <c r="E111" s="276">
        <v>1224041</v>
      </c>
      <c r="F111" s="276">
        <v>0</v>
      </c>
      <c r="G111" s="260"/>
    </row>
    <row r="112" spans="1:10" ht="41.4" x14ac:dyDescent="0.25">
      <c r="A112" s="257" t="s">
        <v>66</v>
      </c>
      <c r="B112" s="258" t="s">
        <v>2042</v>
      </c>
      <c r="C112" s="258">
        <v>5</v>
      </c>
      <c r="D112" s="259" t="s">
        <v>2209</v>
      </c>
      <c r="E112" s="276">
        <v>2000000</v>
      </c>
      <c r="F112" s="276">
        <v>0</v>
      </c>
      <c r="G112" s="260"/>
    </row>
    <row r="113" spans="1:10" ht="41.4" x14ac:dyDescent="0.25">
      <c r="A113" s="257" t="s">
        <v>66</v>
      </c>
      <c r="B113" s="258" t="s">
        <v>2042</v>
      </c>
      <c r="C113" s="258">
        <v>6</v>
      </c>
      <c r="D113" s="259" t="s">
        <v>2210</v>
      </c>
      <c r="E113" s="276">
        <v>3000000</v>
      </c>
      <c r="F113" s="276">
        <v>0</v>
      </c>
      <c r="G113" s="260"/>
    </row>
    <row r="114" spans="1:10" ht="41.4" x14ac:dyDescent="0.25">
      <c r="A114" s="257" t="s">
        <v>66</v>
      </c>
      <c r="B114" s="258" t="s">
        <v>2042</v>
      </c>
      <c r="C114" s="258">
        <v>7</v>
      </c>
      <c r="D114" s="259" t="s">
        <v>2211</v>
      </c>
      <c r="E114" s="276">
        <v>3000000</v>
      </c>
      <c r="F114" s="276">
        <v>0</v>
      </c>
      <c r="G114" s="260"/>
    </row>
    <row r="115" spans="1:10" ht="41.4" x14ac:dyDescent="0.25">
      <c r="A115" s="257" t="s">
        <v>66</v>
      </c>
      <c r="B115" s="258" t="s">
        <v>2042</v>
      </c>
      <c r="C115" s="258">
        <v>8</v>
      </c>
      <c r="D115" s="259" t="s">
        <v>2212</v>
      </c>
      <c r="E115" s="276">
        <v>1263189.5</v>
      </c>
      <c r="F115" s="276">
        <v>0</v>
      </c>
      <c r="G115" s="260"/>
    </row>
    <row r="116" spans="1:10" x14ac:dyDescent="0.25">
      <c r="A116" s="271" t="s">
        <v>66</v>
      </c>
      <c r="B116" s="268"/>
      <c r="C116" s="268"/>
      <c r="D116" s="277"/>
      <c r="E116" s="269">
        <f>SUM(E110:E115)</f>
        <v>13487230.5</v>
      </c>
      <c r="F116" s="269">
        <f>SUM(F110:F115)</f>
        <v>0</v>
      </c>
      <c r="G116" s="260"/>
    </row>
    <row r="117" spans="1:10" ht="27.6" x14ac:dyDescent="0.25">
      <c r="A117" s="257" t="s">
        <v>904</v>
      </c>
      <c r="B117" s="258" t="s">
        <v>2042</v>
      </c>
      <c r="C117" s="258">
        <v>9</v>
      </c>
      <c r="D117" s="259" t="s">
        <v>2213</v>
      </c>
      <c r="E117" s="276">
        <v>500000</v>
      </c>
      <c r="F117" s="276">
        <v>0</v>
      </c>
      <c r="H117" s="257"/>
      <c r="I117" s="257"/>
    </row>
    <row r="118" spans="1:10" x14ac:dyDescent="0.25">
      <c r="A118" s="271" t="s">
        <v>904</v>
      </c>
      <c r="B118" s="268"/>
      <c r="C118" s="268"/>
      <c r="D118" s="277"/>
      <c r="E118" s="269">
        <f>SUM(E117)</f>
        <v>500000</v>
      </c>
      <c r="F118" s="269">
        <f t="shared" ref="F118" si="5">SUM(F117)</f>
        <v>0</v>
      </c>
      <c r="H118" s="257"/>
      <c r="I118" s="257"/>
    </row>
    <row r="119" spans="1:10" x14ac:dyDescent="0.25">
      <c r="A119" s="274" t="s">
        <v>2214</v>
      </c>
      <c r="B119" s="279"/>
      <c r="C119" s="279"/>
      <c r="D119" s="274" t="s">
        <v>743</v>
      </c>
      <c r="E119" s="278">
        <f>E118+E116+E109</f>
        <v>15203439.73</v>
      </c>
      <c r="F119" s="278">
        <f t="shared" ref="F119" si="6">F118+F116+F109</f>
        <v>0</v>
      </c>
      <c r="H119" s="257"/>
      <c r="I119" s="257"/>
    </row>
    <row r="120" spans="1:10" ht="41.4" x14ac:dyDescent="0.25">
      <c r="A120" s="257" t="s">
        <v>66</v>
      </c>
      <c r="B120" s="258" t="s">
        <v>2039</v>
      </c>
      <c r="C120" s="258">
        <v>1</v>
      </c>
      <c r="D120" s="259" t="s">
        <v>2215</v>
      </c>
      <c r="E120" s="276">
        <v>73500000</v>
      </c>
      <c r="F120" s="276">
        <v>0</v>
      </c>
      <c r="G120" s="260"/>
    </row>
    <row r="121" spans="1:10" x14ac:dyDescent="0.25">
      <c r="A121" s="271" t="s">
        <v>66</v>
      </c>
      <c r="B121" s="268"/>
      <c r="C121" s="268"/>
      <c r="D121" s="277"/>
      <c r="E121" s="269">
        <f>SUM(E120:E120)</f>
        <v>73500000</v>
      </c>
      <c r="F121" s="269">
        <f>SUM(F120:F120)</f>
        <v>0</v>
      </c>
      <c r="G121" s="260"/>
    </row>
    <row r="122" spans="1:10" x14ac:dyDescent="0.25">
      <c r="A122" s="274" t="s">
        <v>2216</v>
      </c>
      <c r="B122" s="279"/>
      <c r="C122" s="279"/>
      <c r="D122" s="274" t="s">
        <v>743</v>
      </c>
      <c r="E122" s="278">
        <f>E121</f>
        <v>73500000</v>
      </c>
      <c r="F122" s="278">
        <f t="shared" ref="F122" si="7">F121</f>
        <v>0</v>
      </c>
      <c r="G122" s="260"/>
    </row>
    <row r="123" spans="1:10" ht="27.6" x14ac:dyDescent="0.25">
      <c r="A123" s="259" t="s">
        <v>2147</v>
      </c>
      <c r="B123" s="258" t="s">
        <v>2036</v>
      </c>
      <c r="C123" s="258">
        <v>1</v>
      </c>
      <c r="D123" s="259" t="s">
        <v>2217</v>
      </c>
      <c r="E123" s="276">
        <v>1481230.17</v>
      </c>
      <c r="F123" s="276">
        <v>0</v>
      </c>
      <c r="G123" s="260"/>
      <c r="J123" s="257"/>
    </row>
    <row r="124" spans="1:10" x14ac:dyDescent="0.25">
      <c r="A124" s="271" t="s">
        <v>2147</v>
      </c>
      <c r="B124" s="268"/>
      <c r="C124" s="268"/>
      <c r="D124" s="277"/>
      <c r="E124" s="269">
        <f>SUM(E123)</f>
        <v>1481230.17</v>
      </c>
      <c r="F124" s="269">
        <f t="shared" ref="F124" si="8">SUM(F123)</f>
        <v>0</v>
      </c>
      <c r="G124" s="260"/>
      <c r="J124" s="257"/>
    </row>
    <row r="125" spans="1:10" ht="27.6" x14ac:dyDescent="0.25">
      <c r="A125" s="257" t="s">
        <v>66</v>
      </c>
      <c r="B125" s="258" t="s">
        <v>2036</v>
      </c>
      <c r="C125" s="258">
        <v>2</v>
      </c>
      <c r="D125" s="259" t="s">
        <v>2218</v>
      </c>
      <c r="E125" s="276">
        <v>2000000</v>
      </c>
      <c r="F125" s="276">
        <v>0</v>
      </c>
      <c r="G125" s="260"/>
    </row>
    <row r="126" spans="1:10" ht="41.4" x14ac:dyDescent="0.25">
      <c r="A126" s="257" t="s">
        <v>66</v>
      </c>
      <c r="B126" s="258" t="s">
        <v>2036</v>
      </c>
      <c r="C126" s="258">
        <v>3</v>
      </c>
      <c r="D126" s="259" t="s">
        <v>2219</v>
      </c>
      <c r="E126" s="276">
        <v>1500000</v>
      </c>
      <c r="F126" s="276">
        <v>0</v>
      </c>
      <c r="G126" s="260"/>
    </row>
    <row r="127" spans="1:10" ht="41.4" x14ac:dyDescent="0.25">
      <c r="A127" s="257" t="s">
        <v>66</v>
      </c>
      <c r="B127" s="258" t="s">
        <v>2036</v>
      </c>
      <c r="C127" s="258">
        <v>4</v>
      </c>
      <c r="D127" s="259" t="s">
        <v>2220</v>
      </c>
      <c r="E127" s="276">
        <v>1000000</v>
      </c>
      <c r="F127" s="276">
        <v>0</v>
      </c>
      <c r="G127" s="260"/>
    </row>
    <row r="128" spans="1:10" x14ac:dyDescent="0.25">
      <c r="A128" s="271" t="s">
        <v>66</v>
      </c>
      <c r="B128" s="268"/>
      <c r="C128" s="268"/>
      <c r="D128" s="277"/>
      <c r="E128" s="269">
        <f>SUM(E125:E127)</f>
        <v>4500000</v>
      </c>
      <c r="F128" s="269">
        <f>SUM(F125:F127)</f>
        <v>0</v>
      </c>
      <c r="G128" s="260"/>
    </row>
    <row r="129" spans="1:7" x14ac:dyDescent="0.25">
      <c r="A129" s="274" t="s">
        <v>2221</v>
      </c>
      <c r="B129" s="279"/>
      <c r="C129" s="279"/>
      <c r="D129" s="274" t="s">
        <v>743</v>
      </c>
      <c r="E129" s="280">
        <f>E124+E128</f>
        <v>5981230.1699999999</v>
      </c>
      <c r="F129" s="280">
        <f>F124+F128</f>
        <v>0</v>
      </c>
      <c r="G129" s="260"/>
    </row>
    <row r="130" spans="1:7" x14ac:dyDescent="0.25">
      <c r="A130" s="281"/>
      <c r="B130" s="282"/>
      <c r="C130" s="282"/>
      <c r="D130" s="304" t="s">
        <v>759</v>
      </c>
      <c r="E130" s="305">
        <f>E129+E122+E119+E106+E96+E83</f>
        <v>378910529.69</v>
      </c>
      <c r="F130" s="305">
        <f>F129+F122+F119+F106+F96+F83</f>
        <v>0</v>
      </c>
      <c r="G130" s="260"/>
    </row>
  </sheetData>
  <sheetProtection algorithmName="SHA-512" hashValue="IRfFeaATfxznQmMge1CBlM4Y6ny+ALKOyDN/93+WDJw6gGHnrGcXmMziOyai36GTyH/ljuNz65kZHzIvefgedA==" saltValue="s7W8mpJcEciKs6ZGrS4pvQ==" spinCount="100000" sheet="1" objects="1" scenarios="1" selectLockedCells="1" selectUnlockedCells="1"/>
  <printOptions horizontalCentered="1"/>
  <pageMargins left="1.4960629921259843" right="0.70866141732283472" top="0.74803149606299213" bottom="0.74803149606299213" header="0.31496062992125984" footer="0.31496062992125984"/>
  <pageSetup scale="79" fitToHeight="0" orientation="portrait" r:id="rId1"/>
  <headerFooter>
    <oddHeader>&amp;R&amp;"Times New Roman,Regular"&amp;12
Annex Q
AAR Page 220</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L116"/>
  <sheetViews>
    <sheetView zoomScaleNormal="100" zoomScaleSheetLayoutView="80" workbookViewId="0"/>
  </sheetViews>
  <sheetFormatPr defaultColWidth="10.88671875" defaultRowHeight="13.8" x14ac:dyDescent="0.25"/>
  <cols>
    <col min="1" max="1" width="26" style="212" bestFit="1" customWidth="1"/>
    <col min="2" max="2" width="14.33203125" style="212" customWidth="1"/>
    <col min="3" max="3" width="3.44140625" style="212" customWidth="1"/>
    <col min="4" max="4" width="28" style="212" customWidth="1"/>
    <col min="5" max="5" width="16" style="212" customWidth="1"/>
    <col min="6" max="6" width="12.88671875" style="212" customWidth="1"/>
    <col min="7" max="7" width="14.5546875" style="212" bestFit="1" customWidth="1"/>
    <col min="8" max="10" width="10.88671875" style="212"/>
    <col min="11" max="11" width="13.33203125" style="212" bestFit="1" customWidth="1"/>
    <col min="12" max="16384" width="10.88671875" style="212"/>
  </cols>
  <sheetData>
    <row r="1" spans="1:11" s="260" customFormat="1" x14ac:dyDescent="0.25">
      <c r="A1" s="257" t="s">
        <v>0</v>
      </c>
      <c r="B1" s="258"/>
      <c r="C1" s="258"/>
      <c r="D1" s="259"/>
      <c r="E1" s="257"/>
      <c r="F1" s="257"/>
    </row>
    <row r="2" spans="1:11" s="260" customFormat="1" x14ac:dyDescent="0.25">
      <c r="A2" s="225" t="s">
        <v>2310</v>
      </c>
      <c r="B2" s="258"/>
      <c r="C2" s="258"/>
      <c r="D2" s="259"/>
      <c r="E2" s="257"/>
      <c r="F2" s="257"/>
    </row>
    <row r="3" spans="1:11" s="260" customFormat="1" x14ac:dyDescent="0.25">
      <c r="A3" s="257" t="s">
        <v>5</v>
      </c>
      <c r="B3" s="258"/>
      <c r="C3" s="258"/>
      <c r="D3" s="259"/>
      <c r="E3" s="257"/>
      <c r="F3" s="257"/>
    </row>
    <row r="5" spans="1:11" ht="27.6" x14ac:dyDescent="0.25">
      <c r="A5" s="262" t="s">
        <v>2103</v>
      </c>
      <c r="B5" s="262" t="s">
        <v>2104</v>
      </c>
      <c r="C5" s="262"/>
      <c r="D5" s="262" t="s">
        <v>2105</v>
      </c>
      <c r="E5" s="287" t="s">
        <v>2311</v>
      </c>
      <c r="F5" s="263" t="s">
        <v>2107</v>
      </c>
      <c r="G5" s="263" t="s">
        <v>2312</v>
      </c>
    </row>
    <row r="6" spans="1:11" s="260" customFormat="1" x14ac:dyDescent="0.25">
      <c r="A6" s="257" t="s">
        <v>66</v>
      </c>
      <c r="B6" s="258" t="s">
        <v>2048</v>
      </c>
      <c r="C6" s="258">
        <v>1</v>
      </c>
      <c r="D6" s="259" t="s">
        <v>2313</v>
      </c>
      <c r="E6" s="276">
        <v>31793</v>
      </c>
      <c r="F6" s="276">
        <v>0</v>
      </c>
      <c r="G6" s="276">
        <v>31793</v>
      </c>
    </row>
    <row r="7" spans="1:11" s="260" customFormat="1" ht="27.6" x14ac:dyDescent="0.25">
      <c r="A7" s="257" t="s">
        <v>66</v>
      </c>
      <c r="B7" s="258" t="s">
        <v>2048</v>
      </c>
      <c r="C7" s="258">
        <v>2</v>
      </c>
      <c r="D7" s="259" t="s">
        <v>2314</v>
      </c>
      <c r="E7" s="266">
        <v>31630</v>
      </c>
      <c r="F7" s="266">
        <v>0</v>
      </c>
      <c r="G7" s="266">
        <v>31630</v>
      </c>
    </row>
    <row r="8" spans="1:11" s="260" customFormat="1" ht="41.4" x14ac:dyDescent="0.25">
      <c r="A8" s="257" t="s">
        <v>66</v>
      </c>
      <c r="B8" s="258" t="s">
        <v>2048</v>
      </c>
      <c r="C8" s="258">
        <v>3</v>
      </c>
      <c r="D8" s="259" t="s">
        <v>2315</v>
      </c>
      <c r="E8" s="276">
        <v>24269.88</v>
      </c>
      <c r="F8" s="276">
        <v>0</v>
      </c>
      <c r="G8" s="276">
        <v>24269.88</v>
      </c>
    </row>
    <row r="9" spans="1:11" s="260" customFormat="1" x14ac:dyDescent="0.25">
      <c r="A9" s="271" t="s">
        <v>66</v>
      </c>
      <c r="B9" s="268"/>
      <c r="C9" s="268"/>
      <c r="D9" s="277"/>
      <c r="E9" s="269">
        <f t="shared" ref="E9:G9" si="0">SUM(E6:E8)</f>
        <v>87692.88</v>
      </c>
      <c r="F9" s="269">
        <f t="shared" si="0"/>
        <v>0</v>
      </c>
      <c r="G9" s="269">
        <f t="shared" si="0"/>
        <v>87692.88</v>
      </c>
    </row>
    <row r="10" spans="1:11" s="260" customFormat="1" ht="27.6" x14ac:dyDescent="0.25">
      <c r="A10" s="257" t="s">
        <v>904</v>
      </c>
      <c r="B10" s="258" t="s">
        <v>2048</v>
      </c>
      <c r="C10" s="258">
        <v>4</v>
      </c>
      <c r="D10" s="259" t="s">
        <v>2316</v>
      </c>
      <c r="E10" s="276">
        <v>22195</v>
      </c>
      <c r="F10" s="276">
        <v>0</v>
      </c>
      <c r="G10" s="276">
        <v>22195</v>
      </c>
    </row>
    <row r="11" spans="1:11" s="260" customFormat="1" ht="27.6" x14ac:dyDescent="0.25">
      <c r="A11" s="257" t="s">
        <v>904</v>
      </c>
      <c r="B11" s="258" t="s">
        <v>2048</v>
      </c>
      <c r="C11" s="258">
        <v>5</v>
      </c>
      <c r="D11" s="259" t="s">
        <v>2317</v>
      </c>
      <c r="E11" s="276">
        <v>34196.5</v>
      </c>
      <c r="F11" s="276">
        <v>0</v>
      </c>
      <c r="G11" s="276">
        <v>34196.5</v>
      </c>
    </row>
    <row r="12" spans="1:11" s="260" customFormat="1" ht="27.6" x14ac:dyDescent="0.25">
      <c r="A12" s="257" t="s">
        <v>904</v>
      </c>
      <c r="B12" s="258" t="s">
        <v>2048</v>
      </c>
      <c r="C12" s="258">
        <v>6</v>
      </c>
      <c r="D12" s="259" t="s">
        <v>2318</v>
      </c>
      <c r="E12" s="276">
        <v>39722.720000000001</v>
      </c>
      <c r="F12" s="276">
        <v>0</v>
      </c>
      <c r="G12" s="276">
        <v>39722.720000000001</v>
      </c>
    </row>
    <row r="13" spans="1:11" s="260" customFormat="1" x14ac:dyDescent="0.25">
      <c r="A13" s="271" t="s">
        <v>904</v>
      </c>
      <c r="B13" s="268"/>
      <c r="C13" s="268"/>
      <c r="D13" s="277"/>
      <c r="E13" s="269">
        <f t="shared" ref="E13:G13" si="1">SUM(E10:E12)</f>
        <v>96114.22</v>
      </c>
      <c r="F13" s="269">
        <f t="shared" si="1"/>
        <v>0</v>
      </c>
      <c r="G13" s="269">
        <f t="shared" si="1"/>
        <v>96114.22</v>
      </c>
    </row>
    <row r="14" spans="1:11" s="260" customFormat="1" x14ac:dyDescent="0.25">
      <c r="A14" s="274" t="s">
        <v>2197</v>
      </c>
      <c r="B14" s="279"/>
      <c r="C14" s="279"/>
      <c r="D14" s="286"/>
      <c r="E14" s="278">
        <f t="shared" ref="E14:G14" si="2">E9+E13</f>
        <v>183807.1</v>
      </c>
      <c r="F14" s="278">
        <f t="shared" si="2"/>
        <v>0</v>
      </c>
      <c r="G14" s="278">
        <f t="shared" si="2"/>
        <v>183807.1</v>
      </c>
    </row>
    <row r="15" spans="1:11" s="260" customFormat="1" ht="41.4" x14ac:dyDescent="0.25">
      <c r="A15" s="259" t="s">
        <v>2149</v>
      </c>
      <c r="B15" s="258" t="s">
        <v>2044</v>
      </c>
      <c r="C15" s="258">
        <v>1</v>
      </c>
      <c r="D15" s="259" t="s">
        <v>2319</v>
      </c>
      <c r="E15" s="276">
        <v>60866.47</v>
      </c>
      <c r="F15" s="276">
        <v>0</v>
      </c>
      <c r="G15" s="276">
        <f t="shared" ref="G15:G22" si="3">E15</f>
        <v>60866.47</v>
      </c>
      <c r="K15" s="257"/>
    </row>
    <row r="16" spans="1:11" s="260" customFormat="1" ht="41.4" x14ac:dyDescent="0.25">
      <c r="A16" s="259" t="s">
        <v>2149</v>
      </c>
      <c r="B16" s="258" t="s">
        <v>2044</v>
      </c>
      <c r="C16" s="258">
        <v>2</v>
      </c>
      <c r="D16" s="259" t="s">
        <v>2320</v>
      </c>
      <c r="E16" s="276">
        <v>11319.15</v>
      </c>
      <c r="F16" s="276">
        <v>0</v>
      </c>
      <c r="G16" s="276">
        <f t="shared" si="3"/>
        <v>11319.15</v>
      </c>
      <c r="K16" s="257"/>
    </row>
    <row r="17" spans="1:11" s="260" customFormat="1" ht="41.4" x14ac:dyDescent="0.25">
      <c r="A17" s="259" t="s">
        <v>2138</v>
      </c>
      <c r="B17" s="258" t="s">
        <v>2044</v>
      </c>
      <c r="C17" s="258">
        <v>3</v>
      </c>
      <c r="D17" s="259" t="s">
        <v>2321</v>
      </c>
      <c r="E17" s="276">
        <v>67112.53</v>
      </c>
      <c r="F17" s="276">
        <v>0</v>
      </c>
      <c r="G17" s="276">
        <f t="shared" si="3"/>
        <v>67112.53</v>
      </c>
      <c r="K17" s="257"/>
    </row>
    <row r="18" spans="1:11" s="260" customFormat="1" ht="27.6" x14ac:dyDescent="0.25">
      <c r="A18" s="259" t="s">
        <v>2138</v>
      </c>
      <c r="B18" s="258" t="s">
        <v>2044</v>
      </c>
      <c r="C18" s="258">
        <v>4</v>
      </c>
      <c r="D18" s="259" t="s">
        <v>2322</v>
      </c>
      <c r="E18" s="266">
        <v>50221.5</v>
      </c>
      <c r="F18" s="266">
        <v>0</v>
      </c>
      <c r="G18" s="266">
        <f t="shared" si="3"/>
        <v>50221.5</v>
      </c>
      <c r="K18" s="257"/>
    </row>
    <row r="19" spans="1:11" s="260" customFormat="1" ht="69" x14ac:dyDescent="0.25">
      <c r="A19" s="259" t="s">
        <v>2138</v>
      </c>
      <c r="B19" s="258" t="s">
        <v>2044</v>
      </c>
      <c r="C19" s="258">
        <v>5</v>
      </c>
      <c r="D19" s="259" t="s">
        <v>2323</v>
      </c>
      <c r="E19" s="276">
        <v>48399</v>
      </c>
      <c r="F19" s="276">
        <v>0</v>
      </c>
      <c r="G19" s="276">
        <f t="shared" si="3"/>
        <v>48399</v>
      </c>
      <c r="K19" s="257"/>
    </row>
    <row r="20" spans="1:11" s="260" customFormat="1" ht="27.6" x14ac:dyDescent="0.25">
      <c r="A20" s="259" t="s">
        <v>2200</v>
      </c>
      <c r="B20" s="258" t="s">
        <v>2044</v>
      </c>
      <c r="C20" s="258">
        <v>6</v>
      </c>
      <c r="D20" s="259" t="s">
        <v>2324</v>
      </c>
      <c r="E20" s="276">
        <v>5842.37</v>
      </c>
      <c r="F20" s="276">
        <v>0</v>
      </c>
      <c r="G20" s="276">
        <f t="shared" si="3"/>
        <v>5842.37</v>
      </c>
      <c r="K20" s="257"/>
    </row>
    <row r="21" spans="1:11" s="260" customFormat="1" ht="27.6" x14ac:dyDescent="0.25">
      <c r="A21" s="259" t="s">
        <v>2200</v>
      </c>
      <c r="B21" s="258" t="s">
        <v>2044</v>
      </c>
      <c r="C21" s="258">
        <v>7</v>
      </c>
      <c r="D21" s="259" t="s">
        <v>2325</v>
      </c>
      <c r="E21" s="276">
        <v>30395.4</v>
      </c>
      <c r="F21" s="276">
        <v>0</v>
      </c>
      <c r="G21" s="276">
        <f t="shared" si="3"/>
        <v>30395.4</v>
      </c>
      <c r="K21" s="257"/>
    </row>
    <row r="22" spans="1:11" s="260" customFormat="1" ht="55.2" x14ac:dyDescent="0.25">
      <c r="A22" s="259" t="s">
        <v>2147</v>
      </c>
      <c r="B22" s="258" t="s">
        <v>2044</v>
      </c>
      <c r="C22" s="258">
        <v>8</v>
      </c>
      <c r="D22" s="259" t="s">
        <v>2326</v>
      </c>
      <c r="E22" s="276">
        <v>57540</v>
      </c>
      <c r="F22" s="276">
        <v>0</v>
      </c>
      <c r="G22" s="276">
        <f t="shared" si="3"/>
        <v>57540</v>
      </c>
      <c r="K22" s="257"/>
    </row>
    <row r="23" spans="1:11" s="260" customFormat="1" x14ac:dyDescent="0.25">
      <c r="A23" s="271" t="s">
        <v>2156</v>
      </c>
      <c r="B23" s="268"/>
      <c r="C23" s="268"/>
      <c r="D23" s="277"/>
      <c r="E23" s="269">
        <f t="shared" ref="E23:G23" si="4">SUM(E15:E22)</f>
        <v>331696.42</v>
      </c>
      <c r="F23" s="269">
        <f t="shared" si="4"/>
        <v>0</v>
      </c>
      <c r="G23" s="269">
        <f t="shared" si="4"/>
        <v>331696.42</v>
      </c>
      <c r="K23" s="257"/>
    </row>
    <row r="24" spans="1:11" s="260" customFormat="1" ht="27.6" x14ac:dyDescent="0.25">
      <c r="A24" s="257" t="s">
        <v>66</v>
      </c>
      <c r="B24" s="258" t="s">
        <v>2044</v>
      </c>
      <c r="C24" s="258">
        <v>9</v>
      </c>
      <c r="D24" s="259" t="s">
        <v>2327</v>
      </c>
      <c r="E24" s="276">
        <v>19203.099999999999</v>
      </c>
      <c r="F24" s="276">
        <v>0</v>
      </c>
      <c r="G24" s="276">
        <f t="shared" ref="G24:G30" si="5">E24</f>
        <v>19203.099999999999</v>
      </c>
    </row>
    <row r="25" spans="1:11" s="260" customFormat="1" ht="41.4" x14ac:dyDescent="0.25">
      <c r="A25" s="257" t="s">
        <v>66</v>
      </c>
      <c r="B25" s="258" t="s">
        <v>2044</v>
      </c>
      <c r="C25" s="258">
        <v>10</v>
      </c>
      <c r="D25" s="259" t="s">
        <v>2328</v>
      </c>
      <c r="E25" s="276">
        <v>30228.11</v>
      </c>
      <c r="F25" s="276">
        <v>0</v>
      </c>
      <c r="G25" s="276">
        <f t="shared" si="5"/>
        <v>30228.11</v>
      </c>
    </row>
    <row r="26" spans="1:11" s="260" customFormat="1" ht="27.6" x14ac:dyDescent="0.25">
      <c r="A26" s="257" t="s">
        <v>66</v>
      </c>
      <c r="B26" s="258" t="s">
        <v>2044</v>
      </c>
      <c r="C26" s="258">
        <v>11</v>
      </c>
      <c r="D26" s="259" t="s">
        <v>2329</v>
      </c>
      <c r="E26" s="276">
        <v>11551.89</v>
      </c>
      <c r="F26" s="276">
        <v>0</v>
      </c>
      <c r="G26" s="276">
        <f t="shared" si="5"/>
        <v>11551.89</v>
      </c>
    </row>
    <row r="27" spans="1:11" s="260" customFormat="1" ht="27.6" x14ac:dyDescent="0.25">
      <c r="A27" s="257" t="s">
        <v>66</v>
      </c>
      <c r="B27" s="258" t="s">
        <v>2044</v>
      </c>
      <c r="C27" s="258">
        <v>12</v>
      </c>
      <c r="D27" s="259" t="s">
        <v>2330</v>
      </c>
      <c r="E27" s="276">
        <v>3869.66</v>
      </c>
      <c r="F27" s="276">
        <v>0</v>
      </c>
      <c r="G27" s="276">
        <f t="shared" si="5"/>
        <v>3869.66</v>
      </c>
    </row>
    <row r="28" spans="1:11" s="260" customFormat="1" ht="31.5" customHeight="1" x14ac:dyDescent="0.25">
      <c r="A28" s="257" t="s">
        <v>66</v>
      </c>
      <c r="B28" s="258" t="s">
        <v>2044</v>
      </c>
      <c r="C28" s="258">
        <v>13</v>
      </c>
      <c r="D28" s="259" t="s">
        <v>2331</v>
      </c>
      <c r="E28" s="276">
        <v>7475.13</v>
      </c>
      <c r="F28" s="276">
        <v>0</v>
      </c>
      <c r="G28" s="276">
        <f t="shared" si="5"/>
        <v>7475.13</v>
      </c>
    </row>
    <row r="29" spans="1:11" s="260" customFormat="1" ht="41.4" x14ac:dyDescent="0.25">
      <c r="A29" s="257" t="s">
        <v>66</v>
      </c>
      <c r="B29" s="258" t="s">
        <v>2044</v>
      </c>
      <c r="C29" s="258">
        <v>14</v>
      </c>
      <c r="D29" s="259" t="s">
        <v>2332</v>
      </c>
      <c r="E29" s="276">
        <v>5558.32</v>
      </c>
      <c r="F29" s="276">
        <v>0</v>
      </c>
      <c r="G29" s="276">
        <f t="shared" si="5"/>
        <v>5558.32</v>
      </c>
    </row>
    <row r="30" spans="1:11" s="260" customFormat="1" ht="32.25" customHeight="1" x14ac:dyDescent="0.25">
      <c r="A30" s="257" t="s">
        <v>66</v>
      </c>
      <c r="B30" s="258" t="s">
        <v>2044</v>
      </c>
      <c r="C30" s="258">
        <v>15</v>
      </c>
      <c r="D30" s="259" t="s">
        <v>2333</v>
      </c>
      <c r="E30" s="276">
        <v>7171.65</v>
      </c>
      <c r="F30" s="276">
        <v>0</v>
      </c>
      <c r="G30" s="276">
        <f t="shared" si="5"/>
        <v>7171.65</v>
      </c>
    </row>
    <row r="31" spans="1:11" s="260" customFormat="1" x14ac:dyDescent="0.25">
      <c r="A31" s="271" t="s">
        <v>66</v>
      </c>
      <c r="B31" s="268"/>
      <c r="C31" s="268"/>
      <c r="D31" s="277"/>
      <c r="E31" s="269">
        <f t="shared" ref="E31:G31" si="6">SUM(E24:E30)</f>
        <v>85057.859999999986</v>
      </c>
      <c r="F31" s="269">
        <f t="shared" si="6"/>
        <v>0</v>
      </c>
      <c r="G31" s="269">
        <f t="shared" si="6"/>
        <v>85057.859999999986</v>
      </c>
    </row>
    <row r="32" spans="1:11" s="260" customFormat="1" ht="27.6" x14ac:dyDescent="0.25">
      <c r="A32" s="259" t="s">
        <v>2334</v>
      </c>
      <c r="B32" s="258" t="s">
        <v>2044</v>
      </c>
      <c r="C32" s="258">
        <v>16</v>
      </c>
      <c r="D32" s="259" t="s">
        <v>2335</v>
      </c>
      <c r="E32" s="266">
        <v>22398</v>
      </c>
      <c r="F32" s="266">
        <v>0</v>
      </c>
      <c r="G32" s="266">
        <f>E32</f>
        <v>22398</v>
      </c>
    </row>
    <row r="33" spans="1:11" s="260" customFormat="1" x14ac:dyDescent="0.25">
      <c r="A33" s="271" t="s">
        <v>2334</v>
      </c>
      <c r="B33" s="268"/>
      <c r="C33" s="268"/>
      <c r="D33" s="277"/>
      <c r="E33" s="269">
        <f>SUM(E32)</f>
        <v>22398</v>
      </c>
      <c r="F33" s="269">
        <f>SUM(F32)</f>
        <v>0</v>
      </c>
      <c r="G33" s="269">
        <f>SUM(G32)</f>
        <v>22398</v>
      </c>
    </row>
    <row r="34" spans="1:11" s="260" customFormat="1" ht="27.6" x14ac:dyDescent="0.25">
      <c r="A34" s="257" t="s">
        <v>2244</v>
      </c>
      <c r="B34" s="258" t="s">
        <v>2044</v>
      </c>
      <c r="C34" s="258">
        <v>17</v>
      </c>
      <c r="D34" s="259" t="s">
        <v>2336</v>
      </c>
      <c r="E34" s="276">
        <v>32271.57</v>
      </c>
      <c r="F34" s="276">
        <v>0</v>
      </c>
      <c r="G34" s="276">
        <f>E34</f>
        <v>32271.57</v>
      </c>
    </row>
    <row r="35" spans="1:11" s="260" customFormat="1" ht="27.6" x14ac:dyDescent="0.25">
      <c r="A35" s="257" t="s">
        <v>2244</v>
      </c>
      <c r="B35" s="258" t="s">
        <v>2044</v>
      </c>
      <c r="C35" s="258">
        <v>18</v>
      </c>
      <c r="D35" s="259" t="s">
        <v>2337</v>
      </c>
      <c r="E35" s="276">
        <v>80343.289999999994</v>
      </c>
      <c r="F35" s="276">
        <v>0</v>
      </c>
      <c r="G35" s="276">
        <f>E35</f>
        <v>80343.289999999994</v>
      </c>
    </row>
    <row r="36" spans="1:11" s="260" customFormat="1" x14ac:dyDescent="0.25">
      <c r="A36" s="271" t="s">
        <v>2244</v>
      </c>
      <c r="B36" s="268"/>
      <c r="C36" s="268"/>
      <c r="D36" s="277"/>
      <c r="E36" s="269">
        <f t="shared" ref="E36:G36" si="7">SUM(E34:E35)</f>
        <v>112614.85999999999</v>
      </c>
      <c r="F36" s="269">
        <f t="shared" si="7"/>
        <v>0</v>
      </c>
      <c r="G36" s="269">
        <f t="shared" si="7"/>
        <v>112614.85999999999</v>
      </c>
    </row>
    <row r="37" spans="1:11" s="260" customFormat="1" x14ac:dyDescent="0.25">
      <c r="A37" s="274" t="s">
        <v>2205</v>
      </c>
      <c r="B37" s="279"/>
      <c r="C37" s="279"/>
      <c r="D37" s="286"/>
      <c r="E37" s="278">
        <f>E36+E33+E31+E23</f>
        <v>551767.1399999999</v>
      </c>
      <c r="F37" s="278">
        <f>F36+F33+F31+F23</f>
        <v>0</v>
      </c>
      <c r="G37" s="278">
        <f>G36+G33+G31+G23</f>
        <v>551767.1399999999</v>
      </c>
    </row>
    <row r="38" spans="1:11" s="260" customFormat="1" ht="27.6" x14ac:dyDescent="0.25">
      <c r="A38" s="259" t="s">
        <v>2149</v>
      </c>
      <c r="B38" s="258" t="s">
        <v>2042</v>
      </c>
      <c r="C38" s="258">
        <v>1</v>
      </c>
      <c r="D38" s="259" t="s">
        <v>2338</v>
      </c>
      <c r="E38" s="276">
        <v>7993.34</v>
      </c>
      <c r="F38" s="276">
        <v>0</v>
      </c>
      <c r="G38" s="276">
        <v>7993.34</v>
      </c>
      <c r="K38" s="257"/>
    </row>
    <row r="39" spans="1:11" s="260" customFormat="1" ht="41.4" x14ac:dyDescent="0.25">
      <c r="A39" s="259" t="s">
        <v>2149</v>
      </c>
      <c r="B39" s="258" t="s">
        <v>2042</v>
      </c>
      <c r="C39" s="258">
        <v>2</v>
      </c>
      <c r="D39" s="259" t="s">
        <v>2339</v>
      </c>
      <c r="E39" s="276">
        <v>40414.17</v>
      </c>
      <c r="F39" s="276">
        <v>0</v>
      </c>
      <c r="G39" s="276">
        <v>40414.17</v>
      </c>
      <c r="K39" s="257"/>
    </row>
    <row r="40" spans="1:11" s="260" customFormat="1" ht="27.6" x14ac:dyDescent="0.25">
      <c r="A40" s="259" t="s">
        <v>2138</v>
      </c>
      <c r="B40" s="258" t="s">
        <v>2042</v>
      </c>
      <c r="C40" s="258">
        <v>3</v>
      </c>
      <c r="D40" s="259" t="s">
        <v>2340</v>
      </c>
      <c r="E40" s="276">
        <v>295655.74</v>
      </c>
      <c r="F40" s="276">
        <v>0</v>
      </c>
      <c r="G40" s="276">
        <v>295655.74</v>
      </c>
      <c r="K40" s="257"/>
    </row>
    <row r="41" spans="1:11" s="260" customFormat="1" ht="27.6" x14ac:dyDescent="0.25">
      <c r="A41" s="259" t="s">
        <v>2138</v>
      </c>
      <c r="B41" s="258" t="s">
        <v>2042</v>
      </c>
      <c r="C41" s="258">
        <v>4</v>
      </c>
      <c r="D41" s="259" t="s">
        <v>2341</v>
      </c>
      <c r="E41" s="276">
        <v>63835.12</v>
      </c>
      <c r="F41" s="276">
        <v>0</v>
      </c>
      <c r="G41" s="276">
        <v>63835.12</v>
      </c>
      <c r="K41" s="257"/>
    </row>
    <row r="42" spans="1:11" s="260" customFormat="1" ht="31.5" customHeight="1" x14ac:dyDescent="0.25">
      <c r="A42" s="259" t="s">
        <v>2138</v>
      </c>
      <c r="B42" s="258" t="s">
        <v>2042</v>
      </c>
      <c r="C42" s="258">
        <v>5</v>
      </c>
      <c r="D42" s="259" t="s">
        <v>2342</v>
      </c>
      <c r="E42" s="276">
        <v>8443</v>
      </c>
      <c r="F42" s="276">
        <v>0</v>
      </c>
      <c r="G42" s="276">
        <v>8443</v>
      </c>
      <c r="K42" s="257"/>
    </row>
    <row r="43" spans="1:11" s="260" customFormat="1" ht="41.4" x14ac:dyDescent="0.25">
      <c r="A43" s="259" t="s">
        <v>2138</v>
      </c>
      <c r="B43" s="258" t="s">
        <v>2042</v>
      </c>
      <c r="C43" s="258">
        <v>6</v>
      </c>
      <c r="D43" s="259" t="s">
        <v>2343</v>
      </c>
      <c r="E43" s="276">
        <v>57567.53</v>
      </c>
      <c r="F43" s="276">
        <v>0</v>
      </c>
      <c r="G43" s="276">
        <v>57567.53</v>
      </c>
      <c r="K43" s="257"/>
    </row>
    <row r="44" spans="1:11" s="260" customFormat="1" ht="27.6" x14ac:dyDescent="0.25">
      <c r="A44" s="259" t="s">
        <v>2138</v>
      </c>
      <c r="B44" s="258" t="s">
        <v>2042</v>
      </c>
      <c r="C44" s="258">
        <v>7</v>
      </c>
      <c r="D44" s="259" t="s">
        <v>2344</v>
      </c>
      <c r="E44" s="276">
        <v>129392.06</v>
      </c>
      <c r="F44" s="276">
        <v>0</v>
      </c>
      <c r="G44" s="276">
        <v>129392.06</v>
      </c>
      <c r="K44" s="257"/>
    </row>
    <row r="45" spans="1:11" s="260" customFormat="1" ht="41.4" x14ac:dyDescent="0.25">
      <c r="A45" s="259" t="s">
        <v>2200</v>
      </c>
      <c r="B45" s="258" t="s">
        <v>2042</v>
      </c>
      <c r="C45" s="258">
        <v>8</v>
      </c>
      <c r="D45" s="259" t="s">
        <v>2345</v>
      </c>
      <c r="E45" s="276">
        <v>6269.87</v>
      </c>
      <c r="F45" s="276">
        <v>0</v>
      </c>
      <c r="G45" s="276">
        <v>6269.87</v>
      </c>
      <c r="K45" s="257"/>
    </row>
    <row r="46" spans="1:11" s="260" customFormat="1" ht="41.4" x14ac:dyDescent="0.25">
      <c r="A46" s="259" t="s">
        <v>2147</v>
      </c>
      <c r="B46" s="258" t="s">
        <v>2042</v>
      </c>
      <c r="C46" s="258">
        <v>9</v>
      </c>
      <c r="D46" s="259" t="s">
        <v>2346</v>
      </c>
      <c r="E46" s="276">
        <v>10712.47</v>
      </c>
      <c r="F46" s="276">
        <v>0</v>
      </c>
      <c r="G46" s="276">
        <v>10712.47</v>
      </c>
      <c r="K46" s="257"/>
    </row>
    <row r="47" spans="1:11" s="260" customFormat="1" x14ac:dyDescent="0.25">
      <c r="A47" s="271" t="s">
        <v>2156</v>
      </c>
      <c r="B47" s="268"/>
      <c r="C47" s="268"/>
      <c r="D47" s="277"/>
      <c r="E47" s="269">
        <f t="shared" ref="E47:G47" si="8">SUM(E38:E46)</f>
        <v>620283.29999999993</v>
      </c>
      <c r="F47" s="269">
        <f t="shared" si="8"/>
        <v>0</v>
      </c>
      <c r="G47" s="269">
        <f t="shared" si="8"/>
        <v>620283.29999999993</v>
      </c>
      <c r="K47" s="257"/>
    </row>
    <row r="48" spans="1:11" s="260" customFormat="1" ht="41.4" x14ac:dyDescent="0.25">
      <c r="A48" s="257" t="s">
        <v>1000</v>
      </c>
      <c r="B48" s="258" t="s">
        <v>2042</v>
      </c>
      <c r="C48" s="258">
        <v>10</v>
      </c>
      <c r="D48" s="259" t="s">
        <v>2347</v>
      </c>
      <c r="E48" s="276">
        <v>108783.5</v>
      </c>
      <c r="F48" s="276">
        <v>0</v>
      </c>
      <c r="G48" s="276">
        <v>108783.5</v>
      </c>
      <c r="K48" s="257"/>
    </row>
    <row r="49" spans="1:11" s="260" customFormat="1" x14ac:dyDescent="0.25">
      <c r="A49" s="271" t="s">
        <v>1000</v>
      </c>
      <c r="B49" s="268"/>
      <c r="C49" s="268"/>
      <c r="D49" s="277"/>
      <c r="E49" s="269">
        <f t="shared" ref="E49:G49" si="9">SUM(E48)</f>
        <v>108783.5</v>
      </c>
      <c r="F49" s="269">
        <f t="shared" si="9"/>
        <v>0</v>
      </c>
      <c r="G49" s="269">
        <f t="shared" si="9"/>
        <v>108783.5</v>
      </c>
      <c r="K49" s="257"/>
    </row>
    <row r="50" spans="1:11" s="260" customFormat="1" ht="27.6" x14ac:dyDescent="0.25">
      <c r="A50" s="257" t="s">
        <v>66</v>
      </c>
      <c r="B50" s="258" t="s">
        <v>2042</v>
      </c>
      <c r="C50" s="258">
        <v>11</v>
      </c>
      <c r="D50" s="259" t="s">
        <v>2348</v>
      </c>
      <c r="E50" s="276">
        <v>349303.85</v>
      </c>
      <c r="F50" s="276">
        <v>0</v>
      </c>
      <c r="G50" s="276">
        <v>349303.85</v>
      </c>
    </row>
    <row r="51" spans="1:11" s="260" customFormat="1" ht="27.6" x14ac:dyDescent="0.25">
      <c r="A51" s="257" t="s">
        <v>66</v>
      </c>
      <c r="B51" s="258" t="s">
        <v>2042</v>
      </c>
      <c r="C51" s="258">
        <v>12</v>
      </c>
      <c r="D51" s="259" t="s">
        <v>2349</v>
      </c>
      <c r="E51" s="276">
        <v>64710.31</v>
      </c>
      <c r="F51" s="276">
        <v>0</v>
      </c>
      <c r="G51" s="276">
        <v>64710.31</v>
      </c>
    </row>
    <row r="52" spans="1:11" s="260" customFormat="1" ht="27.6" x14ac:dyDescent="0.25">
      <c r="A52" s="257" t="s">
        <v>66</v>
      </c>
      <c r="B52" s="258" t="s">
        <v>2042</v>
      </c>
      <c r="C52" s="258">
        <v>13</v>
      </c>
      <c r="D52" s="259" t="s">
        <v>2350</v>
      </c>
      <c r="E52" s="276">
        <v>78983.600000000006</v>
      </c>
      <c r="F52" s="276">
        <v>0</v>
      </c>
      <c r="G52" s="276">
        <v>78983.600000000006</v>
      </c>
    </row>
    <row r="53" spans="1:11" s="260" customFormat="1" ht="41.4" x14ac:dyDescent="0.25">
      <c r="A53" s="257" t="s">
        <v>66</v>
      </c>
      <c r="B53" s="258" t="s">
        <v>2042</v>
      </c>
      <c r="C53" s="258">
        <v>14</v>
      </c>
      <c r="D53" s="259" t="s">
        <v>2351</v>
      </c>
      <c r="E53" s="276">
        <v>9775.6299999999992</v>
      </c>
      <c r="F53" s="276">
        <v>0</v>
      </c>
      <c r="G53" s="276">
        <v>9775.6299999999992</v>
      </c>
    </row>
    <row r="54" spans="1:11" s="260" customFormat="1" ht="31.5" customHeight="1" x14ac:dyDescent="0.25">
      <c r="A54" s="257" t="s">
        <v>66</v>
      </c>
      <c r="B54" s="258" t="s">
        <v>2042</v>
      </c>
      <c r="C54" s="258">
        <v>15</v>
      </c>
      <c r="D54" s="259" t="s">
        <v>2352</v>
      </c>
      <c r="E54" s="276">
        <v>124817.3</v>
      </c>
      <c r="F54" s="276">
        <v>0</v>
      </c>
      <c r="G54" s="276">
        <v>124817.3</v>
      </c>
    </row>
    <row r="55" spans="1:11" s="260" customFormat="1" ht="41.4" x14ac:dyDescent="0.25">
      <c r="A55" s="257" t="s">
        <v>66</v>
      </c>
      <c r="B55" s="258" t="s">
        <v>2042</v>
      </c>
      <c r="C55" s="258">
        <v>16</v>
      </c>
      <c r="D55" s="259" t="s">
        <v>2353</v>
      </c>
      <c r="E55" s="276">
        <v>111071.73</v>
      </c>
      <c r="F55" s="276">
        <v>0</v>
      </c>
      <c r="G55" s="276">
        <v>111071.73</v>
      </c>
    </row>
    <row r="56" spans="1:11" s="260" customFormat="1" ht="41.4" x14ac:dyDescent="0.25">
      <c r="A56" s="257" t="s">
        <v>66</v>
      </c>
      <c r="B56" s="258" t="s">
        <v>2042</v>
      </c>
      <c r="C56" s="258">
        <v>17</v>
      </c>
      <c r="D56" s="259" t="s">
        <v>2354</v>
      </c>
      <c r="E56" s="276">
        <v>644751.14</v>
      </c>
      <c r="F56" s="276">
        <v>0</v>
      </c>
      <c r="G56" s="276">
        <v>644751.14</v>
      </c>
    </row>
    <row r="57" spans="1:11" s="260" customFormat="1" x14ac:dyDescent="0.25">
      <c r="A57" s="257" t="s">
        <v>66</v>
      </c>
      <c r="B57" s="258" t="s">
        <v>2042</v>
      </c>
      <c r="C57" s="258">
        <v>18</v>
      </c>
      <c r="D57" s="259" t="s">
        <v>2355</v>
      </c>
      <c r="E57" s="276">
        <v>392076.65</v>
      </c>
      <c r="F57" s="276">
        <v>0</v>
      </c>
      <c r="G57" s="276">
        <v>392076.65</v>
      </c>
    </row>
    <row r="58" spans="1:11" s="260" customFormat="1" ht="41.4" x14ac:dyDescent="0.25">
      <c r="A58" s="257" t="s">
        <v>66</v>
      </c>
      <c r="B58" s="258" t="s">
        <v>2042</v>
      </c>
      <c r="C58" s="258">
        <v>19</v>
      </c>
      <c r="D58" s="259" t="s">
        <v>2356</v>
      </c>
      <c r="E58" s="276">
        <v>8352.7900000000009</v>
      </c>
      <c r="F58" s="276">
        <v>0</v>
      </c>
      <c r="G58" s="276">
        <v>8352.7900000000009</v>
      </c>
    </row>
    <row r="59" spans="1:11" s="260" customFormat="1" ht="41.4" x14ac:dyDescent="0.25">
      <c r="A59" s="257" t="s">
        <v>66</v>
      </c>
      <c r="B59" s="258" t="s">
        <v>2042</v>
      </c>
      <c r="C59" s="258">
        <v>20</v>
      </c>
      <c r="D59" s="259" t="s">
        <v>2357</v>
      </c>
      <c r="E59" s="276">
        <v>233774.35</v>
      </c>
      <c r="F59" s="276">
        <v>0</v>
      </c>
      <c r="G59" s="276">
        <v>233774.35</v>
      </c>
    </row>
    <row r="60" spans="1:11" s="260" customFormat="1" x14ac:dyDescent="0.25">
      <c r="A60" s="271" t="s">
        <v>66</v>
      </c>
      <c r="B60" s="268"/>
      <c r="C60" s="268"/>
      <c r="D60" s="277"/>
      <c r="E60" s="269">
        <f t="shared" ref="E60:G60" si="10">SUM(E50:E59)</f>
        <v>2017617.35</v>
      </c>
      <c r="F60" s="269">
        <f t="shared" si="10"/>
        <v>0</v>
      </c>
      <c r="G60" s="269">
        <f t="shared" si="10"/>
        <v>2017617.35</v>
      </c>
    </row>
    <row r="61" spans="1:11" s="260" customFormat="1" ht="33" customHeight="1" x14ac:dyDescent="0.25">
      <c r="A61" s="257" t="s">
        <v>2244</v>
      </c>
      <c r="B61" s="258" t="s">
        <v>2042</v>
      </c>
      <c r="C61" s="258">
        <v>21</v>
      </c>
      <c r="D61" s="259" t="s">
        <v>2358</v>
      </c>
      <c r="E61" s="276">
        <v>324638.3</v>
      </c>
      <c r="F61" s="276">
        <v>0</v>
      </c>
      <c r="G61" s="276">
        <v>324638.3</v>
      </c>
    </row>
    <row r="62" spans="1:11" s="260" customFormat="1" x14ac:dyDescent="0.25">
      <c r="A62" s="271" t="s">
        <v>2244</v>
      </c>
      <c r="B62" s="268"/>
      <c r="C62" s="268"/>
      <c r="D62" s="277"/>
      <c r="E62" s="269">
        <f t="shared" ref="E62:G62" si="11">SUM(E61)</f>
        <v>324638.3</v>
      </c>
      <c r="F62" s="269">
        <f t="shared" si="11"/>
        <v>0</v>
      </c>
      <c r="G62" s="269">
        <f t="shared" si="11"/>
        <v>324638.3</v>
      </c>
    </row>
    <row r="63" spans="1:11" s="260" customFormat="1" x14ac:dyDescent="0.25">
      <c r="A63" s="274" t="s">
        <v>2214</v>
      </c>
      <c r="B63" s="279"/>
      <c r="C63" s="279"/>
      <c r="D63" s="286"/>
      <c r="E63" s="278">
        <f>E62+E60+E49+E47</f>
        <v>3071322.4499999997</v>
      </c>
      <c r="F63" s="278">
        <f>F62+F60+F49+F47</f>
        <v>0</v>
      </c>
      <c r="G63" s="278">
        <f>G62+G60+G49+G47</f>
        <v>3071322.4499999997</v>
      </c>
    </row>
    <row r="64" spans="1:11" s="260" customFormat="1" ht="27.6" x14ac:dyDescent="0.25">
      <c r="A64" s="259" t="s">
        <v>2138</v>
      </c>
      <c r="B64" s="258" t="s">
        <v>2039</v>
      </c>
      <c r="C64" s="258">
        <v>1</v>
      </c>
      <c r="D64" s="259" t="s">
        <v>2359</v>
      </c>
      <c r="E64" s="276">
        <v>153707.76999999999</v>
      </c>
      <c r="F64" s="276">
        <v>0</v>
      </c>
      <c r="G64" s="276">
        <v>153707.76999999999</v>
      </c>
      <c r="K64" s="257"/>
    </row>
    <row r="65" spans="1:11" s="260" customFormat="1" ht="41.4" x14ac:dyDescent="0.25">
      <c r="A65" s="259" t="s">
        <v>2138</v>
      </c>
      <c r="B65" s="258" t="s">
        <v>2039</v>
      </c>
      <c r="C65" s="258">
        <v>2</v>
      </c>
      <c r="D65" s="259" t="s">
        <v>2360</v>
      </c>
      <c r="E65" s="276">
        <v>302994.01</v>
      </c>
      <c r="F65" s="276">
        <v>0</v>
      </c>
      <c r="G65" s="276">
        <v>302994.01</v>
      </c>
      <c r="K65" s="257"/>
    </row>
    <row r="66" spans="1:11" s="260" customFormat="1" x14ac:dyDescent="0.25">
      <c r="A66" s="271" t="s">
        <v>2156</v>
      </c>
      <c r="B66" s="268"/>
      <c r="C66" s="268"/>
      <c r="D66" s="277"/>
      <c r="E66" s="269">
        <f t="shared" ref="E66:G66" si="12">SUM(E64:E65)</f>
        <v>456701.78</v>
      </c>
      <c r="F66" s="269">
        <f t="shared" si="12"/>
        <v>0</v>
      </c>
      <c r="G66" s="269">
        <f t="shared" si="12"/>
        <v>456701.78</v>
      </c>
      <c r="K66" s="257"/>
    </row>
    <row r="67" spans="1:11" s="260" customFormat="1" ht="27.6" x14ac:dyDescent="0.25">
      <c r="A67" s="257" t="s">
        <v>66</v>
      </c>
      <c r="B67" s="258" t="s">
        <v>2039</v>
      </c>
      <c r="C67" s="258">
        <v>3</v>
      </c>
      <c r="D67" s="259" t="s">
        <v>2361</v>
      </c>
      <c r="E67" s="276">
        <v>288524.59999999998</v>
      </c>
      <c r="F67" s="276">
        <v>0</v>
      </c>
      <c r="G67" s="276">
        <v>288524.59999999998</v>
      </c>
    </row>
    <row r="68" spans="1:11" s="260" customFormat="1" ht="41.4" x14ac:dyDescent="0.25">
      <c r="A68" s="257" t="s">
        <v>66</v>
      </c>
      <c r="B68" s="258" t="s">
        <v>2039</v>
      </c>
      <c r="C68" s="258">
        <v>4</v>
      </c>
      <c r="D68" s="259" t="s">
        <v>2362</v>
      </c>
      <c r="E68" s="276">
        <v>23117.31</v>
      </c>
      <c r="F68" s="276">
        <v>0</v>
      </c>
      <c r="G68" s="276">
        <v>23117.31</v>
      </c>
    </row>
    <row r="69" spans="1:11" s="260" customFormat="1" ht="41.4" x14ac:dyDescent="0.25">
      <c r="A69" s="257" t="s">
        <v>66</v>
      </c>
      <c r="B69" s="258" t="s">
        <v>2039</v>
      </c>
      <c r="C69" s="258">
        <v>5</v>
      </c>
      <c r="D69" s="259" t="s">
        <v>2363</v>
      </c>
      <c r="E69" s="276">
        <v>385086.14</v>
      </c>
      <c r="F69" s="276">
        <v>0</v>
      </c>
      <c r="G69" s="276">
        <v>385086.14</v>
      </c>
    </row>
    <row r="70" spans="1:11" s="260" customFormat="1" x14ac:dyDescent="0.25">
      <c r="A70" s="271" t="s">
        <v>66</v>
      </c>
      <c r="B70" s="268"/>
      <c r="C70" s="268"/>
      <c r="D70" s="277"/>
      <c r="E70" s="269">
        <f t="shared" ref="E70:G70" si="13">SUM(E67:E69)</f>
        <v>696728.05</v>
      </c>
      <c r="F70" s="269">
        <f t="shared" si="13"/>
        <v>0</v>
      </c>
      <c r="G70" s="269">
        <f t="shared" si="13"/>
        <v>696728.05</v>
      </c>
    </row>
    <row r="71" spans="1:11" s="260" customFormat="1" ht="27.6" x14ac:dyDescent="0.25">
      <c r="A71" s="257" t="s">
        <v>2244</v>
      </c>
      <c r="B71" s="258" t="s">
        <v>2039</v>
      </c>
      <c r="C71" s="258">
        <v>6</v>
      </c>
      <c r="D71" s="259" t="s">
        <v>2364</v>
      </c>
      <c r="E71" s="276">
        <v>25410.9</v>
      </c>
      <c r="F71" s="276">
        <v>0</v>
      </c>
      <c r="G71" s="276">
        <v>25410.9</v>
      </c>
    </row>
    <row r="72" spans="1:11" s="260" customFormat="1" ht="30.75" customHeight="1" x14ac:dyDescent="0.25">
      <c r="A72" s="257" t="s">
        <v>2244</v>
      </c>
      <c r="B72" s="258" t="s">
        <v>2039</v>
      </c>
      <c r="C72" s="258">
        <v>7</v>
      </c>
      <c r="D72" s="259" t="s">
        <v>2358</v>
      </c>
      <c r="E72" s="276">
        <v>52492.93</v>
      </c>
      <c r="F72" s="276">
        <v>0</v>
      </c>
      <c r="G72" s="276">
        <v>52492.93</v>
      </c>
    </row>
    <row r="73" spans="1:11" s="260" customFormat="1" x14ac:dyDescent="0.25">
      <c r="A73" s="271" t="s">
        <v>2244</v>
      </c>
      <c r="B73" s="268"/>
      <c r="C73" s="268"/>
      <c r="D73" s="277"/>
      <c r="E73" s="269">
        <f t="shared" ref="E73:G73" si="14">SUM(E71:E72)</f>
        <v>77903.83</v>
      </c>
      <c r="F73" s="269">
        <f t="shared" si="14"/>
        <v>0</v>
      </c>
      <c r="G73" s="269">
        <f t="shared" si="14"/>
        <v>77903.83</v>
      </c>
    </row>
    <row r="74" spans="1:11" s="260" customFormat="1" x14ac:dyDescent="0.25">
      <c r="A74" s="274" t="s">
        <v>2216</v>
      </c>
      <c r="B74" s="279"/>
      <c r="C74" s="279"/>
      <c r="D74" s="286"/>
      <c r="E74" s="278">
        <f t="shared" ref="E74:G74" si="15">E73+E70+E66</f>
        <v>1231333.6600000001</v>
      </c>
      <c r="F74" s="278">
        <f t="shared" si="15"/>
        <v>0</v>
      </c>
      <c r="G74" s="278">
        <f t="shared" si="15"/>
        <v>1231333.6600000001</v>
      </c>
    </row>
    <row r="75" spans="1:11" s="260" customFormat="1" ht="41.4" x14ac:dyDescent="0.25">
      <c r="A75" s="257" t="s">
        <v>66</v>
      </c>
      <c r="B75" s="258" t="s">
        <v>2036</v>
      </c>
      <c r="C75" s="258">
        <v>1</v>
      </c>
      <c r="D75" s="259" t="s">
        <v>2365</v>
      </c>
      <c r="E75" s="276">
        <v>9358.86</v>
      </c>
      <c r="F75" s="276">
        <v>0</v>
      </c>
      <c r="G75" s="276">
        <v>9358.86</v>
      </c>
    </row>
    <row r="76" spans="1:11" s="260" customFormat="1" x14ac:dyDescent="0.25">
      <c r="A76" s="257" t="s">
        <v>66</v>
      </c>
      <c r="B76" s="258" t="s">
        <v>2036</v>
      </c>
      <c r="C76" s="258">
        <v>2</v>
      </c>
      <c r="D76" s="259" t="s">
        <v>2366</v>
      </c>
      <c r="E76" s="276">
        <v>32740.83</v>
      </c>
      <c r="F76" s="276">
        <v>0</v>
      </c>
      <c r="G76" s="276">
        <v>32740.83</v>
      </c>
    </row>
    <row r="77" spans="1:11" s="260" customFormat="1" x14ac:dyDescent="0.25">
      <c r="A77" s="271" t="s">
        <v>66</v>
      </c>
      <c r="B77" s="268"/>
      <c r="C77" s="268"/>
      <c r="D77" s="277"/>
      <c r="E77" s="269">
        <f t="shared" ref="E77:G77" si="16">SUM(E75:E76)</f>
        <v>42099.69</v>
      </c>
      <c r="F77" s="269">
        <f t="shared" si="16"/>
        <v>0</v>
      </c>
      <c r="G77" s="269">
        <f t="shared" si="16"/>
        <v>42099.69</v>
      </c>
    </row>
    <row r="78" spans="1:11" x14ac:dyDescent="0.25">
      <c r="A78" s="288" t="s">
        <v>2221</v>
      </c>
      <c r="B78" s="288"/>
      <c r="C78" s="288"/>
      <c r="D78" s="288"/>
      <c r="E78" s="289">
        <f t="shared" ref="E78:G78" si="17">E77</f>
        <v>42099.69</v>
      </c>
      <c r="F78" s="289">
        <f t="shared" si="17"/>
        <v>0</v>
      </c>
      <c r="G78" s="289">
        <f t="shared" si="17"/>
        <v>42099.69</v>
      </c>
    </row>
    <row r="79" spans="1:11" x14ac:dyDescent="0.25">
      <c r="A79" s="306" t="s">
        <v>759</v>
      </c>
      <c r="B79" s="306"/>
      <c r="C79" s="306"/>
      <c r="D79" s="306"/>
      <c r="E79" s="307">
        <f>E78+E74+E63+E37+E14</f>
        <v>5080330.0399999991</v>
      </c>
      <c r="F79" s="307">
        <f>F78+F74+F63+F37+F14</f>
        <v>0</v>
      </c>
      <c r="G79" s="307">
        <f>G78+G74+G63+G37+G14</f>
        <v>5080330.0399999991</v>
      </c>
    </row>
    <row r="82" spans="1:12" s="260" customFormat="1" hidden="1" x14ac:dyDescent="0.25">
      <c r="E82" s="290">
        <v>5080330.0399999991</v>
      </c>
      <c r="F82" s="290">
        <v>0</v>
      </c>
      <c r="G82" s="290">
        <v>5080330.0399999991</v>
      </c>
    </row>
    <row r="83" spans="1:12" s="260" customFormat="1" ht="27.6" hidden="1" x14ac:dyDescent="0.25">
      <c r="I83" s="291" t="s">
        <v>2103</v>
      </c>
      <c r="J83" s="291" t="s">
        <v>2367</v>
      </c>
      <c r="K83" s="292" t="s">
        <v>2106</v>
      </c>
      <c r="L83" s="292" t="s">
        <v>2107</v>
      </c>
    </row>
    <row r="84" spans="1:12" s="260" customFormat="1" hidden="1" x14ac:dyDescent="0.25">
      <c r="I84" s="293" t="s">
        <v>2197</v>
      </c>
      <c r="J84" s="294">
        <v>6</v>
      </c>
      <c r="K84" s="295">
        <v>183807.1</v>
      </c>
      <c r="L84" s="295">
        <v>0</v>
      </c>
    </row>
    <row r="85" spans="1:12" s="260" customFormat="1" hidden="1" x14ac:dyDescent="0.25">
      <c r="I85" s="293" t="s">
        <v>2205</v>
      </c>
      <c r="J85" s="294">
        <v>18</v>
      </c>
      <c r="K85" s="295">
        <v>551767.14</v>
      </c>
      <c r="L85" s="295">
        <v>0</v>
      </c>
    </row>
    <row r="86" spans="1:12" hidden="1" x14ac:dyDescent="0.25">
      <c r="I86" s="293" t="s">
        <v>2214</v>
      </c>
      <c r="J86" s="294">
        <v>21</v>
      </c>
      <c r="K86" s="295">
        <v>3071322.4499999997</v>
      </c>
      <c r="L86" s="295">
        <v>0</v>
      </c>
    </row>
    <row r="87" spans="1:12" hidden="1" x14ac:dyDescent="0.25">
      <c r="I87" s="293" t="s">
        <v>2216</v>
      </c>
      <c r="J87" s="294">
        <v>7</v>
      </c>
      <c r="K87" s="295">
        <v>1231333.6599999999</v>
      </c>
      <c r="L87" s="295">
        <v>0</v>
      </c>
    </row>
    <row r="88" spans="1:12" hidden="1" x14ac:dyDescent="0.25">
      <c r="I88" s="243" t="s">
        <v>2221</v>
      </c>
      <c r="J88" s="242">
        <v>2</v>
      </c>
      <c r="K88" s="296">
        <v>42099.69</v>
      </c>
      <c r="L88" s="296">
        <v>0</v>
      </c>
    </row>
    <row r="89" spans="1:12" hidden="1" x14ac:dyDescent="0.25">
      <c r="I89" s="243" t="s">
        <v>759</v>
      </c>
      <c r="J89" s="242">
        <f>SUM(J84:J88)</f>
        <v>54</v>
      </c>
      <c r="K89" s="296">
        <f>SUM(K84:K88)</f>
        <v>5080330.04</v>
      </c>
      <c r="L89" s="296">
        <v>0</v>
      </c>
    </row>
    <row r="90" spans="1:12" hidden="1" x14ac:dyDescent="0.25"/>
    <row r="91" spans="1:12" hidden="1" x14ac:dyDescent="0.25">
      <c r="A91" s="291" t="s">
        <v>2103</v>
      </c>
      <c r="B91" s="291"/>
      <c r="C91" s="291"/>
      <c r="D91" s="291"/>
      <c r="E91" s="292" t="s">
        <v>2107</v>
      </c>
      <c r="F91" s="244" t="s">
        <v>2368</v>
      </c>
    </row>
    <row r="92" spans="1:12" hidden="1" x14ac:dyDescent="0.25">
      <c r="A92" s="293" t="s">
        <v>2197</v>
      </c>
      <c r="B92" s="291"/>
      <c r="C92" s="291"/>
      <c r="D92" s="291"/>
      <c r="E92" s="292"/>
      <c r="F92" s="297">
        <v>6</v>
      </c>
    </row>
    <row r="93" spans="1:12" s="260" customFormat="1" hidden="1" x14ac:dyDescent="0.25">
      <c r="A93" s="293" t="s">
        <v>66</v>
      </c>
      <c r="B93" s="298"/>
      <c r="C93" s="298"/>
      <c r="D93" s="299"/>
      <c r="E93" s="300">
        <v>0</v>
      </c>
      <c r="F93" s="301"/>
    </row>
    <row r="94" spans="1:12" s="260" customFormat="1" hidden="1" x14ac:dyDescent="0.25">
      <c r="A94" s="293" t="s">
        <v>904</v>
      </c>
      <c r="B94" s="298"/>
      <c r="C94" s="298"/>
      <c r="D94" s="299"/>
      <c r="E94" s="300">
        <v>0</v>
      </c>
      <c r="F94" s="301"/>
    </row>
    <row r="95" spans="1:12" s="260" customFormat="1" hidden="1" x14ac:dyDescent="0.25">
      <c r="A95" s="302"/>
      <c r="B95" s="298"/>
      <c r="C95" s="302"/>
      <c r="D95" s="299"/>
      <c r="E95" s="300">
        <v>0</v>
      </c>
      <c r="F95" s="297">
        <v>18</v>
      </c>
    </row>
    <row r="96" spans="1:12" s="260" customFormat="1" hidden="1" x14ac:dyDescent="0.25">
      <c r="A96" s="293" t="s">
        <v>2205</v>
      </c>
      <c r="B96" s="298"/>
      <c r="C96" s="298"/>
      <c r="D96" s="299"/>
      <c r="E96" s="300"/>
      <c r="F96" s="301"/>
    </row>
    <row r="97" spans="1:9" s="260" customFormat="1" hidden="1" x14ac:dyDescent="0.25">
      <c r="A97" s="293" t="s">
        <v>2156</v>
      </c>
      <c r="B97" s="298"/>
      <c r="C97" s="298"/>
      <c r="D97" s="299"/>
      <c r="E97" s="300">
        <v>0</v>
      </c>
      <c r="F97" s="301"/>
      <c r="I97" s="257"/>
    </row>
    <row r="98" spans="1:9" s="260" customFormat="1" hidden="1" x14ac:dyDescent="0.25">
      <c r="A98" s="293" t="s">
        <v>66</v>
      </c>
      <c r="B98" s="298"/>
      <c r="C98" s="298"/>
      <c r="D98" s="299"/>
      <c r="E98" s="300">
        <v>0</v>
      </c>
      <c r="F98" s="301"/>
    </row>
    <row r="99" spans="1:9" s="260" customFormat="1" hidden="1" x14ac:dyDescent="0.25">
      <c r="A99" s="293" t="s">
        <v>2334</v>
      </c>
      <c r="B99" s="298"/>
      <c r="C99" s="298"/>
      <c r="D99" s="299"/>
      <c r="E99" s="300">
        <v>0</v>
      </c>
      <c r="F99" s="301"/>
    </row>
    <row r="100" spans="1:9" s="260" customFormat="1" hidden="1" x14ac:dyDescent="0.25">
      <c r="A100" s="293" t="s">
        <v>2244</v>
      </c>
      <c r="B100" s="298"/>
      <c r="C100" s="298"/>
      <c r="D100" s="299"/>
      <c r="E100" s="300">
        <v>0</v>
      </c>
      <c r="F100" s="301"/>
    </row>
    <row r="101" spans="1:9" s="260" customFormat="1" hidden="1" x14ac:dyDescent="0.25">
      <c r="A101" s="302"/>
      <c r="B101" s="298"/>
      <c r="C101" s="302"/>
      <c r="D101" s="299"/>
      <c r="E101" s="300">
        <v>0</v>
      </c>
      <c r="F101" s="301"/>
    </row>
    <row r="102" spans="1:9" s="260" customFormat="1" hidden="1" x14ac:dyDescent="0.25">
      <c r="A102" s="293" t="s">
        <v>2214</v>
      </c>
      <c r="B102" s="298"/>
      <c r="C102" s="302"/>
      <c r="D102" s="299"/>
      <c r="E102" s="300"/>
      <c r="F102" s="297">
        <v>21</v>
      </c>
    </row>
    <row r="103" spans="1:9" s="260" customFormat="1" hidden="1" x14ac:dyDescent="0.25">
      <c r="A103" s="293" t="s">
        <v>2156</v>
      </c>
      <c r="B103" s="298"/>
      <c r="C103" s="298"/>
      <c r="D103" s="299"/>
      <c r="E103" s="300">
        <v>0</v>
      </c>
      <c r="F103" s="301"/>
      <c r="I103" s="257"/>
    </row>
    <row r="104" spans="1:9" s="260" customFormat="1" hidden="1" x14ac:dyDescent="0.25">
      <c r="A104" s="293" t="s">
        <v>1000</v>
      </c>
      <c r="B104" s="298"/>
      <c r="C104" s="298"/>
      <c r="D104" s="299"/>
      <c r="E104" s="300">
        <v>0</v>
      </c>
      <c r="F104" s="301"/>
      <c r="I104" s="257"/>
    </row>
    <row r="105" spans="1:9" s="260" customFormat="1" hidden="1" x14ac:dyDescent="0.25">
      <c r="A105" s="293" t="s">
        <v>66</v>
      </c>
      <c r="B105" s="298"/>
      <c r="C105" s="298"/>
      <c r="D105" s="299"/>
      <c r="E105" s="300">
        <v>0</v>
      </c>
      <c r="F105" s="301"/>
    </row>
    <row r="106" spans="1:9" s="260" customFormat="1" hidden="1" x14ac:dyDescent="0.25">
      <c r="A106" s="293" t="s">
        <v>2244</v>
      </c>
      <c r="B106" s="298"/>
      <c r="C106" s="298"/>
      <c r="D106" s="299"/>
      <c r="E106" s="300">
        <v>0</v>
      </c>
      <c r="F106" s="301"/>
    </row>
    <row r="107" spans="1:9" s="260" customFormat="1" hidden="1" x14ac:dyDescent="0.25">
      <c r="A107" s="302"/>
      <c r="B107" s="298"/>
      <c r="C107" s="302"/>
      <c r="D107" s="299"/>
      <c r="E107" s="300">
        <v>0</v>
      </c>
      <c r="F107" s="301"/>
    </row>
    <row r="108" spans="1:9" s="260" customFormat="1" hidden="1" x14ac:dyDescent="0.25">
      <c r="A108" s="293" t="s">
        <v>2216</v>
      </c>
      <c r="B108" s="298"/>
      <c r="C108" s="302"/>
      <c r="D108" s="299"/>
      <c r="E108" s="300"/>
      <c r="F108" s="297">
        <v>7</v>
      </c>
    </row>
    <row r="109" spans="1:9" s="260" customFormat="1" hidden="1" x14ac:dyDescent="0.25">
      <c r="A109" s="293" t="s">
        <v>2156</v>
      </c>
      <c r="B109" s="298"/>
      <c r="C109" s="298"/>
      <c r="D109" s="299"/>
      <c r="E109" s="300">
        <v>0</v>
      </c>
      <c r="F109" s="301"/>
      <c r="I109" s="257"/>
    </row>
    <row r="110" spans="1:9" s="260" customFormat="1" hidden="1" x14ac:dyDescent="0.25">
      <c r="A110" s="293" t="s">
        <v>66</v>
      </c>
      <c r="B110" s="298"/>
      <c r="C110" s="298"/>
      <c r="D110" s="299"/>
      <c r="E110" s="300">
        <v>0</v>
      </c>
      <c r="F110" s="301"/>
    </row>
    <row r="111" spans="1:9" s="260" customFormat="1" hidden="1" x14ac:dyDescent="0.25">
      <c r="A111" s="293" t="s">
        <v>2244</v>
      </c>
      <c r="B111" s="298"/>
      <c r="C111" s="298"/>
      <c r="D111" s="299"/>
      <c r="E111" s="300">
        <v>0</v>
      </c>
      <c r="F111" s="301"/>
    </row>
    <row r="112" spans="1:9" s="260" customFormat="1" hidden="1" x14ac:dyDescent="0.25">
      <c r="A112" s="302"/>
      <c r="B112" s="298"/>
      <c r="C112" s="302"/>
      <c r="D112" s="299"/>
      <c r="E112" s="300">
        <v>0</v>
      </c>
      <c r="F112" s="301"/>
    </row>
    <row r="113" spans="1:6" s="260" customFormat="1" hidden="1" x14ac:dyDescent="0.25">
      <c r="A113" s="243" t="s">
        <v>2221</v>
      </c>
      <c r="B113" s="298"/>
      <c r="C113" s="302"/>
      <c r="D113" s="299"/>
      <c r="E113" s="300"/>
      <c r="F113" s="301"/>
    </row>
    <row r="114" spans="1:6" s="260" customFormat="1" hidden="1" x14ac:dyDescent="0.25">
      <c r="A114" s="293" t="s">
        <v>66</v>
      </c>
      <c r="B114" s="298"/>
      <c r="C114" s="298"/>
      <c r="D114" s="299"/>
      <c r="E114" s="300">
        <v>0</v>
      </c>
      <c r="F114" s="241">
        <v>2</v>
      </c>
    </row>
    <row r="115" spans="1:6" hidden="1" x14ac:dyDescent="0.25">
      <c r="A115" s="243"/>
      <c r="B115" s="243"/>
      <c r="C115" s="243"/>
      <c r="D115" s="243"/>
      <c r="E115" s="303">
        <v>0</v>
      </c>
      <c r="F115" s="241"/>
    </row>
    <row r="116" spans="1:6" hidden="1" x14ac:dyDescent="0.25">
      <c r="A116" s="243" t="s">
        <v>759</v>
      </c>
      <c r="B116" s="243"/>
      <c r="C116" s="243"/>
      <c r="D116" s="243"/>
      <c r="E116" s="303">
        <v>0</v>
      </c>
      <c r="F116" s="241">
        <f>SUM(F95:F115)</f>
        <v>48</v>
      </c>
    </row>
  </sheetData>
  <sheetProtection algorithmName="SHA-512" hashValue="mBZfI77dplscdh96WmXSYsaevjqmYvKxQzclZ2pXSqRc3gJqHf+iKb8VVMH/ePG77QrBnntCnf1w9vLMUFO7aw==" saltValue="c4ImSs7Z0etKu25iVIdTTw==" spinCount="100000" sheet="1" objects="1" scenarios="1" selectLockedCells="1" selectUnlockedCells="1"/>
  <printOptions horizontalCentered="1"/>
  <pageMargins left="1.4960629921259843" right="0.70866141732283472" top="0.74803149606299213" bottom="0.74803149606299213" header="0.31496062992125984" footer="0.31496062992125984"/>
  <pageSetup scale="69" fitToHeight="0" orientation="portrait" r:id="rId1"/>
  <headerFooter>
    <oddHeader>&amp;R&amp;"Times New Roman,Regular"&amp;12
Annex R
AAR Page 221</oddHeader>
  </headerFooter>
  <rowBreaks count="1" manualBreakCount="1">
    <brk id="33" max="6"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L141"/>
  <sheetViews>
    <sheetView zoomScaleNormal="100" zoomScaleSheetLayoutView="80" workbookViewId="0"/>
  </sheetViews>
  <sheetFormatPr defaultColWidth="10.88671875" defaultRowHeight="13.8" x14ac:dyDescent="0.25"/>
  <cols>
    <col min="1" max="1" width="28.5546875" style="257" customWidth="1"/>
    <col min="2" max="2" width="13.88671875" style="258" customWidth="1"/>
    <col min="3" max="3" width="26.6640625" style="259" customWidth="1"/>
    <col min="4" max="4" width="15.6640625" style="257" bestFit="1" customWidth="1"/>
    <col min="5" max="5" width="12" style="257" bestFit="1" customWidth="1"/>
    <col min="6" max="16384" width="10.88671875" style="260"/>
  </cols>
  <sheetData>
    <row r="1" spans="1:7" x14ac:dyDescent="0.25">
      <c r="A1" s="257" t="s">
        <v>0</v>
      </c>
      <c r="C1" s="258"/>
      <c r="D1" s="259"/>
      <c r="F1" s="257"/>
      <c r="G1" s="257"/>
    </row>
    <row r="2" spans="1:7" x14ac:dyDescent="0.25">
      <c r="A2" s="261" t="s">
        <v>2222</v>
      </c>
      <c r="C2" s="258"/>
      <c r="D2" s="259"/>
      <c r="F2" s="257"/>
      <c r="G2" s="257"/>
    </row>
    <row r="3" spans="1:7" x14ac:dyDescent="0.25">
      <c r="A3" s="257" t="s">
        <v>5</v>
      </c>
      <c r="C3" s="258"/>
      <c r="D3" s="259"/>
      <c r="F3" s="257"/>
      <c r="G3" s="257"/>
    </row>
    <row r="5" spans="1:7" s="264" customFormat="1" ht="27.6" x14ac:dyDescent="0.3">
      <c r="A5" s="262" t="s">
        <v>2103</v>
      </c>
      <c r="B5" s="262" t="s">
        <v>2104</v>
      </c>
      <c r="C5" s="262" t="s">
        <v>2105</v>
      </c>
      <c r="D5" s="263" t="s">
        <v>2106</v>
      </c>
      <c r="E5" s="263" t="s">
        <v>2107</v>
      </c>
    </row>
    <row r="6" spans="1:7" s="257" customFormat="1" x14ac:dyDescent="0.3">
      <c r="A6" s="265" t="s">
        <v>2149</v>
      </c>
      <c r="B6" s="258" t="s">
        <v>2108</v>
      </c>
      <c r="C6" s="265" t="s">
        <v>2223</v>
      </c>
      <c r="D6" s="266">
        <v>1600000</v>
      </c>
      <c r="E6" s="266">
        <v>0</v>
      </c>
    </row>
    <row r="7" spans="1:7" s="257" customFormat="1" x14ac:dyDescent="0.3">
      <c r="A7" s="267" t="s">
        <v>2149</v>
      </c>
      <c r="B7" s="268"/>
      <c r="C7" s="267"/>
      <c r="D7" s="269">
        <f t="shared" ref="D7:E7" si="0">SUM(D6)</f>
        <v>1600000</v>
      </c>
      <c r="E7" s="269">
        <f t="shared" si="0"/>
        <v>0</v>
      </c>
    </row>
    <row r="8" spans="1:7" s="257" customFormat="1" x14ac:dyDescent="0.3">
      <c r="A8" s="265" t="s">
        <v>2138</v>
      </c>
      <c r="B8" s="258" t="s">
        <v>2108</v>
      </c>
      <c r="C8" s="265" t="s">
        <v>2224</v>
      </c>
      <c r="D8" s="266">
        <v>135000</v>
      </c>
      <c r="E8" s="266">
        <v>0</v>
      </c>
    </row>
    <row r="9" spans="1:7" s="257" customFormat="1" x14ac:dyDescent="0.3">
      <c r="A9" s="265" t="s">
        <v>2138</v>
      </c>
      <c r="B9" s="258" t="s">
        <v>2108</v>
      </c>
      <c r="C9" s="265" t="s">
        <v>2225</v>
      </c>
      <c r="D9" s="266">
        <v>200000</v>
      </c>
      <c r="E9" s="266">
        <v>0</v>
      </c>
    </row>
    <row r="10" spans="1:7" s="257" customFormat="1" x14ac:dyDescent="0.3">
      <c r="A10" s="265" t="s">
        <v>2138</v>
      </c>
      <c r="B10" s="258" t="s">
        <v>2108</v>
      </c>
      <c r="C10" s="265" t="s">
        <v>2226</v>
      </c>
      <c r="D10" s="266">
        <v>600000</v>
      </c>
      <c r="E10" s="266">
        <v>0</v>
      </c>
    </row>
    <row r="11" spans="1:7" s="257" customFormat="1" x14ac:dyDescent="0.3">
      <c r="A11" s="267" t="s">
        <v>2138</v>
      </c>
      <c r="B11" s="268"/>
      <c r="C11" s="267"/>
      <c r="D11" s="269">
        <f t="shared" ref="D11:E11" si="1">SUM(D8:D10)</f>
        <v>935000</v>
      </c>
      <c r="E11" s="269">
        <f t="shared" si="1"/>
        <v>0</v>
      </c>
    </row>
    <row r="12" spans="1:7" s="257" customFormat="1" ht="41.4" x14ac:dyDescent="0.3">
      <c r="A12" s="265" t="s">
        <v>2227</v>
      </c>
      <c r="B12" s="258" t="s">
        <v>2108</v>
      </c>
      <c r="C12" s="265" t="s">
        <v>2228</v>
      </c>
      <c r="D12" s="266">
        <v>70000</v>
      </c>
      <c r="E12" s="266">
        <v>0</v>
      </c>
    </row>
    <row r="13" spans="1:7" s="257" customFormat="1" x14ac:dyDescent="0.3">
      <c r="A13" s="267" t="s">
        <v>2227</v>
      </c>
      <c r="B13" s="268"/>
      <c r="C13" s="267"/>
      <c r="D13" s="269">
        <f t="shared" ref="D13:E13" si="2">SUM(D12)</f>
        <v>70000</v>
      </c>
      <c r="E13" s="269">
        <f t="shared" si="2"/>
        <v>0</v>
      </c>
    </row>
    <row r="14" spans="1:7" s="257" customFormat="1" ht="41.4" x14ac:dyDescent="0.3">
      <c r="A14" s="265" t="s">
        <v>1000</v>
      </c>
      <c r="B14" s="258" t="s">
        <v>2108</v>
      </c>
      <c r="C14" s="265" t="s">
        <v>2229</v>
      </c>
      <c r="D14" s="266">
        <v>300000</v>
      </c>
      <c r="E14" s="266">
        <v>0</v>
      </c>
    </row>
    <row r="15" spans="1:7" s="257" customFormat="1" x14ac:dyDescent="0.3">
      <c r="A15" s="267" t="s">
        <v>1000</v>
      </c>
      <c r="B15" s="268"/>
      <c r="C15" s="267"/>
      <c r="D15" s="269">
        <f t="shared" ref="D15:E15" si="3">SUM(D14)</f>
        <v>300000</v>
      </c>
      <c r="E15" s="269">
        <f t="shared" si="3"/>
        <v>0</v>
      </c>
    </row>
    <row r="16" spans="1:7" s="257" customFormat="1" ht="27.6" x14ac:dyDescent="0.3">
      <c r="A16" s="265" t="s">
        <v>2230</v>
      </c>
      <c r="B16" s="258" t="s">
        <v>2108</v>
      </c>
      <c r="C16" s="265" t="s">
        <v>2231</v>
      </c>
      <c r="D16" s="266">
        <v>100000</v>
      </c>
      <c r="E16" s="266">
        <v>0</v>
      </c>
    </row>
    <row r="17" spans="1:7" s="257" customFormat="1" ht="27.6" x14ac:dyDescent="0.3">
      <c r="A17" s="265" t="s">
        <v>2230</v>
      </c>
      <c r="B17" s="258" t="s">
        <v>2108</v>
      </c>
      <c r="C17" s="265" t="s">
        <v>2232</v>
      </c>
      <c r="D17" s="266">
        <v>200000</v>
      </c>
      <c r="E17" s="266">
        <v>0</v>
      </c>
    </row>
    <row r="18" spans="1:7" s="257" customFormat="1" x14ac:dyDescent="0.3">
      <c r="A18" s="267" t="s">
        <v>2230</v>
      </c>
      <c r="B18" s="268"/>
      <c r="C18" s="267"/>
      <c r="D18" s="269">
        <f t="shared" ref="D18:E18" si="4">SUM(D16:D17)</f>
        <v>300000</v>
      </c>
      <c r="E18" s="269">
        <f t="shared" si="4"/>
        <v>0</v>
      </c>
    </row>
    <row r="19" spans="1:7" s="257" customFormat="1" ht="27.6" x14ac:dyDescent="0.3">
      <c r="A19" s="265" t="s">
        <v>66</v>
      </c>
      <c r="B19" s="258" t="s">
        <v>2108</v>
      </c>
      <c r="C19" s="265" t="s">
        <v>2233</v>
      </c>
      <c r="D19" s="266">
        <v>1000000</v>
      </c>
      <c r="E19" s="266">
        <v>0</v>
      </c>
    </row>
    <row r="20" spans="1:7" s="257" customFormat="1" x14ac:dyDescent="0.3">
      <c r="A20" s="265" t="s">
        <v>66</v>
      </c>
      <c r="B20" s="258" t="s">
        <v>2108</v>
      </c>
      <c r="C20" s="265" t="s">
        <v>2234</v>
      </c>
      <c r="D20" s="266">
        <v>120000</v>
      </c>
      <c r="E20" s="266">
        <v>0</v>
      </c>
    </row>
    <row r="21" spans="1:7" s="257" customFormat="1" ht="27.6" x14ac:dyDescent="0.3">
      <c r="A21" s="265" t="s">
        <v>66</v>
      </c>
      <c r="B21" s="258" t="s">
        <v>2108</v>
      </c>
      <c r="C21" s="265" t="s">
        <v>2235</v>
      </c>
      <c r="D21" s="266">
        <v>600000</v>
      </c>
      <c r="E21" s="266">
        <v>0</v>
      </c>
    </row>
    <row r="22" spans="1:7" s="257" customFormat="1" ht="27.6" x14ac:dyDescent="0.3">
      <c r="A22" s="265" t="s">
        <v>66</v>
      </c>
      <c r="B22" s="258" t="s">
        <v>2108</v>
      </c>
      <c r="C22" s="265" t="s">
        <v>2236</v>
      </c>
      <c r="D22" s="266">
        <v>3500000</v>
      </c>
      <c r="E22" s="266">
        <v>0</v>
      </c>
    </row>
    <row r="23" spans="1:7" s="257" customFormat="1" x14ac:dyDescent="0.3">
      <c r="A23" s="265" t="s">
        <v>66</v>
      </c>
      <c r="B23" s="258" t="s">
        <v>2108</v>
      </c>
      <c r="C23" s="265" t="s">
        <v>2237</v>
      </c>
      <c r="D23" s="266">
        <v>50000</v>
      </c>
      <c r="E23" s="266">
        <v>0</v>
      </c>
    </row>
    <row r="24" spans="1:7" s="257" customFormat="1" x14ac:dyDescent="0.3">
      <c r="A24" s="265" t="s">
        <v>66</v>
      </c>
      <c r="B24" s="258" t="s">
        <v>2108</v>
      </c>
      <c r="C24" s="265" t="s">
        <v>2238</v>
      </c>
      <c r="D24" s="266">
        <v>100000</v>
      </c>
      <c r="E24" s="266">
        <v>0</v>
      </c>
    </row>
    <row r="25" spans="1:7" s="257" customFormat="1" x14ac:dyDescent="0.3">
      <c r="A25" s="265" t="s">
        <v>66</v>
      </c>
      <c r="B25" s="258" t="s">
        <v>2108</v>
      </c>
      <c r="C25" s="265" t="s">
        <v>2239</v>
      </c>
      <c r="D25" s="266">
        <v>1800000</v>
      </c>
      <c r="E25" s="266">
        <v>0</v>
      </c>
    </row>
    <row r="26" spans="1:7" s="257" customFormat="1" x14ac:dyDescent="0.3">
      <c r="A26" s="267" t="s">
        <v>66</v>
      </c>
      <c r="B26" s="268"/>
      <c r="C26" s="267"/>
      <c r="D26" s="269">
        <f t="shared" ref="D26:E26" si="5">SUM(D19:D25)</f>
        <v>7170000</v>
      </c>
      <c r="E26" s="269">
        <f t="shared" si="5"/>
        <v>0</v>
      </c>
    </row>
    <row r="27" spans="1:7" s="257" customFormat="1" ht="27.6" x14ac:dyDescent="0.25">
      <c r="A27" s="265" t="s">
        <v>2240</v>
      </c>
      <c r="B27" s="258" t="s">
        <v>2108</v>
      </c>
      <c r="C27" s="265" t="s">
        <v>2241</v>
      </c>
      <c r="D27" s="266">
        <v>60000</v>
      </c>
      <c r="E27" s="266">
        <v>0</v>
      </c>
      <c r="G27" s="260"/>
    </row>
    <row r="28" spans="1:7" s="257" customFormat="1" ht="27.6" x14ac:dyDescent="0.25">
      <c r="A28" s="265" t="s">
        <v>2240</v>
      </c>
      <c r="B28" s="258" t="s">
        <v>2108</v>
      </c>
      <c r="C28" s="265" t="s">
        <v>254</v>
      </c>
      <c r="D28" s="266">
        <v>200000</v>
      </c>
      <c r="E28" s="266">
        <v>0</v>
      </c>
      <c r="G28" s="260"/>
    </row>
    <row r="29" spans="1:7" s="257" customFormat="1" x14ac:dyDescent="0.25">
      <c r="A29" s="729" t="s">
        <v>2240</v>
      </c>
      <c r="B29" s="268"/>
      <c r="C29" s="267"/>
      <c r="D29" s="269">
        <f t="shared" ref="D29:E29" si="6">SUM(D27:D28)</f>
        <v>260000</v>
      </c>
      <c r="E29" s="269">
        <f t="shared" si="6"/>
        <v>0</v>
      </c>
      <c r="G29" s="260"/>
    </row>
    <row r="30" spans="1:7" s="257" customFormat="1" ht="27.6" x14ac:dyDescent="0.25">
      <c r="A30" s="265" t="s">
        <v>682</v>
      </c>
      <c r="B30" s="258" t="s">
        <v>2108</v>
      </c>
      <c r="C30" s="265" t="s">
        <v>2242</v>
      </c>
      <c r="D30" s="266">
        <v>290000</v>
      </c>
      <c r="E30" s="266">
        <v>0</v>
      </c>
      <c r="G30" s="260"/>
    </row>
    <row r="31" spans="1:7" s="257" customFormat="1" ht="41.4" x14ac:dyDescent="0.25">
      <c r="A31" s="265" t="s">
        <v>682</v>
      </c>
      <c r="B31" s="258" t="s">
        <v>2108</v>
      </c>
      <c r="C31" s="265" t="s">
        <v>2243</v>
      </c>
      <c r="D31" s="266">
        <v>140000</v>
      </c>
      <c r="E31" s="266">
        <v>0</v>
      </c>
      <c r="G31" s="260"/>
    </row>
    <row r="32" spans="1:7" s="257" customFormat="1" x14ac:dyDescent="0.25">
      <c r="A32" s="267" t="s">
        <v>682</v>
      </c>
      <c r="B32" s="268"/>
      <c r="C32" s="267"/>
      <c r="D32" s="269">
        <f t="shared" ref="D32:E32" si="7">SUM(D30:D31)</f>
        <v>430000</v>
      </c>
      <c r="E32" s="269">
        <f t="shared" si="7"/>
        <v>0</v>
      </c>
      <c r="G32" s="260"/>
    </row>
    <row r="33" spans="1:12" s="257" customFormat="1" ht="46.5" customHeight="1" x14ac:dyDescent="0.25">
      <c r="A33" s="265" t="s">
        <v>2244</v>
      </c>
      <c r="B33" s="258" t="s">
        <v>2108</v>
      </c>
      <c r="C33" s="265" t="s">
        <v>2245</v>
      </c>
      <c r="D33" s="266">
        <v>1600000</v>
      </c>
      <c r="E33" s="266">
        <v>0</v>
      </c>
      <c r="G33" s="260"/>
    </row>
    <row r="34" spans="1:12" s="257" customFormat="1" ht="27.6" x14ac:dyDescent="0.25">
      <c r="A34" s="265" t="s">
        <v>2244</v>
      </c>
      <c r="B34" s="258" t="s">
        <v>2108</v>
      </c>
      <c r="C34" s="265" t="s">
        <v>2246</v>
      </c>
      <c r="D34" s="266">
        <v>10000000</v>
      </c>
      <c r="E34" s="266">
        <v>0</v>
      </c>
      <c r="G34" s="260"/>
    </row>
    <row r="35" spans="1:12" s="257" customFormat="1" x14ac:dyDescent="0.25">
      <c r="A35" s="267" t="s">
        <v>2244</v>
      </c>
      <c r="B35" s="268"/>
      <c r="C35" s="267"/>
      <c r="D35" s="269">
        <f t="shared" ref="D35:E35" si="8">SUM(D33:D34)</f>
        <v>11600000</v>
      </c>
      <c r="E35" s="269">
        <f t="shared" si="8"/>
        <v>0</v>
      </c>
      <c r="G35" s="260"/>
    </row>
    <row r="36" spans="1:12" s="257" customFormat="1" ht="27.6" x14ac:dyDescent="0.25">
      <c r="A36" s="265" t="s">
        <v>2247</v>
      </c>
      <c r="B36" s="258" t="s">
        <v>2108</v>
      </c>
      <c r="C36" s="265" t="s">
        <v>2248</v>
      </c>
      <c r="D36" s="266">
        <v>120000</v>
      </c>
      <c r="E36" s="266">
        <v>0</v>
      </c>
      <c r="G36" s="260"/>
      <c r="H36" s="260"/>
      <c r="I36" s="260"/>
      <c r="J36" s="260"/>
      <c r="K36" s="260"/>
      <c r="L36" s="260"/>
    </row>
    <row r="37" spans="1:12" s="257" customFormat="1" ht="27.6" x14ac:dyDescent="0.25">
      <c r="A37" s="267" t="s">
        <v>2247</v>
      </c>
      <c r="B37" s="268"/>
      <c r="C37" s="267"/>
      <c r="D37" s="269">
        <f t="shared" ref="D37:E37" si="9">SUM(D36)</f>
        <v>120000</v>
      </c>
      <c r="E37" s="269">
        <f t="shared" si="9"/>
        <v>0</v>
      </c>
      <c r="G37" s="260"/>
      <c r="H37" s="260"/>
      <c r="I37" s="260"/>
      <c r="J37" s="260"/>
      <c r="K37" s="260"/>
      <c r="L37" s="260"/>
    </row>
    <row r="38" spans="1:12" ht="27.6" x14ac:dyDescent="0.25">
      <c r="A38" s="257" t="s">
        <v>904</v>
      </c>
      <c r="B38" s="258" t="s">
        <v>2108</v>
      </c>
      <c r="C38" s="208" t="s">
        <v>2249</v>
      </c>
      <c r="D38" s="270">
        <v>200000</v>
      </c>
      <c r="E38" s="270">
        <v>0</v>
      </c>
    </row>
    <row r="39" spans="1:12" ht="27.6" x14ac:dyDescent="0.25">
      <c r="A39" s="257" t="s">
        <v>904</v>
      </c>
      <c r="B39" s="258" t="s">
        <v>2108</v>
      </c>
      <c r="C39" s="208" t="s">
        <v>2250</v>
      </c>
      <c r="D39" s="270">
        <v>160000</v>
      </c>
      <c r="E39" s="270">
        <v>0</v>
      </c>
    </row>
    <row r="40" spans="1:12" x14ac:dyDescent="0.25">
      <c r="A40" s="257" t="s">
        <v>904</v>
      </c>
      <c r="B40" s="258" t="s">
        <v>2108</v>
      </c>
      <c r="C40" s="208" t="s">
        <v>2251</v>
      </c>
      <c r="D40" s="270">
        <v>300000</v>
      </c>
      <c r="E40" s="270">
        <v>0</v>
      </c>
    </row>
    <row r="41" spans="1:12" ht="27.6" x14ac:dyDescent="0.25">
      <c r="A41" s="257" t="s">
        <v>904</v>
      </c>
      <c r="B41" s="258" t="s">
        <v>2108</v>
      </c>
      <c r="C41" s="208" t="s">
        <v>2252</v>
      </c>
      <c r="D41" s="270">
        <v>210000</v>
      </c>
      <c r="E41" s="270">
        <v>0</v>
      </c>
    </row>
    <row r="42" spans="1:12" x14ac:dyDescent="0.25">
      <c r="A42" s="257" t="s">
        <v>904</v>
      </c>
      <c r="B42" s="258" t="s">
        <v>2108</v>
      </c>
      <c r="C42" s="208" t="s">
        <v>254</v>
      </c>
      <c r="D42" s="270">
        <v>120000</v>
      </c>
      <c r="E42" s="270">
        <v>0</v>
      </c>
    </row>
    <row r="43" spans="1:12" ht="27.6" x14ac:dyDescent="0.25">
      <c r="A43" s="257" t="s">
        <v>904</v>
      </c>
      <c r="B43" s="258" t="s">
        <v>2108</v>
      </c>
      <c r="C43" s="208" t="s">
        <v>2253</v>
      </c>
      <c r="D43" s="270">
        <v>25000</v>
      </c>
      <c r="E43" s="270">
        <v>0</v>
      </c>
    </row>
    <row r="44" spans="1:12" ht="27.6" x14ac:dyDescent="0.25">
      <c r="A44" s="257" t="s">
        <v>904</v>
      </c>
      <c r="B44" s="258" t="s">
        <v>2108</v>
      </c>
      <c r="C44" s="208" t="s">
        <v>2254</v>
      </c>
      <c r="D44" s="270">
        <v>40000</v>
      </c>
      <c r="E44" s="270">
        <v>0</v>
      </c>
    </row>
    <row r="45" spans="1:12" x14ac:dyDescent="0.25">
      <c r="A45" s="271" t="s">
        <v>904</v>
      </c>
      <c r="B45" s="268"/>
      <c r="C45" s="277"/>
      <c r="D45" s="284">
        <f t="shared" ref="D45:E45" si="10">SUM(D38:D44)</f>
        <v>1055000</v>
      </c>
      <c r="E45" s="284">
        <f t="shared" si="10"/>
        <v>0</v>
      </c>
    </row>
    <row r="46" spans="1:12" s="257" customFormat="1" x14ac:dyDescent="0.25">
      <c r="A46" s="285" t="s">
        <v>2188</v>
      </c>
      <c r="B46" s="279">
        <v>29</v>
      </c>
      <c r="C46" s="285"/>
      <c r="D46" s="278">
        <f t="shared" ref="D46:E46" si="11">D45+D37+D35+D32+D29+D26+D18+D15+D13+D11+D7</f>
        <v>23840000</v>
      </c>
      <c r="E46" s="278">
        <f t="shared" si="11"/>
        <v>0</v>
      </c>
      <c r="G46" s="260"/>
      <c r="H46" s="260"/>
      <c r="I46" s="260"/>
      <c r="J46" s="260"/>
      <c r="K46" s="260"/>
      <c r="L46" s="260"/>
    </row>
    <row r="47" spans="1:12" s="257" customFormat="1" x14ac:dyDescent="0.25">
      <c r="A47" s="257" t="s">
        <v>2230</v>
      </c>
      <c r="B47" s="258" t="s">
        <v>2048</v>
      </c>
      <c r="C47" s="259" t="s">
        <v>2255</v>
      </c>
      <c r="D47" s="276">
        <v>50000</v>
      </c>
      <c r="E47" s="276">
        <v>0</v>
      </c>
      <c r="F47" s="260"/>
    </row>
    <row r="48" spans="1:12" s="257" customFormat="1" x14ac:dyDescent="0.25">
      <c r="A48" s="257" t="s">
        <v>2230</v>
      </c>
      <c r="B48" s="258" t="s">
        <v>2048</v>
      </c>
      <c r="C48" s="259" t="s">
        <v>2256</v>
      </c>
      <c r="D48" s="276">
        <v>50000</v>
      </c>
      <c r="E48" s="276">
        <v>0</v>
      </c>
      <c r="F48" s="260"/>
    </row>
    <row r="49" spans="1:12" s="257" customFormat="1" ht="31.5" customHeight="1" x14ac:dyDescent="0.25">
      <c r="A49" s="257" t="s">
        <v>2230</v>
      </c>
      <c r="B49" s="258" t="s">
        <v>2048</v>
      </c>
      <c r="C49" s="259" t="s">
        <v>2257</v>
      </c>
      <c r="D49" s="276">
        <v>90000</v>
      </c>
      <c r="E49" s="276">
        <v>0</v>
      </c>
      <c r="F49" s="260"/>
    </row>
    <row r="50" spans="1:12" s="257" customFormat="1" ht="27.6" x14ac:dyDescent="0.25">
      <c r="A50" s="257" t="s">
        <v>2230</v>
      </c>
      <c r="B50" s="258" t="s">
        <v>2048</v>
      </c>
      <c r="C50" s="259" t="s">
        <v>2258</v>
      </c>
      <c r="D50" s="276">
        <v>100000</v>
      </c>
      <c r="E50" s="276">
        <v>0</v>
      </c>
      <c r="F50" s="260"/>
    </row>
    <row r="51" spans="1:12" s="257" customFormat="1" x14ac:dyDescent="0.25">
      <c r="A51" s="271" t="s">
        <v>2230</v>
      </c>
      <c r="B51" s="268"/>
      <c r="C51" s="277"/>
      <c r="D51" s="269">
        <f t="shared" ref="D51:E51" si="12">SUM(D47:D50)</f>
        <v>290000</v>
      </c>
      <c r="E51" s="269">
        <f t="shared" si="12"/>
        <v>0</v>
      </c>
      <c r="F51" s="260"/>
    </row>
    <row r="52" spans="1:12" s="257" customFormat="1" x14ac:dyDescent="0.25">
      <c r="A52" s="257" t="s">
        <v>682</v>
      </c>
      <c r="B52" s="258" t="s">
        <v>2048</v>
      </c>
      <c r="C52" s="259" t="s">
        <v>2259</v>
      </c>
      <c r="D52" s="276">
        <v>15000</v>
      </c>
      <c r="E52" s="276">
        <v>0</v>
      </c>
      <c r="F52" s="260"/>
      <c r="G52" s="260"/>
    </row>
    <row r="53" spans="1:12" s="257" customFormat="1" x14ac:dyDescent="0.25">
      <c r="A53" s="271" t="s">
        <v>682</v>
      </c>
      <c r="B53" s="268"/>
      <c r="C53" s="277"/>
      <c r="D53" s="269">
        <f t="shared" ref="D53:E53" si="13">SUM(D52)</f>
        <v>15000</v>
      </c>
      <c r="E53" s="269">
        <f t="shared" si="13"/>
        <v>0</v>
      </c>
      <c r="F53" s="260"/>
      <c r="G53" s="260"/>
    </row>
    <row r="54" spans="1:12" s="257" customFormat="1" x14ac:dyDescent="0.25">
      <c r="A54" s="257" t="s">
        <v>2260</v>
      </c>
      <c r="B54" s="258" t="s">
        <v>2048</v>
      </c>
      <c r="C54" s="259" t="s">
        <v>2261</v>
      </c>
      <c r="D54" s="276">
        <v>20000</v>
      </c>
      <c r="E54" s="276">
        <v>0</v>
      </c>
      <c r="F54" s="260"/>
      <c r="G54" s="260"/>
    </row>
    <row r="55" spans="1:12" s="257" customFormat="1" x14ac:dyDescent="0.25">
      <c r="A55" s="257" t="s">
        <v>2260</v>
      </c>
      <c r="B55" s="258" t="s">
        <v>2048</v>
      </c>
      <c r="C55" s="259" t="s">
        <v>254</v>
      </c>
      <c r="D55" s="276">
        <v>30000</v>
      </c>
      <c r="E55" s="276">
        <v>0</v>
      </c>
      <c r="F55" s="260"/>
      <c r="G55" s="260"/>
    </row>
    <row r="56" spans="1:12" s="257" customFormat="1" ht="27.6" x14ac:dyDescent="0.25">
      <c r="A56" s="257" t="s">
        <v>2260</v>
      </c>
      <c r="B56" s="258" t="s">
        <v>2048</v>
      </c>
      <c r="C56" s="259" t="s">
        <v>2262</v>
      </c>
      <c r="D56" s="276">
        <v>186331.18</v>
      </c>
      <c r="E56" s="276">
        <v>0</v>
      </c>
      <c r="F56" s="260"/>
      <c r="G56" s="260"/>
    </row>
    <row r="57" spans="1:12" s="257" customFormat="1" ht="27.6" x14ac:dyDescent="0.25">
      <c r="A57" s="257" t="s">
        <v>2260</v>
      </c>
      <c r="B57" s="258" t="s">
        <v>2048</v>
      </c>
      <c r="C57" s="259" t="s">
        <v>2263</v>
      </c>
      <c r="D57" s="276">
        <v>20000</v>
      </c>
      <c r="E57" s="276">
        <v>0</v>
      </c>
      <c r="F57" s="260"/>
      <c r="G57" s="260"/>
    </row>
    <row r="58" spans="1:12" s="257" customFormat="1" x14ac:dyDescent="0.25">
      <c r="A58" s="271" t="s">
        <v>2260</v>
      </c>
      <c r="B58" s="268"/>
      <c r="C58" s="277"/>
      <c r="D58" s="269">
        <f t="shared" ref="D58:E58" si="14">SUM(D54:D57)</f>
        <v>256331.18</v>
      </c>
      <c r="E58" s="269">
        <f t="shared" si="14"/>
        <v>0</v>
      </c>
      <c r="F58" s="260"/>
      <c r="G58" s="260"/>
    </row>
    <row r="59" spans="1:12" s="257" customFormat="1" ht="27.6" x14ac:dyDescent="0.25">
      <c r="A59" s="257" t="s">
        <v>2244</v>
      </c>
      <c r="B59" s="258" t="s">
        <v>2048</v>
      </c>
      <c r="C59" s="259" t="s">
        <v>2264</v>
      </c>
      <c r="D59" s="276">
        <v>80000</v>
      </c>
      <c r="E59" s="276">
        <v>0</v>
      </c>
      <c r="F59" s="260"/>
      <c r="G59" s="260"/>
      <c r="H59" s="260"/>
      <c r="I59" s="260"/>
      <c r="J59" s="260"/>
      <c r="K59" s="260"/>
      <c r="L59" s="260"/>
    </row>
    <row r="60" spans="1:12" s="257" customFormat="1" ht="27.6" x14ac:dyDescent="0.25">
      <c r="A60" s="257" t="s">
        <v>2244</v>
      </c>
      <c r="B60" s="258" t="s">
        <v>2048</v>
      </c>
      <c r="C60" s="259" t="s">
        <v>2265</v>
      </c>
      <c r="D60" s="276">
        <v>70000</v>
      </c>
      <c r="E60" s="276">
        <v>0</v>
      </c>
      <c r="F60" s="260"/>
      <c r="G60" s="260"/>
      <c r="H60" s="260"/>
      <c r="I60" s="260"/>
      <c r="J60" s="260"/>
      <c r="K60" s="260"/>
      <c r="L60" s="260"/>
    </row>
    <row r="61" spans="1:12" s="257" customFormat="1" x14ac:dyDescent="0.25">
      <c r="A61" s="257" t="s">
        <v>2244</v>
      </c>
      <c r="B61" s="258" t="s">
        <v>2048</v>
      </c>
      <c r="C61" s="257" t="s">
        <v>2266</v>
      </c>
      <c r="D61" s="276">
        <v>80000</v>
      </c>
      <c r="E61" s="276">
        <v>0</v>
      </c>
      <c r="F61" s="260"/>
      <c r="G61" s="260"/>
      <c r="H61" s="260"/>
      <c r="I61" s="260"/>
      <c r="J61" s="260"/>
      <c r="K61" s="260"/>
      <c r="L61" s="260"/>
    </row>
    <row r="62" spans="1:12" s="257" customFormat="1" ht="41.4" x14ac:dyDescent="0.25">
      <c r="A62" s="257" t="s">
        <v>2244</v>
      </c>
      <c r="B62" s="258" t="s">
        <v>2048</v>
      </c>
      <c r="C62" s="259" t="s">
        <v>2267</v>
      </c>
      <c r="D62" s="276">
        <v>45000</v>
      </c>
      <c r="E62" s="276">
        <v>0</v>
      </c>
      <c r="F62" s="260"/>
      <c r="G62" s="260"/>
      <c r="H62" s="260"/>
      <c r="I62" s="260"/>
      <c r="J62" s="260"/>
      <c r="K62" s="260"/>
      <c r="L62" s="260"/>
    </row>
    <row r="63" spans="1:12" s="257" customFormat="1" x14ac:dyDescent="0.25">
      <c r="A63" s="271" t="s">
        <v>2244</v>
      </c>
      <c r="B63" s="268"/>
      <c r="C63" s="277"/>
      <c r="D63" s="269">
        <f t="shared" ref="D63:E63" si="15">SUM(D59:D62)</f>
        <v>275000</v>
      </c>
      <c r="E63" s="269">
        <f t="shared" si="15"/>
        <v>0</v>
      </c>
      <c r="F63" s="260"/>
      <c r="G63" s="260"/>
      <c r="H63" s="260"/>
      <c r="I63" s="260"/>
      <c r="J63" s="260"/>
      <c r="K63" s="260"/>
      <c r="L63" s="260"/>
    </row>
    <row r="64" spans="1:12" s="257" customFormat="1" x14ac:dyDescent="0.25">
      <c r="A64" s="259" t="s">
        <v>2268</v>
      </c>
      <c r="B64" s="258" t="s">
        <v>2048</v>
      </c>
      <c r="C64" s="259" t="s">
        <v>2269</v>
      </c>
      <c r="D64" s="276">
        <v>48000</v>
      </c>
      <c r="E64" s="276">
        <v>0</v>
      </c>
      <c r="F64" s="260"/>
      <c r="G64" s="260"/>
      <c r="H64" s="260"/>
      <c r="I64" s="260"/>
      <c r="J64" s="260"/>
      <c r="K64" s="260"/>
      <c r="L64" s="260"/>
    </row>
    <row r="65" spans="1:12" s="257" customFormat="1" ht="27.6" x14ac:dyDescent="0.25">
      <c r="A65" s="259" t="s">
        <v>2268</v>
      </c>
      <c r="B65" s="258" t="s">
        <v>2048</v>
      </c>
      <c r="C65" s="259" t="s">
        <v>2270</v>
      </c>
      <c r="D65" s="276">
        <v>30000</v>
      </c>
      <c r="E65" s="276">
        <v>0</v>
      </c>
      <c r="F65" s="260"/>
      <c r="G65" s="260"/>
      <c r="H65" s="260"/>
      <c r="I65" s="260"/>
      <c r="J65" s="260"/>
      <c r="K65" s="260"/>
      <c r="L65" s="260"/>
    </row>
    <row r="66" spans="1:12" s="257" customFormat="1" ht="27.6" x14ac:dyDescent="0.25">
      <c r="A66" s="259" t="s">
        <v>2268</v>
      </c>
      <c r="B66" s="258" t="s">
        <v>2048</v>
      </c>
      <c r="C66" s="259" t="s">
        <v>2271</v>
      </c>
      <c r="D66" s="276">
        <v>56000</v>
      </c>
      <c r="E66" s="276">
        <v>0</v>
      </c>
      <c r="F66" s="260"/>
      <c r="G66" s="260"/>
      <c r="H66" s="260"/>
      <c r="I66" s="260"/>
      <c r="J66" s="260"/>
      <c r="K66" s="260"/>
      <c r="L66" s="260"/>
    </row>
    <row r="67" spans="1:12" s="257" customFormat="1" ht="27.6" x14ac:dyDescent="0.25">
      <c r="A67" s="259" t="s">
        <v>2268</v>
      </c>
      <c r="B67" s="258" t="s">
        <v>2048</v>
      </c>
      <c r="C67" s="259" t="s">
        <v>2272</v>
      </c>
      <c r="D67" s="276">
        <v>10000</v>
      </c>
      <c r="E67" s="276">
        <v>0</v>
      </c>
      <c r="F67" s="260"/>
      <c r="G67" s="260"/>
      <c r="H67" s="260"/>
      <c r="I67" s="260"/>
      <c r="J67" s="260"/>
      <c r="K67" s="260"/>
      <c r="L67" s="260"/>
    </row>
    <row r="68" spans="1:12" s="257" customFormat="1" ht="27.6" x14ac:dyDescent="0.25">
      <c r="A68" s="259" t="s">
        <v>2268</v>
      </c>
      <c r="B68" s="258" t="s">
        <v>2048</v>
      </c>
      <c r="C68" s="259" t="s">
        <v>2273</v>
      </c>
      <c r="D68" s="276">
        <v>160000</v>
      </c>
      <c r="E68" s="276">
        <v>0</v>
      </c>
      <c r="F68" s="260"/>
      <c r="G68" s="260"/>
      <c r="H68" s="260"/>
      <c r="I68" s="260"/>
      <c r="J68" s="260"/>
      <c r="K68" s="260"/>
      <c r="L68" s="260"/>
    </row>
    <row r="69" spans="1:12" s="257" customFormat="1" x14ac:dyDescent="0.25">
      <c r="A69" s="259" t="s">
        <v>2268</v>
      </c>
      <c r="B69" s="258" t="s">
        <v>2048</v>
      </c>
      <c r="C69" s="259" t="s">
        <v>2274</v>
      </c>
      <c r="D69" s="276">
        <v>70000</v>
      </c>
      <c r="E69" s="276">
        <v>0</v>
      </c>
      <c r="F69" s="260"/>
      <c r="G69" s="260"/>
      <c r="H69" s="260"/>
      <c r="I69" s="260"/>
      <c r="J69" s="260"/>
      <c r="K69" s="260"/>
      <c r="L69" s="260"/>
    </row>
    <row r="70" spans="1:12" s="257" customFormat="1" x14ac:dyDescent="0.25">
      <c r="A70" s="259" t="s">
        <v>2268</v>
      </c>
      <c r="B70" s="258" t="s">
        <v>2048</v>
      </c>
      <c r="C70" s="259" t="s">
        <v>254</v>
      </c>
      <c r="D70" s="276">
        <v>1000000</v>
      </c>
      <c r="E70" s="276">
        <v>0</v>
      </c>
      <c r="F70" s="260"/>
      <c r="G70" s="260"/>
      <c r="H70" s="260"/>
      <c r="I70" s="260"/>
      <c r="J70" s="260"/>
      <c r="K70" s="260"/>
      <c r="L70" s="260"/>
    </row>
    <row r="71" spans="1:12" s="257" customFormat="1" x14ac:dyDescent="0.25">
      <c r="A71" s="277" t="s">
        <v>2268</v>
      </c>
      <c r="B71" s="268"/>
      <c r="C71" s="277"/>
      <c r="D71" s="269">
        <f t="shared" ref="D71:E71" si="16">SUM(D64:D70)</f>
        <v>1374000</v>
      </c>
      <c r="E71" s="269">
        <f t="shared" si="16"/>
        <v>0</v>
      </c>
      <c r="F71" s="260"/>
      <c r="G71" s="260"/>
      <c r="H71" s="260"/>
      <c r="I71" s="260"/>
      <c r="J71" s="260"/>
      <c r="K71" s="260"/>
      <c r="L71" s="260"/>
    </row>
    <row r="72" spans="1:12" x14ac:dyDescent="0.25">
      <c r="A72" s="257" t="s">
        <v>904</v>
      </c>
      <c r="B72" s="258" t="s">
        <v>2048</v>
      </c>
      <c r="C72" s="259" t="s">
        <v>2275</v>
      </c>
      <c r="D72" s="276">
        <v>26000</v>
      </c>
      <c r="E72" s="276">
        <v>0</v>
      </c>
    </row>
    <row r="73" spans="1:12" ht="41.4" x14ac:dyDescent="0.25">
      <c r="A73" s="257" t="s">
        <v>904</v>
      </c>
      <c r="B73" s="258" t="s">
        <v>2048</v>
      </c>
      <c r="C73" s="259" t="s">
        <v>2276</v>
      </c>
      <c r="D73" s="276">
        <v>80000</v>
      </c>
      <c r="E73" s="276">
        <v>0</v>
      </c>
    </row>
    <row r="74" spans="1:12" ht="27.6" x14ac:dyDescent="0.25">
      <c r="A74" s="257" t="s">
        <v>904</v>
      </c>
      <c r="B74" s="258" t="s">
        <v>2048</v>
      </c>
      <c r="C74" s="259" t="s">
        <v>2277</v>
      </c>
      <c r="D74" s="276">
        <v>865000</v>
      </c>
      <c r="E74" s="276">
        <v>0</v>
      </c>
    </row>
    <row r="75" spans="1:12" ht="27.6" x14ac:dyDescent="0.25">
      <c r="A75" s="257" t="s">
        <v>904</v>
      </c>
      <c r="B75" s="258" t="s">
        <v>2048</v>
      </c>
      <c r="C75" s="259" t="s">
        <v>2278</v>
      </c>
      <c r="D75" s="276">
        <v>174000</v>
      </c>
      <c r="E75" s="276">
        <v>0</v>
      </c>
    </row>
    <row r="76" spans="1:12" ht="27.6" x14ac:dyDescent="0.25">
      <c r="A76" s="257" t="s">
        <v>904</v>
      </c>
      <c r="B76" s="258" t="s">
        <v>2048</v>
      </c>
      <c r="C76" s="259" t="s">
        <v>2279</v>
      </c>
      <c r="D76" s="276">
        <v>15000</v>
      </c>
      <c r="E76" s="276">
        <v>0</v>
      </c>
    </row>
    <row r="77" spans="1:12" ht="27.6" x14ac:dyDescent="0.25">
      <c r="A77" s="257" t="s">
        <v>904</v>
      </c>
      <c r="B77" s="258" t="s">
        <v>2048</v>
      </c>
      <c r="C77" s="259" t="s">
        <v>2280</v>
      </c>
      <c r="D77" s="276">
        <v>30000</v>
      </c>
      <c r="E77" s="276">
        <v>0</v>
      </c>
    </row>
    <row r="78" spans="1:12" x14ac:dyDescent="0.25">
      <c r="A78" s="271" t="s">
        <v>904</v>
      </c>
      <c r="B78" s="268"/>
      <c r="C78" s="277"/>
      <c r="D78" s="284">
        <f t="shared" ref="D78:E78" si="17">SUM(D72:D77)</f>
        <v>1190000</v>
      </c>
      <c r="E78" s="284">
        <f t="shared" si="17"/>
        <v>0</v>
      </c>
    </row>
    <row r="79" spans="1:12" s="257" customFormat="1" x14ac:dyDescent="0.25">
      <c r="A79" s="286" t="s">
        <v>2197</v>
      </c>
      <c r="B79" s="279">
        <v>26</v>
      </c>
      <c r="C79" s="286"/>
      <c r="D79" s="278">
        <f>D78+D71+D63+D58+D53+D51</f>
        <v>3400331.18</v>
      </c>
      <c r="E79" s="278">
        <f>E78+E71+E63+E58+E53+E51</f>
        <v>0</v>
      </c>
      <c r="F79" s="260"/>
      <c r="G79" s="260"/>
      <c r="H79" s="260"/>
      <c r="I79" s="260"/>
      <c r="J79" s="260"/>
      <c r="K79" s="260"/>
      <c r="L79" s="260"/>
    </row>
    <row r="80" spans="1:12" s="257" customFormat="1" ht="27.6" x14ac:dyDescent="0.25">
      <c r="A80" s="257" t="s">
        <v>2230</v>
      </c>
      <c r="B80" s="258" t="s">
        <v>2044</v>
      </c>
      <c r="C80" s="259" t="s">
        <v>2258</v>
      </c>
      <c r="D80" s="276">
        <v>48553</v>
      </c>
      <c r="E80" s="276">
        <v>0</v>
      </c>
      <c r="F80" s="260"/>
    </row>
    <row r="81" spans="1:12" s="257" customFormat="1" x14ac:dyDescent="0.25">
      <c r="A81" s="271" t="s">
        <v>2230</v>
      </c>
      <c r="B81" s="268"/>
      <c r="C81" s="277"/>
      <c r="D81" s="269">
        <f t="shared" ref="D81:E81" si="18">SUM(D80)</f>
        <v>48553</v>
      </c>
      <c r="E81" s="269">
        <f t="shared" si="18"/>
        <v>0</v>
      </c>
      <c r="F81" s="260"/>
    </row>
    <row r="82" spans="1:12" s="257" customFormat="1" ht="27.6" x14ac:dyDescent="0.25">
      <c r="A82" s="259" t="s">
        <v>2281</v>
      </c>
      <c r="B82" s="258" t="s">
        <v>2044</v>
      </c>
      <c r="C82" s="259" t="s">
        <v>2282</v>
      </c>
      <c r="D82" s="276">
        <v>114195</v>
      </c>
      <c r="E82" s="276">
        <v>0</v>
      </c>
      <c r="F82" s="260"/>
      <c r="G82" s="260"/>
    </row>
    <row r="83" spans="1:12" s="257" customFormat="1" x14ac:dyDescent="0.25">
      <c r="A83" s="271" t="s">
        <v>2334</v>
      </c>
      <c r="B83" s="268"/>
      <c r="C83" s="277"/>
      <c r="D83" s="269">
        <f t="shared" ref="D83:E83" si="19">SUM(D82)</f>
        <v>114195</v>
      </c>
      <c r="E83" s="269">
        <f t="shared" si="19"/>
        <v>0</v>
      </c>
      <c r="F83" s="260"/>
      <c r="G83" s="260"/>
    </row>
    <row r="84" spans="1:12" s="257" customFormat="1" x14ac:dyDescent="0.25">
      <c r="A84" s="257" t="s">
        <v>682</v>
      </c>
      <c r="B84" s="258" t="s">
        <v>2044</v>
      </c>
      <c r="C84" s="259" t="s">
        <v>2283</v>
      </c>
      <c r="D84" s="276">
        <v>111015</v>
      </c>
      <c r="E84" s="276">
        <v>0</v>
      </c>
      <c r="F84" s="260"/>
      <c r="G84" s="260"/>
    </row>
    <row r="85" spans="1:12" s="257" customFormat="1" x14ac:dyDescent="0.25">
      <c r="A85" s="271" t="s">
        <v>682</v>
      </c>
      <c r="B85" s="268"/>
      <c r="C85" s="277"/>
      <c r="D85" s="269">
        <f t="shared" ref="D85:E85" si="20">SUM(D84)</f>
        <v>111015</v>
      </c>
      <c r="E85" s="269">
        <f t="shared" si="20"/>
        <v>0</v>
      </c>
      <c r="F85" s="260"/>
      <c r="G85" s="260"/>
    </row>
    <row r="86" spans="1:12" s="257" customFormat="1" ht="27.6" x14ac:dyDescent="0.25">
      <c r="A86" s="257" t="s">
        <v>2260</v>
      </c>
      <c r="B86" s="258" t="s">
        <v>2044</v>
      </c>
      <c r="C86" s="259" t="s">
        <v>2262</v>
      </c>
      <c r="D86" s="276">
        <v>369645.13</v>
      </c>
      <c r="E86" s="276">
        <v>0</v>
      </c>
      <c r="F86" s="260"/>
      <c r="G86" s="260"/>
    </row>
    <row r="87" spans="1:12" s="257" customFormat="1" ht="41.4" x14ac:dyDescent="0.25">
      <c r="A87" s="257" t="s">
        <v>2260</v>
      </c>
      <c r="B87" s="258" t="s">
        <v>2044</v>
      </c>
      <c r="C87" s="259" t="s">
        <v>2284</v>
      </c>
      <c r="D87" s="276">
        <v>60000</v>
      </c>
      <c r="E87" s="276">
        <v>0</v>
      </c>
      <c r="F87" s="260"/>
      <c r="G87" s="260"/>
    </row>
    <row r="88" spans="1:12" s="257" customFormat="1" x14ac:dyDescent="0.25">
      <c r="A88" s="271" t="s">
        <v>2260</v>
      </c>
      <c r="B88" s="268"/>
      <c r="C88" s="277"/>
      <c r="D88" s="269">
        <f t="shared" ref="D88:E88" si="21">SUM(D86:D87)</f>
        <v>429645.13</v>
      </c>
      <c r="E88" s="269">
        <f t="shared" si="21"/>
        <v>0</v>
      </c>
      <c r="F88" s="260"/>
      <c r="G88" s="260"/>
    </row>
    <row r="89" spans="1:12" s="257" customFormat="1" ht="27.6" x14ac:dyDescent="0.25">
      <c r="A89" s="259" t="s">
        <v>2285</v>
      </c>
      <c r="B89" s="258" t="s">
        <v>2044</v>
      </c>
      <c r="C89" s="259" t="s">
        <v>2269</v>
      </c>
      <c r="D89" s="276">
        <v>20000</v>
      </c>
      <c r="E89" s="276">
        <v>0</v>
      </c>
      <c r="F89" s="260"/>
      <c r="G89" s="260"/>
      <c r="H89" s="260"/>
      <c r="I89" s="260"/>
      <c r="J89" s="260"/>
      <c r="K89" s="260"/>
      <c r="L89" s="260"/>
    </row>
    <row r="90" spans="1:12" s="257" customFormat="1" ht="27.6" x14ac:dyDescent="0.25">
      <c r="A90" s="277" t="s">
        <v>2285</v>
      </c>
      <c r="B90" s="268"/>
      <c r="C90" s="277"/>
      <c r="D90" s="269">
        <f t="shared" ref="D90:E90" si="22">SUM(D89)</f>
        <v>20000</v>
      </c>
      <c r="E90" s="269">
        <f t="shared" si="22"/>
        <v>0</v>
      </c>
      <c r="F90" s="260"/>
      <c r="G90" s="260"/>
      <c r="H90" s="260"/>
      <c r="I90" s="260"/>
      <c r="J90" s="260"/>
      <c r="K90" s="260"/>
      <c r="L90" s="260"/>
    </row>
    <row r="91" spans="1:12" s="257" customFormat="1" x14ac:dyDescent="0.25">
      <c r="A91" s="259" t="s">
        <v>2268</v>
      </c>
      <c r="B91" s="258" t="s">
        <v>2044</v>
      </c>
      <c r="C91" s="259" t="s">
        <v>254</v>
      </c>
      <c r="D91" s="276">
        <v>77408.75</v>
      </c>
      <c r="E91" s="276">
        <v>0</v>
      </c>
      <c r="F91" s="260"/>
      <c r="G91" s="260"/>
      <c r="H91" s="260"/>
      <c r="I91" s="260"/>
      <c r="J91" s="260"/>
      <c r="K91" s="260"/>
      <c r="L91" s="260"/>
    </row>
    <row r="92" spans="1:12" s="257" customFormat="1" x14ac:dyDescent="0.25">
      <c r="A92" s="277" t="s">
        <v>2268</v>
      </c>
      <c r="B92" s="268"/>
      <c r="C92" s="277"/>
      <c r="D92" s="269">
        <f t="shared" ref="D92:E92" si="23">SUM(D91)</f>
        <v>77408.75</v>
      </c>
      <c r="E92" s="269">
        <f t="shared" si="23"/>
        <v>0</v>
      </c>
      <c r="F92" s="260"/>
      <c r="G92" s="260"/>
      <c r="H92" s="260"/>
      <c r="I92" s="260"/>
      <c r="J92" s="260"/>
      <c r="K92" s="260"/>
      <c r="L92" s="260"/>
    </row>
    <row r="93" spans="1:12" s="257" customFormat="1" x14ac:dyDescent="0.25">
      <c r="A93" s="286" t="s">
        <v>2205</v>
      </c>
      <c r="B93" s="279">
        <v>7</v>
      </c>
      <c r="C93" s="286"/>
      <c r="D93" s="278">
        <f t="shared" ref="D93:E93" si="24">D92+D90+D88+D85+D83+D81</f>
        <v>800816.88</v>
      </c>
      <c r="E93" s="278">
        <f t="shared" si="24"/>
        <v>0</v>
      </c>
      <c r="F93" s="260"/>
      <c r="G93" s="260"/>
      <c r="H93" s="260"/>
      <c r="I93" s="260"/>
      <c r="J93" s="260"/>
      <c r="K93" s="260"/>
      <c r="L93" s="260"/>
    </row>
    <row r="94" spans="1:12" s="257" customFormat="1" ht="41.4" x14ac:dyDescent="0.25">
      <c r="A94" s="257" t="s">
        <v>66</v>
      </c>
      <c r="B94" s="258" t="s">
        <v>2042</v>
      </c>
      <c r="C94" s="259" t="s">
        <v>2286</v>
      </c>
      <c r="D94" s="276">
        <v>80000</v>
      </c>
      <c r="E94" s="276">
        <v>0</v>
      </c>
      <c r="F94" s="260"/>
      <c r="G94" s="260"/>
    </row>
    <row r="95" spans="1:12" s="257" customFormat="1" x14ac:dyDescent="0.25">
      <c r="A95" s="271" t="s">
        <v>66</v>
      </c>
      <c r="B95" s="268"/>
      <c r="C95" s="277"/>
      <c r="D95" s="269">
        <f t="shared" ref="D95:E95" si="25">SUM(D94)</f>
        <v>80000</v>
      </c>
      <c r="E95" s="269">
        <f t="shared" si="25"/>
        <v>0</v>
      </c>
      <c r="F95" s="260"/>
      <c r="G95" s="260"/>
    </row>
    <row r="96" spans="1:12" s="257" customFormat="1" ht="41.4" x14ac:dyDescent="0.25">
      <c r="A96" s="257" t="s">
        <v>682</v>
      </c>
      <c r="B96" s="258" t="s">
        <v>2042</v>
      </c>
      <c r="C96" s="259" t="s">
        <v>2287</v>
      </c>
      <c r="D96" s="276">
        <v>74585</v>
      </c>
      <c r="E96" s="276">
        <v>0</v>
      </c>
      <c r="F96" s="260"/>
      <c r="G96" s="260"/>
    </row>
    <row r="97" spans="1:12" s="257" customFormat="1" x14ac:dyDescent="0.25">
      <c r="A97" s="271" t="s">
        <v>682</v>
      </c>
      <c r="B97" s="268"/>
      <c r="C97" s="277"/>
      <c r="D97" s="269">
        <f t="shared" ref="D97:E97" si="26">SUM(D96)</f>
        <v>74585</v>
      </c>
      <c r="E97" s="269">
        <f t="shared" si="26"/>
        <v>0</v>
      </c>
      <c r="F97" s="260"/>
      <c r="G97" s="260"/>
    </row>
    <row r="98" spans="1:12" s="257" customFormat="1" ht="27.6" x14ac:dyDescent="0.25">
      <c r="A98" s="257" t="s">
        <v>2260</v>
      </c>
      <c r="B98" s="258" t="s">
        <v>2042</v>
      </c>
      <c r="C98" s="259" t="s">
        <v>2262</v>
      </c>
      <c r="D98" s="276">
        <v>258636.52</v>
      </c>
      <c r="E98" s="276">
        <v>0</v>
      </c>
      <c r="F98" s="260"/>
      <c r="G98" s="260"/>
    </row>
    <row r="99" spans="1:12" s="257" customFormat="1" x14ac:dyDescent="0.25">
      <c r="A99" s="271" t="s">
        <v>2260</v>
      </c>
      <c r="B99" s="268"/>
      <c r="C99" s="277"/>
      <c r="D99" s="269">
        <f t="shared" ref="D99:E99" si="27">SUM(D98)</f>
        <v>258636.52</v>
      </c>
      <c r="E99" s="269">
        <f t="shared" si="27"/>
        <v>0</v>
      </c>
      <c r="F99" s="260"/>
      <c r="G99" s="260"/>
    </row>
    <row r="100" spans="1:12" s="257" customFormat="1" ht="27.6" x14ac:dyDescent="0.25">
      <c r="A100" s="257" t="s">
        <v>2244</v>
      </c>
      <c r="B100" s="258" t="s">
        <v>2042</v>
      </c>
      <c r="C100" s="259" t="s">
        <v>2288</v>
      </c>
      <c r="D100" s="276">
        <v>239123.14</v>
      </c>
      <c r="E100" s="276">
        <v>0</v>
      </c>
      <c r="F100" s="260"/>
      <c r="G100" s="260"/>
    </row>
    <row r="101" spans="1:12" s="257" customFormat="1" ht="55.2" x14ac:dyDescent="0.25">
      <c r="A101" s="257" t="s">
        <v>2244</v>
      </c>
      <c r="B101" s="258" t="s">
        <v>2042</v>
      </c>
      <c r="C101" s="259" t="s">
        <v>2289</v>
      </c>
      <c r="D101" s="276">
        <v>70000</v>
      </c>
      <c r="E101" s="276">
        <v>0</v>
      </c>
      <c r="F101" s="260"/>
      <c r="G101" s="260"/>
      <c r="H101" s="260"/>
      <c r="I101" s="260"/>
      <c r="J101" s="260"/>
      <c r="K101" s="260"/>
      <c r="L101" s="260"/>
    </row>
    <row r="102" spans="1:12" s="257" customFormat="1" ht="41.4" x14ac:dyDescent="0.25">
      <c r="A102" s="257" t="s">
        <v>2244</v>
      </c>
      <c r="B102" s="258" t="s">
        <v>2042</v>
      </c>
      <c r="C102" s="259" t="s">
        <v>2290</v>
      </c>
      <c r="D102" s="276">
        <v>66240</v>
      </c>
      <c r="E102" s="276">
        <v>0</v>
      </c>
      <c r="F102" s="260"/>
      <c r="G102" s="260"/>
      <c r="H102" s="260"/>
      <c r="I102" s="260"/>
      <c r="J102" s="260"/>
      <c r="K102" s="260"/>
      <c r="L102" s="260"/>
    </row>
    <row r="103" spans="1:12" s="257" customFormat="1" ht="41.4" x14ac:dyDescent="0.25">
      <c r="A103" s="257" t="s">
        <v>2244</v>
      </c>
      <c r="B103" s="258" t="s">
        <v>2042</v>
      </c>
      <c r="C103" s="259" t="s">
        <v>2291</v>
      </c>
      <c r="D103" s="276">
        <v>35000</v>
      </c>
      <c r="E103" s="276">
        <v>0</v>
      </c>
      <c r="F103" s="260"/>
      <c r="G103" s="260"/>
      <c r="H103" s="260"/>
      <c r="I103" s="260"/>
      <c r="J103" s="260"/>
      <c r="K103" s="260"/>
      <c r="L103" s="260"/>
    </row>
    <row r="104" spans="1:12" s="257" customFormat="1" ht="27.6" x14ac:dyDescent="0.25">
      <c r="A104" s="257" t="s">
        <v>2244</v>
      </c>
      <c r="B104" s="258" t="s">
        <v>2042</v>
      </c>
      <c r="C104" s="259" t="s">
        <v>2292</v>
      </c>
      <c r="D104" s="276">
        <v>35000</v>
      </c>
      <c r="E104" s="276">
        <v>0</v>
      </c>
      <c r="F104" s="260"/>
      <c r="G104" s="260"/>
      <c r="H104" s="260"/>
      <c r="I104" s="260"/>
      <c r="J104" s="260"/>
      <c r="K104" s="260"/>
      <c r="L104" s="260"/>
    </row>
    <row r="105" spans="1:12" s="257" customFormat="1" ht="27.6" x14ac:dyDescent="0.25">
      <c r="A105" s="257" t="s">
        <v>2244</v>
      </c>
      <c r="B105" s="258" t="s">
        <v>2042</v>
      </c>
      <c r="C105" s="259" t="s">
        <v>2293</v>
      </c>
      <c r="D105" s="276">
        <v>32420</v>
      </c>
      <c r="E105" s="276">
        <v>0</v>
      </c>
      <c r="F105" s="260"/>
      <c r="G105" s="260"/>
      <c r="H105" s="260"/>
      <c r="I105" s="260"/>
      <c r="J105" s="260"/>
      <c r="K105" s="260"/>
      <c r="L105" s="260"/>
    </row>
    <row r="106" spans="1:12" s="257" customFormat="1" ht="41.4" x14ac:dyDescent="0.25">
      <c r="A106" s="257" t="s">
        <v>2244</v>
      </c>
      <c r="B106" s="258" t="s">
        <v>2042</v>
      </c>
      <c r="C106" s="259" t="s">
        <v>2294</v>
      </c>
      <c r="D106" s="276">
        <v>50000</v>
      </c>
      <c r="E106" s="276">
        <v>0</v>
      </c>
      <c r="F106" s="260"/>
      <c r="G106" s="260"/>
      <c r="H106" s="260"/>
      <c r="I106" s="260"/>
      <c r="J106" s="260"/>
      <c r="K106" s="260"/>
      <c r="L106" s="260"/>
    </row>
    <row r="107" spans="1:12" s="257" customFormat="1" ht="27.6" x14ac:dyDescent="0.25">
      <c r="A107" s="257" t="s">
        <v>2244</v>
      </c>
      <c r="B107" s="258" t="s">
        <v>2042</v>
      </c>
      <c r="C107" s="259" t="s">
        <v>2295</v>
      </c>
      <c r="D107" s="276">
        <v>40000</v>
      </c>
      <c r="E107" s="276">
        <v>0</v>
      </c>
      <c r="F107" s="260"/>
      <c r="G107" s="260"/>
      <c r="H107" s="260"/>
      <c r="I107" s="260"/>
      <c r="J107" s="260"/>
      <c r="K107" s="260"/>
      <c r="L107" s="260"/>
    </row>
    <row r="108" spans="1:12" s="257" customFormat="1" x14ac:dyDescent="0.25">
      <c r="A108" s="271" t="s">
        <v>2244</v>
      </c>
      <c r="B108" s="268"/>
      <c r="C108" s="277"/>
      <c r="D108" s="269">
        <f t="shared" ref="D108:E108" si="28">SUM(D100:D107)</f>
        <v>567783.14</v>
      </c>
      <c r="E108" s="269">
        <f t="shared" si="28"/>
        <v>0</v>
      </c>
      <c r="F108" s="260"/>
      <c r="G108" s="260"/>
      <c r="H108" s="260"/>
      <c r="I108" s="260"/>
      <c r="J108" s="260"/>
      <c r="K108" s="260"/>
      <c r="L108" s="260"/>
    </row>
    <row r="109" spans="1:12" s="257" customFormat="1" ht="55.2" x14ac:dyDescent="0.25">
      <c r="A109" s="259" t="s">
        <v>2268</v>
      </c>
      <c r="B109" s="258" t="s">
        <v>2042</v>
      </c>
      <c r="C109" s="259" t="s">
        <v>2296</v>
      </c>
      <c r="D109" s="276">
        <v>1500000</v>
      </c>
      <c r="E109" s="276">
        <v>0</v>
      </c>
      <c r="F109" s="260"/>
      <c r="G109" s="260"/>
      <c r="H109" s="260"/>
      <c r="I109" s="260"/>
      <c r="J109" s="260"/>
      <c r="K109" s="260"/>
      <c r="L109" s="260"/>
    </row>
    <row r="110" spans="1:12" s="257" customFormat="1" ht="27.6" x14ac:dyDescent="0.25">
      <c r="A110" s="259" t="s">
        <v>2268</v>
      </c>
      <c r="B110" s="258" t="s">
        <v>2042</v>
      </c>
      <c r="C110" s="259" t="s">
        <v>2297</v>
      </c>
      <c r="D110" s="276">
        <v>33000</v>
      </c>
      <c r="E110" s="276">
        <v>0</v>
      </c>
      <c r="F110" s="260"/>
      <c r="G110" s="260"/>
      <c r="H110" s="260"/>
      <c r="I110" s="260"/>
      <c r="J110" s="260"/>
      <c r="K110" s="260"/>
      <c r="L110" s="260"/>
    </row>
    <row r="111" spans="1:12" s="257" customFormat="1" x14ac:dyDescent="0.25">
      <c r="A111" s="277" t="s">
        <v>2268</v>
      </c>
      <c r="B111" s="268"/>
      <c r="C111" s="277"/>
      <c r="D111" s="269">
        <f>SUM(D109:D110)</f>
        <v>1533000</v>
      </c>
      <c r="E111" s="269">
        <f>SUM(E109:E110)</f>
        <v>0</v>
      </c>
      <c r="F111" s="260"/>
      <c r="G111" s="260"/>
      <c r="H111" s="260"/>
      <c r="I111" s="260"/>
      <c r="J111" s="260"/>
      <c r="K111" s="260"/>
      <c r="L111" s="260"/>
    </row>
    <row r="112" spans="1:12" s="257" customFormat="1" x14ac:dyDescent="0.25">
      <c r="A112" s="286" t="s">
        <v>2214</v>
      </c>
      <c r="B112" s="279">
        <v>13</v>
      </c>
      <c r="C112" s="286"/>
      <c r="D112" s="278">
        <f t="shared" ref="D112:E112" si="29">D111+D108+D99+D97+D95</f>
        <v>2514004.66</v>
      </c>
      <c r="E112" s="278">
        <f t="shared" si="29"/>
        <v>0</v>
      </c>
      <c r="F112" s="260"/>
      <c r="G112" s="260"/>
      <c r="H112" s="260"/>
      <c r="I112" s="260"/>
      <c r="J112" s="260"/>
      <c r="K112" s="260"/>
      <c r="L112" s="260"/>
    </row>
    <row r="113" spans="1:7" s="257" customFormat="1" ht="27.6" x14ac:dyDescent="0.25">
      <c r="A113" s="257" t="s">
        <v>2138</v>
      </c>
      <c r="B113" s="258" t="s">
        <v>2039</v>
      </c>
      <c r="C113" s="259" t="s">
        <v>2298</v>
      </c>
      <c r="D113" s="276">
        <v>50000</v>
      </c>
      <c r="E113" s="276">
        <v>0</v>
      </c>
      <c r="F113" s="260"/>
    </row>
    <row r="114" spans="1:7" s="257" customFormat="1" x14ac:dyDescent="0.25">
      <c r="A114" s="271" t="s">
        <v>2138</v>
      </c>
      <c r="B114" s="268"/>
      <c r="C114" s="277"/>
      <c r="D114" s="269">
        <f t="shared" ref="D114:E114" si="30">SUM(D113)</f>
        <v>50000</v>
      </c>
      <c r="E114" s="269">
        <f t="shared" si="30"/>
        <v>0</v>
      </c>
      <c r="F114" s="260"/>
    </row>
    <row r="115" spans="1:7" s="257" customFormat="1" ht="27.6" x14ac:dyDescent="0.25">
      <c r="A115" s="257" t="s">
        <v>1000</v>
      </c>
      <c r="B115" s="258" t="s">
        <v>2039</v>
      </c>
      <c r="C115" s="259" t="s">
        <v>2299</v>
      </c>
      <c r="D115" s="276">
        <v>20000</v>
      </c>
      <c r="E115" s="276">
        <v>0</v>
      </c>
      <c r="F115" s="260"/>
    </row>
    <row r="116" spans="1:7" s="257" customFormat="1" x14ac:dyDescent="0.25">
      <c r="A116" s="257" t="s">
        <v>1000</v>
      </c>
      <c r="B116" s="258" t="s">
        <v>2039</v>
      </c>
      <c r="C116" s="259" t="s">
        <v>2300</v>
      </c>
      <c r="D116" s="276">
        <v>65000</v>
      </c>
      <c r="E116" s="276">
        <v>0</v>
      </c>
      <c r="F116" s="260"/>
    </row>
    <row r="117" spans="1:7" s="257" customFormat="1" x14ac:dyDescent="0.25">
      <c r="A117" s="271" t="s">
        <v>1000</v>
      </c>
      <c r="B117" s="268"/>
      <c r="C117" s="277"/>
      <c r="D117" s="269">
        <f t="shared" ref="D117:E117" si="31">SUM(D115:D116)</f>
        <v>85000</v>
      </c>
      <c r="E117" s="269">
        <f t="shared" si="31"/>
        <v>0</v>
      </c>
      <c r="F117" s="260"/>
    </row>
    <row r="118" spans="1:7" s="257" customFormat="1" x14ac:dyDescent="0.25">
      <c r="A118" s="257" t="s">
        <v>66</v>
      </c>
      <c r="B118" s="258" t="s">
        <v>2039</v>
      </c>
      <c r="C118" s="259" t="s">
        <v>2301</v>
      </c>
      <c r="D118" s="276">
        <v>20000</v>
      </c>
      <c r="E118" s="276">
        <v>0</v>
      </c>
      <c r="F118" s="260"/>
      <c r="G118" s="260"/>
    </row>
    <row r="119" spans="1:7" s="257" customFormat="1" x14ac:dyDescent="0.25">
      <c r="A119" s="271" t="s">
        <v>66</v>
      </c>
      <c r="B119" s="268"/>
      <c r="C119" s="277"/>
      <c r="D119" s="269">
        <f t="shared" ref="D119:E119" si="32">SUM(D118)</f>
        <v>20000</v>
      </c>
      <c r="E119" s="269">
        <f t="shared" si="32"/>
        <v>0</v>
      </c>
      <c r="F119" s="260"/>
      <c r="G119" s="260"/>
    </row>
    <row r="120" spans="1:7" s="257" customFormat="1" ht="27.6" x14ac:dyDescent="0.25">
      <c r="A120" s="259" t="s">
        <v>2281</v>
      </c>
      <c r="B120" s="258" t="s">
        <v>2039</v>
      </c>
      <c r="C120" s="259" t="s">
        <v>254</v>
      </c>
      <c r="D120" s="276">
        <v>75233.39</v>
      </c>
      <c r="E120" s="276">
        <v>0</v>
      </c>
      <c r="F120" s="260"/>
      <c r="G120" s="260"/>
    </row>
    <row r="121" spans="1:7" s="257" customFormat="1" x14ac:dyDescent="0.25">
      <c r="A121" s="271" t="s">
        <v>2334</v>
      </c>
      <c r="B121" s="268"/>
      <c r="C121" s="277"/>
      <c r="D121" s="269">
        <f t="shared" ref="D121:E121" si="33">SUM(D120)</f>
        <v>75233.39</v>
      </c>
      <c r="E121" s="269">
        <f t="shared" si="33"/>
        <v>0</v>
      </c>
      <c r="F121" s="260"/>
      <c r="G121" s="260"/>
    </row>
    <row r="122" spans="1:7" s="257" customFormat="1" ht="27.6" x14ac:dyDescent="0.25">
      <c r="A122" s="257" t="s">
        <v>2260</v>
      </c>
      <c r="B122" s="258" t="s">
        <v>2039</v>
      </c>
      <c r="C122" s="259" t="s">
        <v>2262</v>
      </c>
      <c r="D122" s="276">
        <v>526877.25</v>
      </c>
      <c r="E122" s="276">
        <v>0</v>
      </c>
      <c r="F122" s="260"/>
      <c r="G122" s="260"/>
    </row>
    <row r="123" spans="1:7" s="257" customFormat="1" x14ac:dyDescent="0.25">
      <c r="A123" s="271" t="s">
        <v>2260</v>
      </c>
      <c r="B123" s="268"/>
      <c r="C123" s="277"/>
      <c r="D123" s="269">
        <f t="shared" ref="D123:E123" si="34">SUM(D122)</f>
        <v>526877.25</v>
      </c>
      <c r="E123" s="269">
        <f t="shared" si="34"/>
        <v>0</v>
      </c>
      <c r="F123" s="260"/>
      <c r="G123" s="260"/>
    </row>
    <row r="124" spans="1:7" s="257" customFormat="1" ht="27.6" x14ac:dyDescent="0.25">
      <c r="A124" s="257" t="s">
        <v>2244</v>
      </c>
      <c r="B124" s="258" t="s">
        <v>2039</v>
      </c>
      <c r="C124" s="259" t="s">
        <v>2302</v>
      </c>
      <c r="D124" s="276">
        <v>25000</v>
      </c>
      <c r="E124" s="276">
        <v>0</v>
      </c>
      <c r="F124" s="260"/>
      <c r="G124" s="260"/>
    </row>
    <row r="125" spans="1:7" s="257" customFormat="1" ht="27.6" x14ac:dyDescent="0.25">
      <c r="A125" s="257" t="s">
        <v>2244</v>
      </c>
      <c r="B125" s="258" t="s">
        <v>2039</v>
      </c>
      <c r="C125" s="259" t="s">
        <v>2288</v>
      </c>
      <c r="D125" s="276">
        <v>5000000</v>
      </c>
      <c r="E125" s="276">
        <v>0</v>
      </c>
      <c r="F125" s="260"/>
      <c r="G125" s="260"/>
    </row>
    <row r="126" spans="1:7" s="257" customFormat="1" ht="41.4" x14ac:dyDescent="0.25">
      <c r="A126" s="257" t="s">
        <v>2244</v>
      </c>
      <c r="B126" s="258" t="s">
        <v>2039</v>
      </c>
      <c r="C126" s="259" t="s">
        <v>2303</v>
      </c>
      <c r="D126" s="276">
        <v>20000</v>
      </c>
      <c r="E126" s="276">
        <v>0</v>
      </c>
      <c r="F126" s="260"/>
      <c r="G126" s="260"/>
    </row>
    <row r="127" spans="1:7" s="257" customFormat="1" ht="41.4" x14ac:dyDescent="0.25">
      <c r="A127" s="257" t="s">
        <v>2244</v>
      </c>
      <c r="B127" s="258" t="s">
        <v>2039</v>
      </c>
      <c r="C127" s="259" t="s">
        <v>2304</v>
      </c>
      <c r="D127" s="276">
        <v>15000</v>
      </c>
      <c r="E127" s="276">
        <v>0</v>
      </c>
      <c r="F127" s="260"/>
      <c r="G127" s="260"/>
    </row>
    <row r="128" spans="1:7" s="257" customFormat="1" ht="41.4" x14ac:dyDescent="0.25">
      <c r="A128" s="257" t="s">
        <v>2244</v>
      </c>
      <c r="B128" s="258" t="s">
        <v>2039</v>
      </c>
      <c r="C128" s="259" t="s">
        <v>2305</v>
      </c>
      <c r="D128" s="276">
        <v>30000</v>
      </c>
      <c r="E128" s="276">
        <v>0</v>
      </c>
      <c r="F128" s="260"/>
      <c r="G128" s="260"/>
    </row>
    <row r="129" spans="1:7" s="257" customFormat="1" ht="27.6" x14ac:dyDescent="0.25">
      <c r="A129" s="257" t="s">
        <v>2244</v>
      </c>
      <c r="B129" s="258" t="s">
        <v>2039</v>
      </c>
      <c r="C129" s="259" t="s">
        <v>2306</v>
      </c>
      <c r="D129" s="276">
        <v>42420</v>
      </c>
      <c r="E129" s="276">
        <v>0</v>
      </c>
      <c r="F129" s="260"/>
      <c r="G129" s="260"/>
    </row>
    <row r="130" spans="1:7" s="257" customFormat="1" ht="41.4" x14ac:dyDescent="0.25">
      <c r="A130" s="257" t="s">
        <v>2244</v>
      </c>
      <c r="B130" s="258" t="s">
        <v>2039</v>
      </c>
      <c r="C130" s="259" t="s">
        <v>2307</v>
      </c>
      <c r="D130" s="276">
        <v>35000</v>
      </c>
      <c r="E130" s="276">
        <v>0</v>
      </c>
      <c r="F130" s="260"/>
      <c r="G130" s="260"/>
    </row>
    <row r="131" spans="1:7" s="257" customFormat="1" x14ac:dyDescent="0.25">
      <c r="A131" s="271" t="s">
        <v>2244</v>
      </c>
      <c r="B131" s="268"/>
      <c r="C131" s="277"/>
      <c r="D131" s="269">
        <f t="shared" ref="D131:E131" si="35">SUM(D124:D130)</f>
        <v>5167420</v>
      </c>
      <c r="E131" s="269">
        <f t="shared" si="35"/>
        <v>0</v>
      </c>
      <c r="F131" s="260"/>
      <c r="G131" s="260"/>
    </row>
    <row r="132" spans="1:7" s="257" customFormat="1" x14ac:dyDescent="0.25">
      <c r="A132" s="274" t="s">
        <v>2216</v>
      </c>
      <c r="B132" s="279">
        <v>13</v>
      </c>
      <c r="C132" s="286"/>
      <c r="D132" s="278">
        <f t="shared" ref="D132:E132" si="36">D131+D123+D121+D119+D117+D114</f>
        <v>5924530.6399999997</v>
      </c>
      <c r="E132" s="278">
        <f t="shared" si="36"/>
        <v>0</v>
      </c>
      <c r="F132" s="260"/>
      <c r="G132" s="260"/>
    </row>
    <row r="133" spans="1:7" s="257" customFormat="1" ht="41.4" x14ac:dyDescent="0.25">
      <c r="A133" s="257" t="s">
        <v>2227</v>
      </c>
      <c r="B133" s="258" t="s">
        <v>2036</v>
      </c>
      <c r="C133" s="259" t="s">
        <v>2308</v>
      </c>
      <c r="D133" s="276">
        <v>15000</v>
      </c>
      <c r="E133" s="276">
        <v>0</v>
      </c>
      <c r="F133" s="260"/>
    </row>
    <row r="134" spans="1:7" s="257" customFormat="1" ht="27.6" x14ac:dyDescent="0.25">
      <c r="A134" s="257" t="s">
        <v>2227</v>
      </c>
      <c r="B134" s="258" t="s">
        <v>2036</v>
      </c>
      <c r="C134" s="259" t="s">
        <v>2309</v>
      </c>
      <c r="D134" s="276">
        <v>20000</v>
      </c>
      <c r="E134" s="276">
        <v>0</v>
      </c>
      <c r="F134" s="260"/>
    </row>
    <row r="135" spans="1:7" s="257" customFormat="1" x14ac:dyDescent="0.25">
      <c r="A135" s="271" t="s">
        <v>2227</v>
      </c>
      <c r="B135" s="268"/>
      <c r="C135" s="277"/>
      <c r="D135" s="269">
        <f t="shared" ref="D135:E135" si="37">SUM(D133:D134)</f>
        <v>35000</v>
      </c>
      <c r="E135" s="269">
        <f t="shared" si="37"/>
        <v>0</v>
      </c>
      <c r="F135" s="260"/>
    </row>
    <row r="136" spans="1:7" s="257" customFormat="1" ht="27.6" x14ac:dyDescent="0.25">
      <c r="A136" s="257" t="s">
        <v>2260</v>
      </c>
      <c r="B136" s="258" t="s">
        <v>2036</v>
      </c>
      <c r="C136" s="259" t="s">
        <v>2262</v>
      </c>
      <c r="D136" s="276">
        <v>211921.26</v>
      </c>
      <c r="E136" s="276">
        <v>0</v>
      </c>
      <c r="F136" s="260"/>
      <c r="G136" s="260"/>
    </row>
    <row r="137" spans="1:7" s="257" customFormat="1" x14ac:dyDescent="0.25">
      <c r="A137" s="271" t="s">
        <v>2260</v>
      </c>
      <c r="B137" s="268"/>
      <c r="C137" s="277"/>
      <c r="D137" s="269">
        <f t="shared" ref="D137:E137" si="38">SUM(D136)</f>
        <v>211921.26</v>
      </c>
      <c r="E137" s="269">
        <f t="shared" si="38"/>
        <v>0</v>
      </c>
      <c r="F137" s="260"/>
      <c r="G137" s="260"/>
    </row>
    <row r="138" spans="1:7" s="257" customFormat="1" x14ac:dyDescent="0.25">
      <c r="A138" s="257" t="s">
        <v>21</v>
      </c>
      <c r="B138" s="258" t="s">
        <v>2036</v>
      </c>
      <c r="C138" s="259" t="s">
        <v>2248</v>
      </c>
      <c r="D138" s="276">
        <v>75000</v>
      </c>
      <c r="E138" s="276">
        <v>0</v>
      </c>
      <c r="F138" s="260"/>
      <c r="G138" s="260"/>
    </row>
    <row r="139" spans="1:7" s="257" customFormat="1" x14ac:dyDescent="0.25">
      <c r="A139" s="271" t="s">
        <v>21</v>
      </c>
      <c r="B139" s="268"/>
      <c r="C139" s="277"/>
      <c r="D139" s="269">
        <f t="shared" ref="D139:E139" si="39">SUM(D138)</f>
        <v>75000</v>
      </c>
      <c r="E139" s="269">
        <f t="shared" si="39"/>
        <v>0</v>
      </c>
      <c r="F139" s="260"/>
      <c r="G139" s="260"/>
    </row>
    <row r="140" spans="1:7" x14ac:dyDescent="0.25">
      <c r="A140" s="274" t="s">
        <v>2221</v>
      </c>
      <c r="B140" s="279">
        <v>4</v>
      </c>
      <c r="C140" s="286"/>
      <c r="D140" s="280">
        <f t="shared" ref="D140:E140" si="40">D139+D137+D135</f>
        <v>321921.26</v>
      </c>
      <c r="E140" s="280">
        <f t="shared" si="40"/>
        <v>0</v>
      </c>
    </row>
    <row r="141" spans="1:7" x14ac:dyDescent="0.25">
      <c r="A141" s="281"/>
      <c r="B141" s="282"/>
      <c r="C141" s="283"/>
      <c r="D141" s="305">
        <f>D140+D132+D93+D79+D46+D112</f>
        <v>36801604.620000005</v>
      </c>
      <c r="E141" s="305">
        <f>E140+E132+E93+E79+E46+E112</f>
        <v>0</v>
      </c>
    </row>
  </sheetData>
  <sheetProtection algorithmName="SHA-512" hashValue="lt0f+sw0nC5znR5pNWRCdp1u45w2cjrG4cVlkswGFn7uH/SrN5/MIPjn4Vc/N4xcnNEX5bs7kkDdj8Mlg6m1Ag==" saltValue="/96Hkecagvrobk9ikp/F+A==" spinCount="100000" sheet="1" objects="1" scenarios="1" selectLockedCells="1" selectUnlockedCells="1"/>
  <printOptions horizontalCentered="1"/>
  <pageMargins left="1.4960629921259843" right="0.70866141732283472" top="0.74803149606299213" bottom="0.74803149606299213" header="0.31496062992125984" footer="0.31496062992125984"/>
  <pageSetup scale="82" fitToHeight="0" orientation="portrait" r:id="rId1"/>
  <headerFooter>
    <oddHeader>&amp;R&amp;"Times New Roman,Regular"&amp;12Annex S
AAR Page 228</oddHeader>
  </headerFooter>
  <rowBreaks count="1" manualBreakCount="1">
    <brk id="104" max="4"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P133"/>
  <sheetViews>
    <sheetView zoomScaleNormal="100" zoomScaleSheetLayoutView="80" zoomScalePageLayoutView="70" workbookViewId="0"/>
  </sheetViews>
  <sheetFormatPr defaultColWidth="8.88671875" defaultRowHeight="13.8" x14ac:dyDescent="0.3"/>
  <cols>
    <col min="1" max="1" width="3.88671875" style="246" customWidth="1"/>
    <col min="2" max="2" width="28.6640625" style="247" customWidth="1"/>
    <col min="3" max="3" width="14.33203125" style="248" customWidth="1"/>
    <col min="4" max="4" width="17" style="249" customWidth="1"/>
    <col min="5" max="5" width="15" style="250" customWidth="1"/>
    <col min="6" max="6" width="16" style="250" customWidth="1"/>
    <col min="7" max="7" width="16.44140625" style="251" customWidth="1"/>
    <col min="8" max="8" width="16.109375" style="250" customWidth="1"/>
    <col min="9" max="9" width="15" style="248" customWidth="1"/>
    <col min="10" max="10" width="16" style="251" customWidth="1"/>
    <col min="11" max="11" width="14.6640625" style="250" customWidth="1"/>
    <col min="12" max="12" width="15.44140625" style="250" customWidth="1"/>
    <col min="13" max="13" width="15.33203125" style="251" customWidth="1"/>
    <col min="14" max="14" width="22.88671875" style="247" customWidth="1"/>
    <col min="15" max="16" width="0" style="252" hidden="1" customWidth="1"/>
    <col min="17" max="16384" width="8.88671875" style="248"/>
  </cols>
  <sheetData>
    <row r="1" spans="1:16" x14ac:dyDescent="0.3">
      <c r="A1" s="253" t="s">
        <v>0</v>
      </c>
    </row>
    <row r="2" spans="1:16" x14ac:dyDescent="0.3">
      <c r="A2" s="246" t="s">
        <v>1953</v>
      </c>
    </row>
    <row r="3" spans="1:16" x14ac:dyDescent="0.3">
      <c r="A3" s="246" t="s">
        <v>5</v>
      </c>
    </row>
    <row r="5" spans="1:16" s="252" customFormat="1" x14ac:dyDescent="0.3">
      <c r="A5" s="882"/>
      <c r="B5" s="842" t="s">
        <v>761</v>
      </c>
      <c r="C5" s="842" t="s">
        <v>1954</v>
      </c>
      <c r="D5" s="884" t="s">
        <v>1955</v>
      </c>
      <c r="E5" s="872" t="s">
        <v>1956</v>
      </c>
      <c r="F5" s="873"/>
      <c r="G5" s="874"/>
      <c r="H5" s="872" t="s">
        <v>1957</v>
      </c>
      <c r="I5" s="873"/>
      <c r="J5" s="874"/>
      <c r="K5" s="872" t="s">
        <v>1958</v>
      </c>
      <c r="L5" s="873"/>
      <c r="M5" s="874"/>
      <c r="N5" s="842" t="s">
        <v>1782</v>
      </c>
    </row>
    <row r="6" spans="1:16" s="252" customFormat="1" ht="55.2" x14ac:dyDescent="0.3">
      <c r="A6" s="883"/>
      <c r="B6" s="844"/>
      <c r="C6" s="844"/>
      <c r="D6" s="885"/>
      <c r="E6" s="254" t="s">
        <v>1959</v>
      </c>
      <c r="F6" s="254" t="s">
        <v>1960</v>
      </c>
      <c r="G6" s="255" t="s">
        <v>1961</v>
      </c>
      <c r="H6" s="255" t="s">
        <v>1962</v>
      </c>
      <c r="I6" s="224" t="s">
        <v>1963</v>
      </c>
      <c r="J6" s="255" t="s">
        <v>1964</v>
      </c>
      <c r="K6" s="255" t="s">
        <v>1965</v>
      </c>
      <c r="L6" s="255" t="s">
        <v>1966</v>
      </c>
      <c r="M6" s="255" t="s">
        <v>1967</v>
      </c>
      <c r="N6" s="844"/>
    </row>
    <row r="7" spans="1:16" s="210" customFormat="1" x14ac:dyDescent="0.3">
      <c r="A7" s="886" t="s">
        <v>1968</v>
      </c>
      <c r="B7" s="887"/>
      <c r="C7" s="887"/>
      <c r="D7" s="887"/>
      <c r="E7" s="887"/>
      <c r="F7" s="887"/>
      <c r="G7" s="887"/>
      <c r="H7" s="887"/>
      <c r="I7" s="887"/>
      <c r="J7" s="887"/>
      <c r="K7" s="887"/>
      <c r="L7" s="887"/>
      <c r="M7" s="887"/>
      <c r="N7" s="888"/>
      <c r="O7" s="209"/>
      <c r="P7" s="209"/>
    </row>
    <row r="8" spans="1:16" s="210" customFormat="1" ht="14.4" x14ac:dyDescent="0.3">
      <c r="A8" s="879" t="s">
        <v>1969</v>
      </c>
      <c r="B8" s="880"/>
      <c r="C8" s="880"/>
      <c r="D8" s="880"/>
      <c r="E8" s="880"/>
      <c r="F8" s="880"/>
      <c r="G8" s="880"/>
      <c r="H8" s="880"/>
      <c r="I8" s="880"/>
      <c r="J8" s="880"/>
      <c r="K8" s="880"/>
      <c r="L8" s="880"/>
      <c r="M8" s="880"/>
      <c r="N8" s="881"/>
      <c r="O8" s="209"/>
      <c r="P8" s="209"/>
    </row>
    <row r="9" spans="1:16" s="210" customFormat="1" ht="27.6" x14ac:dyDescent="0.3">
      <c r="A9" s="543">
        <v>1</v>
      </c>
      <c r="B9" s="541" t="s">
        <v>1970</v>
      </c>
      <c r="C9" s="534" t="s">
        <v>1971</v>
      </c>
      <c r="D9" s="622" t="s">
        <v>1972</v>
      </c>
      <c r="E9" s="619"/>
      <c r="F9" s="619">
        <v>10000000</v>
      </c>
      <c r="G9" s="620">
        <f>SUM(E9:F9)</f>
        <v>10000000</v>
      </c>
      <c r="H9" s="619"/>
      <c r="I9" s="535"/>
      <c r="J9" s="620">
        <f>SUM(H9:I9)</f>
        <v>0</v>
      </c>
      <c r="K9" s="619"/>
      <c r="L9" s="619">
        <f>G9-J9</f>
        <v>10000000</v>
      </c>
      <c r="M9" s="620">
        <f>SUM(K9:L9)</f>
        <v>10000000</v>
      </c>
      <c r="N9" s="541" t="s">
        <v>1973</v>
      </c>
      <c r="O9" s="209">
        <v>1</v>
      </c>
      <c r="P9" s="209"/>
    </row>
    <row r="10" spans="1:16" s="210" customFormat="1" ht="55.2" x14ac:dyDescent="0.3">
      <c r="A10" s="543">
        <v>2</v>
      </c>
      <c r="B10" s="541" t="s">
        <v>1974</v>
      </c>
      <c r="C10" s="534" t="s">
        <v>1975</v>
      </c>
      <c r="D10" s="622" t="s">
        <v>1972</v>
      </c>
      <c r="E10" s="619"/>
      <c r="F10" s="619">
        <v>1600000</v>
      </c>
      <c r="G10" s="620">
        <f t="shared" ref="G10:G73" si="0">SUM(E10:F10)</f>
        <v>1600000</v>
      </c>
      <c r="H10" s="619"/>
      <c r="I10" s="535"/>
      <c r="J10" s="620">
        <f t="shared" ref="J10:J73" si="1">SUM(H10:I10)</f>
        <v>0</v>
      </c>
      <c r="K10" s="619"/>
      <c r="L10" s="619">
        <f t="shared" ref="L10:L12" si="2">F10-H10</f>
        <v>1600000</v>
      </c>
      <c r="M10" s="620">
        <f t="shared" ref="M10:M73" si="3">SUM(K10:L10)</f>
        <v>1600000</v>
      </c>
      <c r="N10" s="541" t="s">
        <v>1976</v>
      </c>
      <c r="O10" s="209">
        <v>1</v>
      </c>
      <c r="P10" s="209"/>
    </row>
    <row r="11" spans="1:16" s="210" customFormat="1" ht="69" x14ac:dyDescent="0.3">
      <c r="A11" s="543">
        <v>3</v>
      </c>
      <c r="B11" s="541" t="s">
        <v>1977</v>
      </c>
      <c r="C11" s="534" t="s">
        <v>1978</v>
      </c>
      <c r="D11" s="622" t="s">
        <v>1972</v>
      </c>
      <c r="E11" s="619">
        <v>100000</v>
      </c>
      <c r="F11" s="619"/>
      <c r="G11" s="620">
        <f t="shared" si="0"/>
        <v>100000</v>
      </c>
      <c r="H11" s="619"/>
      <c r="I11" s="535"/>
      <c r="J11" s="620">
        <f t="shared" si="1"/>
        <v>0</v>
      </c>
      <c r="K11" s="619">
        <f>E11-H11</f>
        <v>100000</v>
      </c>
      <c r="L11" s="619">
        <f t="shared" si="2"/>
        <v>0</v>
      </c>
      <c r="M11" s="620">
        <f t="shared" si="3"/>
        <v>100000</v>
      </c>
      <c r="N11" s="541" t="s">
        <v>1979</v>
      </c>
      <c r="O11" s="209">
        <v>1</v>
      </c>
      <c r="P11" s="209"/>
    </row>
    <row r="12" spans="1:16" s="210" customFormat="1" ht="27.6" x14ac:dyDescent="0.3">
      <c r="A12" s="543">
        <v>4</v>
      </c>
      <c r="B12" s="541" t="s">
        <v>1980</v>
      </c>
      <c r="C12" s="534" t="s">
        <v>1971</v>
      </c>
      <c r="D12" s="622" t="s">
        <v>1972</v>
      </c>
      <c r="E12" s="619"/>
      <c r="F12" s="619">
        <v>1700000</v>
      </c>
      <c r="G12" s="620">
        <f t="shared" si="0"/>
        <v>1700000</v>
      </c>
      <c r="H12" s="619"/>
      <c r="I12" s="535"/>
      <c r="J12" s="620">
        <f t="shared" si="1"/>
        <v>0</v>
      </c>
      <c r="K12" s="619"/>
      <c r="L12" s="619">
        <f t="shared" si="2"/>
        <v>1700000</v>
      </c>
      <c r="M12" s="620">
        <f t="shared" si="3"/>
        <v>1700000</v>
      </c>
      <c r="N12" s="541" t="s">
        <v>1973</v>
      </c>
      <c r="O12" s="209">
        <v>1</v>
      </c>
      <c r="P12" s="209"/>
    </row>
    <row r="13" spans="1:16" s="210" customFormat="1" x14ac:dyDescent="0.3">
      <c r="A13" s="543">
        <v>5</v>
      </c>
      <c r="B13" s="623" t="s">
        <v>1981</v>
      </c>
      <c r="C13" s="875" t="s">
        <v>1982</v>
      </c>
      <c r="D13" s="876" t="s">
        <v>1983</v>
      </c>
      <c r="E13" s="619"/>
      <c r="F13" s="619"/>
      <c r="G13" s="620">
        <f t="shared" si="0"/>
        <v>0</v>
      </c>
      <c r="H13" s="619"/>
      <c r="I13" s="535"/>
      <c r="J13" s="620">
        <f t="shared" si="1"/>
        <v>0</v>
      </c>
      <c r="K13" s="619"/>
      <c r="L13" s="619"/>
      <c r="M13" s="620">
        <f t="shared" si="3"/>
        <v>0</v>
      </c>
      <c r="N13" s="541"/>
    </row>
    <row r="14" spans="1:16" s="210" customFormat="1" ht="26.4" x14ac:dyDescent="0.3">
      <c r="A14" s="543"/>
      <c r="B14" s="107" t="s">
        <v>1984</v>
      </c>
      <c r="C14" s="875"/>
      <c r="D14" s="877"/>
      <c r="E14" s="619">
        <v>1020000</v>
      </c>
      <c r="F14" s="619"/>
      <c r="G14" s="620">
        <f t="shared" si="0"/>
        <v>1020000</v>
      </c>
      <c r="H14" s="624">
        <f>49290+79735+47900+326400+29900</f>
        <v>533225</v>
      </c>
      <c r="I14" s="535"/>
      <c r="J14" s="620">
        <f t="shared" si="1"/>
        <v>533225</v>
      </c>
      <c r="K14" s="619">
        <f t="shared" ref="K14:K16" si="4">E14-H14</f>
        <v>486775</v>
      </c>
      <c r="L14" s="619">
        <v>0</v>
      </c>
      <c r="M14" s="620">
        <f t="shared" si="3"/>
        <v>486775</v>
      </c>
      <c r="N14" s="541"/>
      <c r="O14" s="209"/>
      <c r="P14" s="209"/>
    </row>
    <row r="15" spans="1:16" s="210" customFormat="1" ht="26.4" x14ac:dyDescent="0.3">
      <c r="A15" s="543"/>
      <c r="B15" s="107" t="s">
        <v>1985</v>
      </c>
      <c r="C15" s="875"/>
      <c r="D15" s="877"/>
      <c r="E15" s="619">
        <v>300000</v>
      </c>
      <c r="F15" s="619"/>
      <c r="G15" s="620">
        <f t="shared" si="0"/>
        <v>300000</v>
      </c>
      <c r="H15" s="624">
        <f>77540+47465+49081+32415+31980</f>
        <v>238481</v>
      </c>
      <c r="I15" s="535"/>
      <c r="J15" s="620">
        <f t="shared" si="1"/>
        <v>238481</v>
      </c>
      <c r="K15" s="619">
        <f t="shared" si="4"/>
        <v>61519</v>
      </c>
      <c r="L15" s="619">
        <v>0</v>
      </c>
      <c r="M15" s="620">
        <f t="shared" si="3"/>
        <v>61519</v>
      </c>
      <c r="N15" s="541"/>
      <c r="O15" s="209"/>
      <c r="P15" s="209"/>
    </row>
    <row r="16" spans="1:16" s="210" customFormat="1" x14ac:dyDescent="0.3">
      <c r="A16" s="543"/>
      <c r="B16" s="107" t="s">
        <v>1986</v>
      </c>
      <c r="C16" s="875"/>
      <c r="D16" s="878"/>
      <c r="E16" s="619">
        <v>180000</v>
      </c>
      <c r="F16" s="619"/>
      <c r="G16" s="620">
        <f t="shared" si="0"/>
        <v>180000</v>
      </c>
      <c r="H16" s="480">
        <v>150050</v>
      </c>
      <c r="I16" s="535"/>
      <c r="J16" s="620">
        <f t="shared" si="1"/>
        <v>150050</v>
      </c>
      <c r="K16" s="619">
        <f t="shared" si="4"/>
        <v>29950</v>
      </c>
      <c r="L16" s="619">
        <v>0</v>
      </c>
      <c r="M16" s="620">
        <f t="shared" si="3"/>
        <v>29950</v>
      </c>
      <c r="N16" s="541"/>
      <c r="O16" s="209"/>
      <c r="P16" s="209"/>
    </row>
    <row r="17" spans="1:16" s="210" customFormat="1" ht="27.6" x14ac:dyDescent="0.3">
      <c r="A17" s="543">
        <v>6</v>
      </c>
      <c r="B17" s="541" t="s">
        <v>1987</v>
      </c>
      <c r="C17" s="550" t="s">
        <v>1978</v>
      </c>
      <c r="D17" s="622" t="s">
        <v>1972</v>
      </c>
      <c r="E17" s="619"/>
      <c r="F17" s="619">
        <v>3100000</v>
      </c>
      <c r="G17" s="620">
        <f t="shared" si="0"/>
        <v>3100000</v>
      </c>
      <c r="H17" s="619"/>
      <c r="I17" s="535"/>
      <c r="J17" s="620">
        <f t="shared" si="1"/>
        <v>0</v>
      </c>
      <c r="K17" s="619"/>
      <c r="L17" s="619">
        <f t="shared" ref="L17:L18" si="5">F17-H17</f>
        <v>3100000</v>
      </c>
      <c r="M17" s="620">
        <f t="shared" si="3"/>
        <v>3100000</v>
      </c>
      <c r="N17" s="541" t="s">
        <v>1988</v>
      </c>
      <c r="O17" s="209">
        <v>1</v>
      </c>
      <c r="P17" s="209"/>
    </row>
    <row r="18" spans="1:16" s="209" customFormat="1" ht="41.4" x14ac:dyDescent="0.3">
      <c r="A18" s="543">
        <v>7</v>
      </c>
      <c r="B18" s="541" t="s">
        <v>777</v>
      </c>
      <c r="C18" s="119" t="s">
        <v>1978</v>
      </c>
      <c r="D18" s="625" t="s">
        <v>1989</v>
      </c>
      <c r="E18" s="480"/>
      <c r="F18" s="619">
        <v>5000000</v>
      </c>
      <c r="G18" s="620">
        <f t="shared" si="0"/>
        <v>5000000</v>
      </c>
      <c r="H18" s="480"/>
      <c r="I18" s="550"/>
      <c r="J18" s="620">
        <f t="shared" si="1"/>
        <v>0</v>
      </c>
      <c r="K18" s="480"/>
      <c r="L18" s="619">
        <f t="shared" si="5"/>
        <v>5000000</v>
      </c>
      <c r="M18" s="620">
        <f t="shared" si="3"/>
        <v>5000000</v>
      </c>
      <c r="N18" s="541" t="s">
        <v>1990</v>
      </c>
      <c r="O18" s="209">
        <v>1</v>
      </c>
    </row>
    <row r="19" spans="1:16" s="210" customFormat="1" ht="27.6" x14ac:dyDescent="0.3">
      <c r="A19" s="543">
        <v>8</v>
      </c>
      <c r="B19" s="541" t="s">
        <v>1991</v>
      </c>
      <c r="C19" s="534" t="s">
        <v>1992</v>
      </c>
      <c r="D19" s="622" t="s">
        <v>1993</v>
      </c>
      <c r="E19" s="619">
        <v>200000</v>
      </c>
      <c r="F19" s="619"/>
      <c r="G19" s="620">
        <f t="shared" si="0"/>
        <v>200000</v>
      </c>
      <c r="H19" s="480">
        <v>78948.72</v>
      </c>
      <c r="I19" s="535"/>
      <c r="J19" s="620">
        <f t="shared" si="1"/>
        <v>78948.72</v>
      </c>
      <c r="K19" s="619">
        <f>E19-H19</f>
        <v>121051.28</v>
      </c>
      <c r="L19" s="619">
        <v>0</v>
      </c>
      <c r="M19" s="620">
        <f t="shared" si="3"/>
        <v>121051.28</v>
      </c>
      <c r="N19" s="541"/>
      <c r="O19" s="209">
        <v>1</v>
      </c>
      <c r="P19" s="209"/>
    </row>
    <row r="20" spans="1:16" s="210" customFormat="1" ht="27.6" x14ac:dyDescent="0.3">
      <c r="A20" s="543">
        <v>9</v>
      </c>
      <c r="B20" s="626" t="s">
        <v>1994</v>
      </c>
      <c r="C20" s="534"/>
      <c r="D20" s="622"/>
      <c r="E20" s="619"/>
      <c r="F20" s="619"/>
      <c r="G20" s="620">
        <f t="shared" si="0"/>
        <v>0</v>
      </c>
      <c r="H20" s="480"/>
      <c r="I20" s="535"/>
      <c r="J20" s="620">
        <f t="shared" si="1"/>
        <v>0</v>
      </c>
      <c r="K20" s="619"/>
      <c r="L20" s="619">
        <f t="shared" ref="L20:L23" si="6">SUM(E20:F20)-SUM(H20:K20)</f>
        <v>0</v>
      </c>
      <c r="M20" s="620">
        <f t="shared" si="3"/>
        <v>0</v>
      </c>
      <c r="N20" s="541"/>
      <c r="O20" s="209"/>
      <c r="P20" s="209"/>
    </row>
    <row r="21" spans="1:16" s="210" customFormat="1" x14ac:dyDescent="0.3">
      <c r="A21" s="543"/>
      <c r="B21" s="107" t="s">
        <v>1995</v>
      </c>
      <c r="C21" s="868" t="s">
        <v>1982</v>
      </c>
      <c r="D21" s="876" t="s">
        <v>1993</v>
      </c>
      <c r="E21" s="619">
        <v>67100</v>
      </c>
      <c r="F21" s="619"/>
      <c r="G21" s="620">
        <f t="shared" si="0"/>
        <v>67100</v>
      </c>
      <c r="H21" s="480">
        <v>55225</v>
      </c>
      <c r="I21" s="535"/>
      <c r="J21" s="620">
        <f t="shared" si="1"/>
        <v>55225</v>
      </c>
      <c r="K21" s="619">
        <f t="shared" ref="K21:K23" si="7">E21-H21</f>
        <v>11875</v>
      </c>
      <c r="L21" s="619">
        <v>0</v>
      </c>
      <c r="M21" s="620">
        <f t="shared" si="3"/>
        <v>11875</v>
      </c>
      <c r="N21" s="541"/>
      <c r="O21" s="209">
        <v>1</v>
      </c>
      <c r="P21" s="209"/>
    </row>
    <row r="22" spans="1:16" s="210" customFormat="1" x14ac:dyDescent="0.3">
      <c r="A22" s="543"/>
      <c r="B22" s="107" t="s">
        <v>1996</v>
      </c>
      <c r="C22" s="869"/>
      <c r="D22" s="877"/>
      <c r="E22" s="619">
        <v>13200</v>
      </c>
      <c r="F22" s="619"/>
      <c r="G22" s="620">
        <f t="shared" si="0"/>
        <v>13200</v>
      </c>
      <c r="H22" s="624">
        <f>3000+3000+3000+3000</f>
        <v>12000</v>
      </c>
      <c r="I22" s="535"/>
      <c r="J22" s="620">
        <f t="shared" si="1"/>
        <v>12000</v>
      </c>
      <c r="K22" s="619">
        <f t="shared" si="7"/>
        <v>1200</v>
      </c>
      <c r="L22" s="619">
        <v>0</v>
      </c>
      <c r="M22" s="620">
        <f t="shared" si="3"/>
        <v>1200</v>
      </c>
      <c r="N22" s="541"/>
      <c r="O22" s="209"/>
      <c r="P22" s="209"/>
    </row>
    <row r="23" spans="1:16" s="210" customFormat="1" x14ac:dyDescent="0.3">
      <c r="A23" s="543"/>
      <c r="B23" s="107" t="s">
        <v>1997</v>
      </c>
      <c r="C23" s="870"/>
      <c r="D23" s="878"/>
      <c r="E23" s="619">
        <v>19700</v>
      </c>
      <c r="F23" s="619"/>
      <c r="G23" s="620">
        <f t="shared" si="0"/>
        <v>19700</v>
      </c>
      <c r="H23" s="619">
        <v>0</v>
      </c>
      <c r="I23" s="535"/>
      <c r="J23" s="620">
        <f t="shared" si="1"/>
        <v>0</v>
      </c>
      <c r="K23" s="619">
        <f t="shared" si="7"/>
        <v>19700</v>
      </c>
      <c r="L23" s="619">
        <f t="shared" si="6"/>
        <v>0</v>
      </c>
      <c r="M23" s="620">
        <f t="shared" si="3"/>
        <v>19700</v>
      </c>
      <c r="N23" s="541"/>
      <c r="O23" s="209"/>
      <c r="P23" s="209"/>
    </row>
    <row r="24" spans="1:16" s="210" customFormat="1" x14ac:dyDescent="0.3">
      <c r="A24" s="543"/>
      <c r="B24" s="627" t="s">
        <v>743</v>
      </c>
      <c r="C24" s="534"/>
      <c r="D24" s="622"/>
      <c r="E24" s="620">
        <f>SUM(E9:E23)</f>
        <v>1900000</v>
      </c>
      <c r="F24" s="620">
        <f t="shared" ref="F24" si="8">SUM(F9:F23)</f>
        <v>21400000</v>
      </c>
      <c r="G24" s="620">
        <f t="shared" si="0"/>
        <v>23300000</v>
      </c>
      <c r="H24" s="620">
        <f t="shared" ref="H24:I24" si="9">SUM(H9:H23)</f>
        <v>1067929.72</v>
      </c>
      <c r="I24" s="620">
        <f t="shared" si="9"/>
        <v>0</v>
      </c>
      <c r="J24" s="620">
        <f t="shared" si="1"/>
        <v>1067929.72</v>
      </c>
      <c r="K24" s="620">
        <f t="shared" ref="K24" si="10">SUM(K9:K23)</f>
        <v>832070.28</v>
      </c>
      <c r="L24" s="620">
        <f>SUM(L9:L23)</f>
        <v>21400000</v>
      </c>
      <c r="M24" s="620">
        <f t="shared" si="3"/>
        <v>22232070.280000001</v>
      </c>
      <c r="N24" s="541"/>
      <c r="O24" s="209"/>
      <c r="P24" s="209"/>
    </row>
    <row r="25" spans="1:16" s="210" customFormat="1" ht="14.4" x14ac:dyDescent="0.3">
      <c r="A25" s="879" t="s">
        <v>1998</v>
      </c>
      <c r="B25" s="880"/>
      <c r="C25" s="880"/>
      <c r="D25" s="880"/>
      <c r="E25" s="880"/>
      <c r="F25" s="880"/>
      <c r="G25" s="880"/>
      <c r="H25" s="880"/>
      <c r="I25" s="880"/>
      <c r="J25" s="880"/>
      <c r="K25" s="880"/>
      <c r="L25" s="880"/>
      <c r="M25" s="880"/>
      <c r="N25" s="881"/>
      <c r="O25" s="209"/>
      <c r="P25" s="209"/>
    </row>
    <row r="26" spans="1:16" s="210" customFormat="1" ht="41.4" x14ac:dyDescent="0.3">
      <c r="A26" s="543">
        <v>10</v>
      </c>
      <c r="B26" s="541" t="s">
        <v>1999</v>
      </c>
      <c r="C26" s="119" t="s">
        <v>2000</v>
      </c>
      <c r="D26" s="622" t="s">
        <v>2001</v>
      </c>
      <c r="E26" s="619"/>
      <c r="F26" s="619">
        <v>5000000</v>
      </c>
      <c r="G26" s="620">
        <f t="shared" si="0"/>
        <v>5000000</v>
      </c>
      <c r="H26" s="480">
        <v>0</v>
      </c>
      <c r="I26" s="535"/>
      <c r="J26" s="620">
        <f t="shared" si="1"/>
        <v>0</v>
      </c>
      <c r="K26" s="619"/>
      <c r="L26" s="619">
        <f t="shared" ref="L26:L34" si="11">F26-H26-K26-I26</f>
        <v>5000000</v>
      </c>
      <c r="M26" s="620">
        <f t="shared" si="3"/>
        <v>5000000</v>
      </c>
      <c r="N26" s="541" t="s">
        <v>2002</v>
      </c>
      <c r="O26" s="209">
        <v>1</v>
      </c>
      <c r="P26" s="209"/>
    </row>
    <row r="27" spans="1:16" s="210" customFormat="1" ht="55.2" x14ac:dyDescent="0.3">
      <c r="A27" s="543">
        <v>11</v>
      </c>
      <c r="B27" s="541" t="s">
        <v>2003</v>
      </c>
      <c r="C27" s="119" t="s">
        <v>2004</v>
      </c>
      <c r="D27" s="622" t="s">
        <v>1972</v>
      </c>
      <c r="E27" s="619"/>
      <c r="F27" s="619">
        <v>1700000</v>
      </c>
      <c r="G27" s="620">
        <f t="shared" si="0"/>
        <v>1700000</v>
      </c>
      <c r="H27" s="480">
        <v>0</v>
      </c>
      <c r="I27" s="535"/>
      <c r="J27" s="620">
        <f t="shared" si="1"/>
        <v>0</v>
      </c>
      <c r="K27" s="619"/>
      <c r="L27" s="619">
        <f t="shared" si="11"/>
        <v>1700000</v>
      </c>
      <c r="M27" s="620">
        <f t="shared" si="3"/>
        <v>1700000</v>
      </c>
      <c r="N27" s="541" t="s">
        <v>2005</v>
      </c>
      <c r="O27" s="209">
        <v>1</v>
      </c>
      <c r="P27" s="209"/>
    </row>
    <row r="28" spans="1:16" s="210" customFormat="1" ht="27.6" x14ac:dyDescent="0.3">
      <c r="A28" s="543">
        <v>12</v>
      </c>
      <c r="B28" s="541" t="s">
        <v>2006</v>
      </c>
      <c r="C28" s="534" t="s">
        <v>1971</v>
      </c>
      <c r="D28" s="622" t="s">
        <v>1972</v>
      </c>
      <c r="E28" s="619"/>
      <c r="F28" s="619">
        <v>2000000</v>
      </c>
      <c r="G28" s="620">
        <f t="shared" si="0"/>
        <v>2000000</v>
      </c>
      <c r="H28" s="480">
        <v>0</v>
      </c>
      <c r="I28" s="535"/>
      <c r="J28" s="620">
        <f t="shared" si="1"/>
        <v>0</v>
      </c>
      <c r="K28" s="619"/>
      <c r="L28" s="619">
        <f t="shared" si="11"/>
        <v>2000000</v>
      </c>
      <c r="M28" s="620">
        <f t="shared" si="3"/>
        <v>2000000</v>
      </c>
      <c r="N28" s="541" t="s">
        <v>1973</v>
      </c>
      <c r="O28" s="209">
        <v>1</v>
      </c>
      <c r="P28" s="209"/>
    </row>
    <row r="29" spans="1:16" s="210" customFormat="1" x14ac:dyDescent="0.3">
      <c r="A29" s="543">
        <v>13</v>
      </c>
      <c r="B29" s="541" t="s">
        <v>2007</v>
      </c>
      <c r="C29" s="534" t="s">
        <v>1992</v>
      </c>
      <c r="D29" s="622" t="s">
        <v>1983</v>
      </c>
      <c r="E29" s="619"/>
      <c r="F29" s="619">
        <v>100000</v>
      </c>
      <c r="G29" s="620">
        <f t="shared" si="0"/>
        <v>100000</v>
      </c>
      <c r="H29" s="480">
        <v>90000</v>
      </c>
      <c r="I29" s="535"/>
      <c r="J29" s="620">
        <f t="shared" si="1"/>
        <v>90000</v>
      </c>
      <c r="K29" s="619"/>
      <c r="L29" s="619">
        <f t="shared" si="11"/>
        <v>10000</v>
      </c>
      <c r="M29" s="620">
        <f t="shared" si="3"/>
        <v>10000</v>
      </c>
      <c r="N29" s="541"/>
    </row>
    <row r="30" spans="1:16" s="210" customFormat="1" ht="27.6" x14ac:dyDescent="0.3">
      <c r="A30" s="543">
        <v>14</v>
      </c>
      <c r="B30" s="541" t="s">
        <v>2008</v>
      </c>
      <c r="C30" s="534" t="s">
        <v>1971</v>
      </c>
      <c r="D30" s="622" t="s">
        <v>1972</v>
      </c>
      <c r="E30" s="619"/>
      <c r="F30" s="619">
        <v>1000000</v>
      </c>
      <c r="G30" s="620">
        <f t="shared" si="0"/>
        <v>1000000</v>
      </c>
      <c r="H30" s="480">
        <v>0</v>
      </c>
      <c r="I30" s="535"/>
      <c r="J30" s="620">
        <f t="shared" si="1"/>
        <v>0</v>
      </c>
      <c r="K30" s="619"/>
      <c r="L30" s="619">
        <f t="shared" si="11"/>
        <v>1000000</v>
      </c>
      <c r="M30" s="620">
        <f t="shared" si="3"/>
        <v>1000000</v>
      </c>
      <c r="N30" s="541" t="s">
        <v>1973</v>
      </c>
      <c r="O30" s="209">
        <v>1</v>
      </c>
      <c r="P30" s="209"/>
    </row>
    <row r="31" spans="1:16" s="210" customFormat="1" ht="27.6" x14ac:dyDescent="0.3">
      <c r="A31" s="543">
        <v>15</v>
      </c>
      <c r="B31" s="541" t="s">
        <v>2009</v>
      </c>
      <c r="C31" s="534" t="s">
        <v>1971</v>
      </c>
      <c r="D31" s="622" t="s">
        <v>1972</v>
      </c>
      <c r="E31" s="619"/>
      <c r="F31" s="619">
        <v>1000000</v>
      </c>
      <c r="G31" s="620">
        <f t="shared" si="0"/>
        <v>1000000</v>
      </c>
      <c r="H31" s="480">
        <v>0</v>
      </c>
      <c r="I31" s="535"/>
      <c r="J31" s="620">
        <f t="shared" si="1"/>
        <v>0</v>
      </c>
      <c r="K31" s="619"/>
      <c r="L31" s="619">
        <f t="shared" si="11"/>
        <v>1000000</v>
      </c>
      <c r="M31" s="620">
        <f t="shared" si="3"/>
        <v>1000000</v>
      </c>
      <c r="N31" s="541" t="s">
        <v>1973</v>
      </c>
      <c r="O31" s="209">
        <v>1</v>
      </c>
      <c r="P31" s="209"/>
    </row>
    <row r="32" spans="1:16" s="210" customFormat="1" ht="82.8" x14ac:dyDescent="0.3">
      <c r="A32" s="543">
        <v>16</v>
      </c>
      <c r="B32" s="541" t="s">
        <v>2010</v>
      </c>
      <c r="C32" s="534" t="s">
        <v>1971</v>
      </c>
      <c r="D32" s="622" t="s">
        <v>1972</v>
      </c>
      <c r="E32" s="619"/>
      <c r="F32" s="619">
        <v>3500000</v>
      </c>
      <c r="G32" s="620">
        <f t="shared" si="0"/>
        <v>3500000</v>
      </c>
      <c r="H32" s="480">
        <v>0</v>
      </c>
      <c r="I32" s="535"/>
      <c r="J32" s="620">
        <f t="shared" si="1"/>
        <v>0</v>
      </c>
      <c r="K32" s="619"/>
      <c r="L32" s="619">
        <f t="shared" si="11"/>
        <v>3500000</v>
      </c>
      <c r="M32" s="620">
        <f t="shared" si="3"/>
        <v>3500000</v>
      </c>
      <c r="N32" s="541" t="s">
        <v>2011</v>
      </c>
      <c r="O32" s="209">
        <v>1</v>
      </c>
      <c r="P32" s="209"/>
    </row>
    <row r="33" spans="1:16" s="210" customFormat="1" ht="41.4" x14ac:dyDescent="0.3">
      <c r="A33" s="543">
        <v>17</v>
      </c>
      <c r="B33" s="541" t="s">
        <v>2012</v>
      </c>
      <c r="C33" s="534" t="s">
        <v>1971</v>
      </c>
      <c r="D33" s="622" t="s">
        <v>1983</v>
      </c>
      <c r="E33" s="619"/>
      <c r="F33" s="619">
        <v>5000000</v>
      </c>
      <c r="G33" s="620">
        <f t="shared" si="0"/>
        <v>5000000</v>
      </c>
      <c r="H33" s="480">
        <v>4999980</v>
      </c>
      <c r="I33" s="535"/>
      <c r="J33" s="620">
        <f t="shared" si="1"/>
        <v>4999980</v>
      </c>
      <c r="K33" s="619"/>
      <c r="L33" s="619">
        <f t="shared" si="11"/>
        <v>20</v>
      </c>
      <c r="M33" s="620">
        <f t="shared" si="3"/>
        <v>20</v>
      </c>
      <c r="N33" s="541"/>
    </row>
    <row r="34" spans="1:16" s="210" customFormat="1" ht="27.6" x14ac:dyDescent="0.3">
      <c r="A34" s="543">
        <v>18</v>
      </c>
      <c r="B34" s="541" t="s">
        <v>2013</v>
      </c>
      <c r="C34" s="534" t="s">
        <v>2101</v>
      </c>
      <c r="D34" s="622" t="s">
        <v>1972</v>
      </c>
      <c r="E34" s="619"/>
      <c r="F34" s="619">
        <v>1200000</v>
      </c>
      <c r="G34" s="620">
        <f t="shared" si="0"/>
        <v>1200000</v>
      </c>
      <c r="H34" s="480">
        <v>0</v>
      </c>
      <c r="I34" s="535"/>
      <c r="J34" s="620">
        <f t="shared" si="1"/>
        <v>0</v>
      </c>
      <c r="K34" s="619"/>
      <c r="L34" s="619">
        <f t="shared" si="11"/>
        <v>1200000</v>
      </c>
      <c r="M34" s="620">
        <f t="shared" si="3"/>
        <v>1200000</v>
      </c>
      <c r="N34" s="541" t="s">
        <v>2014</v>
      </c>
      <c r="O34" s="209">
        <v>1</v>
      </c>
      <c r="P34" s="209"/>
    </row>
    <row r="35" spans="1:16" s="210" customFormat="1" x14ac:dyDescent="0.3">
      <c r="A35" s="543"/>
      <c r="B35" s="627" t="s">
        <v>743</v>
      </c>
      <c r="C35" s="535"/>
      <c r="D35" s="618"/>
      <c r="E35" s="620">
        <f>SUM(E26:E34)</f>
        <v>0</v>
      </c>
      <c r="F35" s="620">
        <f>SUM(F26:F34)</f>
        <v>20500000</v>
      </c>
      <c r="G35" s="620">
        <f t="shared" si="0"/>
        <v>20500000</v>
      </c>
      <c r="H35" s="620">
        <f t="shared" ref="H35:K35" si="12">SUM(H26:H34)</f>
        <v>5089980</v>
      </c>
      <c r="I35" s="620">
        <f t="shared" si="12"/>
        <v>0</v>
      </c>
      <c r="J35" s="620">
        <f t="shared" si="1"/>
        <v>5089980</v>
      </c>
      <c r="K35" s="620">
        <f t="shared" si="12"/>
        <v>0</v>
      </c>
      <c r="L35" s="620">
        <f>SUM(L26:L34)</f>
        <v>15410020</v>
      </c>
      <c r="M35" s="620">
        <f t="shared" si="3"/>
        <v>15410020</v>
      </c>
      <c r="N35" s="541"/>
      <c r="O35" s="209"/>
      <c r="P35" s="209"/>
    </row>
    <row r="36" spans="1:16" s="210" customFormat="1" ht="14.4" x14ac:dyDescent="0.3">
      <c r="A36" s="879" t="s">
        <v>2015</v>
      </c>
      <c r="B36" s="880"/>
      <c r="C36" s="880"/>
      <c r="D36" s="880"/>
      <c r="E36" s="880"/>
      <c r="F36" s="880"/>
      <c r="G36" s="880"/>
      <c r="H36" s="880"/>
      <c r="I36" s="880"/>
      <c r="J36" s="880"/>
      <c r="K36" s="880"/>
      <c r="L36" s="880"/>
      <c r="M36" s="880"/>
      <c r="N36" s="881"/>
      <c r="O36" s="209"/>
      <c r="P36" s="209"/>
    </row>
    <row r="37" spans="1:16" s="210" customFormat="1" ht="55.2" x14ac:dyDescent="0.3">
      <c r="A37" s="543">
        <v>19</v>
      </c>
      <c r="B37" s="541" t="s">
        <v>2016</v>
      </c>
      <c r="C37" s="534" t="s">
        <v>2017</v>
      </c>
      <c r="D37" s="622" t="s">
        <v>1983</v>
      </c>
      <c r="E37" s="628">
        <v>1000000</v>
      </c>
      <c r="F37" s="619"/>
      <c r="G37" s="620">
        <f t="shared" si="0"/>
        <v>1000000</v>
      </c>
      <c r="H37" s="624">
        <f>294975+496000+187000</f>
        <v>977975</v>
      </c>
      <c r="I37" s="535"/>
      <c r="J37" s="620">
        <f t="shared" si="1"/>
        <v>977975</v>
      </c>
      <c r="K37" s="624">
        <f>E37-H37</f>
        <v>22025</v>
      </c>
      <c r="L37" s="619"/>
      <c r="M37" s="620">
        <f t="shared" si="3"/>
        <v>22025</v>
      </c>
      <c r="N37" s="541"/>
    </row>
    <row r="38" spans="1:16" s="210" customFormat="1" ht="41.4" x14ac:dyDescent="0.3">
      <c r="A38" s="543">
        <v>20</v>
      </c>
      <c r="B38" s="626" t="s">
        <v>2018</v>
      </c>
      <c r="C38" s="534"/>
      <c r="D38" s="622"/>
      <c r="E38" s="628">
        <v>0</v>
      </c>
      <c r="F38" s="619"/>
      <c r="G38" s="620">
        <f t="shared" si="0"/>
        <v>0</v>
      </c>
      <c r="H38" s="538"/>
      <c r="I38" s="535"/>
      <c r="J38" s="620">
        <f t="shared" si="1"/>
        <v>0</v>
      </c>
      <c r="K38" s="538"/>
      <c r="L38" s="619"/>
      <c r="M38" s="620">
        <f t="shared" si="3"/>
        <v>0</v>
      </c>
      <c r="N38" s="541"/>
      <c r="O38" s="209"/>
      <c r="P38" s="209"/>
    </row>
    <row r="39" spans="1:16" s="210" customFormat="1" ht="26.4" x14ac:dyDescent="0.3">
      <c r="A39" s="543"/>
      <c r="B39" s="107" t="s">
        <v>1985</v>
      </c>
      <c r="C39" s="868" t="s">
        <v>2004</v>
      </c>
      <c r="D39" s="876" t="s">
        <v>1983</v>
      </c>
      <c r="E39" s="628">
        <v>482063.2</v>
      </c>
      <c r="F39" s="619"/>
      <c r="G39" s="620">
        <f t="shared" si="0"/>
        <v>482063.2</v>
      </c>
      <c r="H39" s="624">
        <f>65900+410640</f>
        <v>476540</v>
      </c>
      <c r="I39" s="535"/>
      <c r="J39" s="620">
        <f t="shared" si="1"/>
        <v>476540</v>
      </c>
      <c r="K39" s="624">
        <f t="shared" ref="K39:K46" si="13">E39-H39</f>
        <v>5523.2000000000116</v>
      </c>
      <c r="L39" s="619"/>
      <c r="M39" s="620">
        <f t="shared" si="3"/>
        <v>5523.2000000000116</v>
      </c>
      <c r="N39" s="541"/>
    </row>
    <row r="40" spans="1:16" s="210" customFormat="1" x14ac:dyDescent="0.3">
      <c r="A40" s="543"/>
      <c r="B40" s="629" t="s">
        <v>1996</v>
      </c>
      <c r="C40" s="869"/>
      <c r="D40" s="877"/>
      <c r="E40" s="295">
        <v>122180</v>
      </c>
      <c r="F40" s="619"/>
      <c r="G40" s="620">
        <f t="shared" si="0"/>
        <v>122180</v>
      </c>
      <c r="H40" s="630">
        <f>12480+44500+43000</f>
        <v>99980</v>
      </c>
      <c r="I40" s="535"/>
      <c r="J40" s="620">
        <f t="shared" si="1"/>
        <v>99980</v>
      </c>
      <c r="K40" s="624">
        <f t="shared" si="13"/>
        <v>22200</v>
      </c>
      <c r="L40" s="619"/>
      <c r="M40" s="620">
        <f t="shared" si="3"/>
        <v>22200</v>
      </c>
      <c r="N40" s="541"/>
      <c r="O40" s="209"/>
      <c r="P40" s="209"/>
    </row>
    <row r="41" spans="1:16" s="210" customFormat="1" ht="27.6" x14ac:dyDescent="0.3">
      <c r="A41" s="543"/>
      <c r="B41" s="107" t="s">
        <v>2019</v>
      </c>
      <c r="C41" s="869"/>
      <c r="D41" s="877"/>
      <c r="E41" s="628">
        <v>394500</v>
      </c>
      <c r="F41" s="619"/>
      <c r="G41" s="620">
        <f t="shared" si="0"/>
        <v>394500</v>
      </c>
      <c r="H41" s="624">
        <v>102000</v>
      </c>
      <c r="I41" s="535"/>
      <c r="J41" s="620">
        <f t="shared" si="1"/>
        <v>102000</v>
      </c>
      <c r="K41" s="624">
        <f t="shared" si="13"/>
        <v>292500</v>
      </c>
      <c r="L41" s="619"/>
      <c r="M41" s="620">
        <f t="shared" si="3"/>
        <v>292500</v>
      </c>
      <c r="N41" s="541" t="s">
        <v>2020</v>
      </c>
      <c r="O41" s="209"/>
      <c r="P41" s="209"/>
    </row>
    <row r="42" spans="1:16" s="210" customFormat="1" x14ac:dyDescent="0.3">
      <c r="A42" s="543"/>
      <c r="B42" s="107" t="s">
        <v>2021</v>
      </c>
      <c r="C42" s="869"/>
      <c r="D42" s="877"/>
      <c r="E42" s="628">
        <v>29400</v>
      </c>
      <c r="F42" s="619"/>
      <c r="G42" s="620">
        <f t="shared" si="0"/>
        <v>29400</v>
      </c>
      <c r="H42" s="624">
        <v>28800</v>
      </c>
      <c r="I42" s="535"/>
      <c r="J42" s="620">
        <f t="shared" si="1"/>
        <v>28800</v>
      </c>
      <c r="K42" s="624">
        <f t="shared" si="13"/>
        <v>600</v>
      </c>
      <c r="L42" s="619"/>
      <c r="M42" s="620">
        <f t="shared" si="3"/>
        <v>600</v>
      </c>
      <c r="N42" s="541"/>
      <c r="O42" s="209"/>
      <c r="P42" s="209"/>
    </row>
    <row r="43" spans="1:16" s="210" customFormat="1" ht="26.4" x14ac:dyDescent="0.3">
      <c r="A43" s="543"/>
      <c r="B43" s="107" t="s">
        <v>1984</v>
      </c>
      <c r="C43" s="869"/>
      <c r="D43" s="877"/>
      <c r="E43" s="628">
        <v>52050</v>
      </c>
      <c r="F43" s="619"/>
      <c r="G43" s="620">
        <f t="shared" si="0"/>
        <v>52050</v>
      </c>
      <c r="H43" s="624">
        <v>52050</v>
      </c>
      <c r="I43" s="535"/>
      <c r="J43" s="620">
        <f t="shared" si="1"/>
        <v>52050</v>
      </c>
      <c r="K43" s="624">
        <f t="shared" si="13"/>
        <v>0</v>
      </c>
      <c r="L43" s="619"/>
      <c r="M43" s="620">
        <f t="shared" si="3"/>
        <v>0</v>
      </c>
      <c r="N43" s="541"/>
      <c r="O43" s="209"/>
      <c r="P43" s="209"/>
    </row>
    <row r="44" spans="1:16" s="210" customFormat="1" ht="26.4" x14ac:dyDescent="0.3">
      <c r="A44" s="543"/>
      <c r="B44" s="107" t="s">
        <v>2022</v>
      </c>
      <c r="C44" s="870"/>
      <c r="D44" s="878"/>
      <c r="E44" s="619">
        <v>1260000</v>
      </c>
      <c r="F44" s="619"/>
      <c r="G44" s="620">
        <f t="shared" si="0"/>
        <v>1260000</v>
      </c>
      <c r="H44" s="480">
        <v>1260000</v>
      </c>
      <c r="I44" s="535"/>
      <c r="J44" s="620">
        <f t="shared" si="1"/>
        <v>1260000</v>
      </c>
      <c r="K44" s="624">
        <f t="shared" si="13"/>
        <v>0</v>
      </c>
      <c r="L44" s="619"/>
      <c r="M44" s="620">
        <f t="shared" si="3"/>
        <v>0</v>
      </c>
      <c r="N44" s="541"/>
      <c r="O44" s="209"/>
      <c r="P44" s="209"/>
    </row>
    <row r="45" spans="1:16" s="210" customFormat="1" ht="27.6" x14ac:dyDescent="0.3">
      <c r="A45" s="543">
        <v>21</v>
      </c>
      <c r="B45" s="541" t="s">
        <v>2023</v>
      </c>
      <c r="C45" s="534" t="s">
        <v>2024</v>
      </c>
      <c r="D45" s="622" t="s">
        <v>1983</v>
      </c>
      <c r="E45" s="619">
        <v>1000000</v>
      </c>
      <c r="F45" s="619"/>
      <c r="G45" s="620">
        <f t="shared" si="0"/>
        <v>1000000</v>
      </c>
      <c r="H45" s="480">
        <v>989400</v>
      </c>
      <c r="I45" s="535"/>
      <c r="J45" s="620">
        <f t="shared" si="1"/>
        <v>989400</v>
      </c>
      <c r="K45" s="624">
        <f t="shared" si="13"/>
        <v>10600</v>
      </c>
      <c r="L45" s="619"/>
      <c r="M45" s="620">
        <f t="shared" si="3"/>
        <v>10600</v>
      </c>
      <c r="N45" s="541"/>
    </row>
    <row r="46" spans="1:16" s="210" customFormat="1" ht="41.4" x14ac:dyDescent="0.3">
      <c r="A46" s="543">
        <v>22</v>
      </c>
      <c r="B46" s="631" t="s">
        <v>2025</v>
      </c>
      <c r="C46" s="534" t="s">
        <v>2026</v>
      </c>
      <c r="D46" s="622" t="s">
        <v>1972</v>
      </c>
      <c r="E46" s="619">
        <v>500000</v>
      </c>
      <c r="F46" s="619"/>
      <c r="G46" s="620">
        <f t="shared" si="0"/>
        <v>500000</v>
      </c>
      <c r="H46" s="619">
        <v>0</v>
      </c>
      <c r="I46" s="535"/>
      <c r="J46" s="620">
        <f t="shared" si="1"/>
        <v>0</v>
      </c>
      <c r="K46" s="624">
        <f t="shared" si="13"/>
        <v>500000</v>
      </c>
      <c r="L46" s="619"/>
      <c r="M46" s="620">
        <f t="shared" si="3"/>
        <v>500000</v>
      </c>
      <c r="N46" s="541" t="s">
        <v>2027</v>
      </c>
      <c r="O46" s="209">
        <v>1</v>
      </c>
      <c r="P46" s="209"/>
    </row>
    <row r="47" spans="1:16" s="210" customFormat="1" x14ac:dyDescent="0.3">
      <c r="A47" s="543"/>
      <c r="B47" s="627" t="s">
        <v>743</v>
      </c>
      <c r="C47" s="534"/>
      <c r="D47" s="622"/>
      <c r="E47" s="620">
        <f>SUM(E37:E46)</f>
        <v>4840193.2</v>
      </c>
      <c r="F47" s="620">
        <f t="shared" ref="F47:L47" si="14">SUM(F37:F46)</f>
        <v>0</v>
      </c>
      <c r="G47" s="620">
        <f t="shared" si="0"/>
        <v>4840193.2</v>
      </c>
      <c r="H47" s="620">
        <f>SUM(H37:H46)</f>
        <v>3986745</v>
      </c>
      <c r="I47" s="620">
        <f t="shared" si="14"/>
        <v>0</v>
      </c>
      <c r="J47" s="620">
        <f t="shared" si="1"/>
        <v>3986745</v>
      </c>
      <c r="K47" s="620">
        <f>SUM(K37:K46)</f>
        <v>853448.2</v>
      </c>
      <c r="L47" s="620">
        <f t="shared" si="14"/>
        <v>0</v>
      </c>
      <c r="M47" s="620">
        <f t="shared" si="3"/>
        <v>853448.2</v>
      </c>
      <c r="N47" s="541"/>
      <c r="O47" s="209"/>
      <c r="P47" s="209"/>
    </row>
    <row r="48" spans="1:16" s="210" customFormat="1" ht="14.4" x14ac:dyDescent="0.3">
      <c r="A48" s="879" t="s">
        <v>2028</v>
      </c>
      <c r="B48" s="880"/>
      <c r="C48" s="880"/>
      <c r="D48" s="880"/>
      <c r="E48" s="880"/>
      <c r="F48" s="880"/>
      <c r="G48" s="880"/>
      <c r="H48" s="880"/>
      <c r="I48" s="880"/>
      <c r="J48" s="880"/>
      <c r="K48" s="880"/>
      <c r="L48" s="880"/>
      <c r="M48" s="880"/>
      <c r="N48" s="881"/>
      <c r="O48" s="209"/>
      <c r="P48" s="209"/>
    </row>
    <row r="49" spans="1:16" s="210" customFormat="1" ht="55.2" x14ac:dyDescent="0.3">
      <c r="A49" s="543">
        <v>23</v>
      </c>
      <c r="B49" s="631" t="s">
        <v>2029</v>
      </c>
      <c r="C49" s="534" t="s">
        <v>2017</v>
      </c>
      <c r="D49" s="622" t="s">
        <v>1983</v>
      </c>
      <c r="E49" s="628">
        <v>1500000</v>
      </c>
      <c r="F49" s="619"/>
      <c r="G49" s="620">
        <f t="shared" si="0"/>
        <v>1500000</v>
      </c>
      <c r="H49" s="624">
        <f>127000+145000+37180+100000+172965+47320+149850+112500+160460+99461+158245+150000</f>
        <v>1459981</v>
      </c>
      <c r="I49" s="535"/>
      <c r="J49" s="620">
        <f t="shared" si="1"/>
        <v>1459981</v>
      </c>
      <c r="K49" s="619">
        <f>E49-H49</f>
        <v>40019</v>
      </c>
      <c r="L49" s="619"/>
      <c r="M49" s="620">
        <f t="shared" si="3"/>
        <v>40019</v>
      </c>
      <c r="N49" s="541"/>
    </row>
    <row r="50" spans="1:16" s="210" customFormat="1" x14ac:dyDescent="0.3">
      <c r="A50" s="543">
        <v>24</v>
      </c>
      <c r="B50" s="541" t="s">
        <v>2030</v>
      </c>
      <c r="C50" s="550" t="s">
        <v>2017</v>
      </c>
      <c r="D50" s="622" t="s">
        <v>1983</v>
      </c>
      <c r="E50" s="619"/>
      <c r="F50" s="619">
        <v>800000</v>
      </c>
      <c r="G50" s="620">
        <f t="shared" si="0"/>
        <v>800000</v>
      </c>
      <c r="H50" s="480">
        <v>798000</v>
      </c>
      <c r="I50" s="535"/>
      <c r="J50" s="620">
        <f t="shared" si="1"/>
        <v>798000</v>
      </c>
      <c r="K50" s="619"/>
      <c r="L50" s="619">
        <f>F50-H50</f>
        <v>2000</v>
      </c>
      <c r="M50" s="620">
        <f t="shared" si="3"/>
        <v>2000</v>
      </c>
      <c r="N50" s="541"/>
    </row>
    <row r="51" spans="1:16" s="210" customFormat="1" ht="82.8" x14ac:dyDescent="0.3">
      <c r="A51" s="543">
        <v>25</v>
      </c>
      <c r="B51" s="631" t="s">
        <v>2031</v>
      </c>
      <c r="C51" s="534" t="s">
        <v>2024</v>
      </c>
      <c r="D51" s="622" t="s">
        <v>1972</v>
      </c>
      <c r="E51" s="619">
        <v>1000000</v>
      </c>
      <c r="G51" s="620">
        <f t="shared" si="0"/>
        <v>1000000</v>
      </c>
      <c r="H51" s="538"/>
      <c r="I51" s="535"/>
      <c r="J51" s="620">
        <f t="shared" si="1"/>
        <v>0</v>
      </c>
      <c r="K51" s="619">
        <f>E51-H51</f>
        <v>1000000</v>
      </c>
      <c r="L51" s="619"/>
      <c r="M51" s="620">
        <f t="shared" si="3"/>
        <v>1000000</v>
      </c>
      <c r="N51" s="541" t="s">
        <v>2032</v>
      </c>
      <c r="O51" s="209">
        <v>1</v>
      </c>
      <c r="P51" s="209"/>
    </row>
    <row r="52" spans="1:16" s="210" customFormat="1" x14ac:dyDescent="0.3">
      <c r="A52" s="543">
        <v>26</v>
      </c>
      <c r="B52" s="541" t="s">
        <v>2033</v>
      </c>
      <c r="C52" s="534" t="s">
        <v>1978</v>
      </c>
      <c r="D52" s="632" t="s">
        <v>1983</v>
      </c>
      <c r="E52" s="619"/>
      <c r="F52" s="619">
        <v>1700000</v>
      </c>
      <c r="G52" s="620">
        <f t="shared" si="0"/>
        <v>1700000</v>
      </c>
      <c r="H52" s="628">
        <v>1672247.45</v>
      </c>
      <c r="I52" s="535"/>
      <c r="J52" s="620">
        <f t="shared" si="1"/>
        <v>1672247.45</v>
      </c>
      <c r="K52" s="619"/>
      <c r="L52" s="619">
        <f>F52-H52</f>
        <v>27752.550000000047</v>
      </c>
      <c r="M52" s="620">
        <f t="shared" si="3"/>
        <v>27752.550000000047</v>
      </c>
      <c r="N52" s="541"/>
    </row>
    <row r="53" spans="1:16" s="210" customFormat="1" x14ac:dyDescent="0.3">
      <c r="A53" s="543"/>
      <c r="B53" s="627" t="s">
        <v>743</v>
      </c>
      <c r="C53" s="535"/>
      <c r="D53" s="618"/>
      <c r="E53" s="620">
        <f>SUM(E49:E52)</f>
        <v>2500000</v>
      </c>
      <c r="F53" s="620">
        <f t="shared" ref="F53:I53" si="15">SUM(F49:F52)</f>
        <v>2500000</v>
      </c>
      <c r="G53" s="620">
        <f t="shared" si="0"/>
        <v>5000000</v>
      </c>
      <c r="H53" s="620">
        <f t="shared" si="15"/>
        <v>3930228.45</v>
      </c>
      <c r="I53" s="620">
        <f t="shared" si="15"/>
        <v>0</v>
      </c>
      <c r="J53" s="620">
        <f t="shared" si="1"/>
        <v>3930228.45</v>
      </c>
      <c r="K53" s="620">
        <f>SUM(K49:K52)</f>
        <v>1040019</v>
      </c>
      <c r="L53" s="620">
        <f>SUM(L49:L52)</f>
        <v>29752.550000000047</v>
      </c>
      <c r="M53" s="620">
        <f t="shared" si="3"/>
        <v>1069771.55</v>
      </c>
      <c r="N53" s="541"/>
      <c r="O53" s="209"/>
      <c r="P53" s="209"/>
    </row>
    <row r="54" spans="1:16" s="210" customFormat="1" x14ac:dyDescent="0.3">
      <c r="A54" s="633"/>
      <c r="B54" s="634" t="s">
        <v>2034</v>
      </c>
      <c r="C54" s="635"/>
      <c r="D54" s="636"/>
      <c r="E54" s="637">
        <f>E53+E47+E35+E24</f>
        <v>9240193.1999999993</v>
      </c>
      <c r="F54" s="637">
        <f t="shared" ref="F54:L54" si="16">F53+F47+F35+F24</f>
        <v>44400000</v>
      </c>
      <c r="G54" s="637">
        <f t="shared" si="0"/>
        <v>53640193.200000003</v>
      </c>
      <c r="H54" s="637">
        <f t="shared" si="16"/>
        <v>14074883.17</v>
      </c>
      <c r="I54" s="637">
        <f t="shared" si="16"/>
        <v>0</v>
      </c>
      <c r="J54" s="637">
        <f t="shared" si="1"/>
        <v>14074883.17</v>
      </c>
      <c r="K54" s="637">
        <f t="shared" si="16"/>
        <v>2725537.48</v>
      </c>
      <c r="L54" s="637">
        <f t="shared" si="16"/>
        <v>36839772.549999997</v>
      </c>
      <c r="M54" s="637">
        <f t="shared" si="3"/>
        <v>39565310.029999994</v>
      </c>
      <c r="N54" s="638"/>
      <c r="O54" s="209"/>
      <c r="P54" s="209">
        <f>SUBTOTAL(9,O7:O51)</f>
        <v>17</v>
      </c>
    </row>
    <row r="55" spans="1:16" s="210" customFormat="1" x14ac:dyDescent="0.3">
      <c r="A55" s="886" t="s">
        <v>2035</v>
      </c>
      <c r="B55" s="887"/>
      <c r="C55" s="887"/>
      <c r="D55" s="887"/>
      <c r="E55" s="887"/>
      <c r="F55" s="887"/>
      <c r="G55" s="887"/>
      <c r="H55" s="887"/>
      <c r="I55" s="887"/>
      <c r="J55" s="887"/>
      <c r="K55" s="887"/>
      <c r="L55" s="887"/>
      <c r="M55" s="887"/>
      <c r="N55" s="888"/>
      <c r="O55" s="209"/>
      <c r="P55" s="209"/>
    </row>
    <row r="56" spans="1:16" s="210" customFormat="1" x14ac:dyDescent="0.3">
      <c r="A56" s="889" t="s">
        <v>2036</v>
      </c>
      <c r="B56" s="890"/>
      <c r="C56" s="890"/>
      <c r="D56" s="890"/>
      <c r="E56" s="890"/>
      <c r="F56" s="890"/>
      <c r="G56" s="890"/>
      <c r="H56" s="890"/>
      <c r="I56" s="890"/>
      <c r="J56" s="890"/>
      <c r="K56" s="890"/>
      <c r="L56" s="890"/>
      <c r="M56" s="890"/>
      <c r="N56" s="891"/>
      <c r="O56" s="209"/>
      <c r="P56" s="209"/>
    </row>
    <row r="57" spans="1:16" s="210" customFormat="1" ht="41.4" x14ac:dyDescent="0.3">
      <c r="A57" s="543">
        <v>1</v>
      </c>
      <c r="B57" s="541" t="s">
        <v>2037</v>
      </c>
      <c r="C57" s="550" t="s">
        <v>1971</v>
      </c>
      <c r="D57" s="622" t="s">
        <v>2038</v>
      </c>
      <c r="E57" s="619"/>
      <c r="F57" s="618">
        <v>485000</v>
      </c>
      <c r="G57" s="639">
        <f t="shared" si="0"/>
        <v>485000</v>
      </c>
      <c r="H57" s="619">
        <v>0</v>
      </c>
      <c r="I57" s="535"/>
      <c r="J57" s="639">
        <f t="shared" si="1"/>
        <v>0</v>
      </c>
      <c r="K57" s="619"/>
      <c r="L57" s="619">
        <f>F57-H57</f>
        <v>485000</v>
      </c>
      <c r="M57" s="639">
        <f t="shared" si="3"/>
        <v>485000</v>
      </c>
      <c r="N57" s="541" t="s">
        <v>2002</v>
      </c>
      <c r="O57" s="209">
        <v>1</v>
      </c>
      <c r="P57" s="209"/>
    </row>
    <row r="58" spans="1:16" s="642" customFormat="1" x14ac:dyDescent="0.3">
      <c r="A58" s="617"/>
      <c r="B58" s="627" t="s">
        <v>743</v>
      </c>
      <c r="C58" s="640"/>
      <c r="D58" s="639"/>
      <c r="E58" s="620">
        <f>SUM(E57)</f>
        <v>0</v>
      </c>
      <c r="F58" s="620">
        <f t="shared" ref="F58:L58" si="17">SUM(F57)</f>
        <v>485000</v>
      </c>
      <c r="G58" s="620">
        <f t="shared" si="0"/>
        <v>485000</v>
      </c>
      <c r="H58" s="620">
        <f t="shared" si="17"/>
        <v>0</v>
      </c>
      <c r="I58" s="620">
        <f t="shared" si="17"/>
        <v>0</v>
      </c>
      <c r="J58" s="620">
        <f t="shared" si="1"/>
        <v>0</v>
      </c>
      <c r="K58" s="620">
        <f t="shared" si="17"/>
        <v>0</v>
      </c>
      <c r="L58" s="620">
        <f t="shared" si="17"/>
        <v>485000</v>
      </c>
      <c r="M58" s="620">
        <f t="shared" si="3"/>
        <v>485000</v>
      </c>
      <c r="N58" s="627"/>
      <c r="O58" s="641"/>
      <c r="P58" s="641"/>
    </row>
    <row r="59" spans="1:16" s="210" customFormat="1" x14ac:dyDescent="0.3">
      <c r="A59" s="889" t="s">
        <v>2039</v>
      </c>
      <c r="B59" s="890"/>
      <c r="C59" s="890"/>
      <c r="D59" s="890"/>
      <c r="E59" s="890"/>
      <c r="F59" s="890"/>
      <c r="G59" s="890"/>
      <c r="H59" s="890"/>
      <c r="I59" s="890"/>
      <c r="J59" s="890"/>
      <c r="K59" s="890"/>
      <c r="L59" s="890"/>
      <c r="M59" s="890"/>
      <c r="N59" s="891"/>
      <c r="O59" s="209"/>
      <c r="P59" s="209"/>
    </row>
    <row r="60" spans="1:16" s="210" customFormat="1" ht="27.6" x14ac:dyDescent="0.3">
      <c r="A60" s="543">
        <v>2</v>
      </c>
      <c r="B60" s="541" t="s">
        <v>2040</v>
      </c>
      <c r="C60" s="550" t="s">
        <v>1971</v>
      </c>
      <c r="D60" s="618" t="s">
        <v>2041</v>
      </c>
      <c r="E60" s="619"/>
      <c r="F60" s="619">
        <v>46120</v>
      </c>
      <c r="G60" s="620">
        <f t="shared" si="0"/>
        <v>46120</v>
      </c>
      <c r="H60" s="619">
        <v>0</v>
      </c>
      <c r="I60" s="535"/>
      <c r="J60" s="620">
        <f t="shared" si="1"/>
        <v>0</v>
      </c>
      <c r="K60" s="619"/>
      <c r="L60" s="619">
        <f>F60-H60</f>
        <v>46120</v>
      </c>
      <c r="M60" s="620">
        <f t="shared" si="3"/>
        <v>46120</v>
      </c>
      <c r="N60" s="541"/>
      <c r="O60" s="209">
        <v>1</v>
      </c>
      <c r="P60" s="209"/>
    </row>
    <row r="61" spans="1:16" s="210" customFormat="1" x14ac:dyDescent="0.3">
      <c r="A61" s="543"/>
      <c r="B61" s="627" t="s">
        <v>743</v>
      </c>
      <c r="C61" s="550"/>
      <c r="D61" s="618"/>
      <c r="E61" s="620">
        <f t="shared" ref="E61:F61" si="18">SUM(E60)</f>
        <v>0</v>
      </c>
      <c r="F61" s="620">
        <f t="shared" si="18"/>
        <v>46120</v>
      </c>
      <c r="G61" s="620">
        <f t="shared" si="0"/>
        <v>46120</v>
      </c>
      <c r="H61" s="620">
        <f t="shared" ref="H61:I61" si="19">SUM(H60)</f>
        <v>0</v>
      </c>
      <c r="I61" s="620">
        <f t="shared" si="19"/>
        <v>0</v>
      </c>
      <c r="J61" s="620">
        <f t="shared" si="1"/>
        <v>0</v>
      </c>
      <c r="K61" s="620">
        <f t="shared" ref="K61:L61" si="20">SUM(K60)</f>
        <v>0</v>
      </c>
      <c r="L61" s="620">
        <f t="shared" si="20"/>
        <v>46120</v>
      </c>
      <c r="M61" s="620">
        <f t="shared" si="3"/>
        <v>46120</v>
      </c>
      <c r="N61" s="541"/>
      <c r="O61" s="209"/>
      <c r="P61" s="209"/>
    </row>
    <row r="62" spans="1:16" s="210" customFormat="1" x14ac:dyDescent="0.3">
      <c r="A62" s="889" t="s">
        <v>2042</v>
      </c>
      <c r="B62" s="890"/>
      <c r="C62" s="890"/>
      <c r="D62" s="890"/>
      <c r="E62" s="890"/>
      <c r="F62" s="890"/>
      <c r="G62" s="890"/>
      <c r="H62" s="890"/>
      <c r="I62" s="890"/>
      <c r="J62" s="890"/>
      <c r="K62" s="890"/>
      <c r="L62" s="890"/>
      <c r="M62" s="890"/>
      <c r="N62" s="891"/>
      <c r="O62" s="209"/>
      <c r="P62" s="209"/>
    </row>
    <row r="63" spans="1:16" s="210" customFormat="1" ht="41.4" x14ac:dyDescent="0.3">
      <c r="A63" s="543">
        <v>3</v>
      </c>
      <c r="B63" s="541" t="s">
        <v>2043</v>
      </c>
      <c r="C63" s="550" t="s">
        <v>1971</v>
      </c>
      <c r="D63" s="618" t="s">
        <v>2041</v>
      </c>
      <c r="E63" s="619"/>
      <c r="F63" s="618">
        <v>16194.01</v>
      </c>
      <c r="G63" s="639">
        <f t="shared" si="0"/>
        <v>16194.01</v>
      </c>
      <c r="H63" s="619">
        <v>0</v>
      </c>
      <c r="I63" s="535"/>
      <c r="J63" s="639">
        <f t="shared" si="1"/>
        <v>0</v>
      </c>
      <c r="K63" s="619"/>
      <c r="L63" s="619">
        <f>F63-H63</f>
        <v>16194.01</v>
      </c>
      <c r="M63" s="639">
        <f t="shared" si="3"/>
        <v>16194.01</v>
      </c>
      <c r="N63" s="541"/>
      <c r="O63" s="209">
        <v>1</v>
      </c>
      <c r="P63" s="209"/>
    </row>
    <row r="64" spans="1:16" s="210" customFormat="1" x14ac:dyDescent="0.3">
      <c r="A64" s="543"/>
      <c r="B64" s="627" t="s">
        <v>743</v>
      </c>
      <c r="C64" s="550"/>
      <c r="D64" s="618"/>
      <c r="E64" s="620">
        <f t="shared" ref="E64:F64" si="21">SUM(E63)</f>
        <v>0</v>
      </c>
      <c r="F64" s="620">
        <f t="shared" si="21"/>
        <v>16194.01</v>
      </c>
      <c r="G64" s="620">
        <f t="shared" si="0"/>
        <v>16194.01</v>
      </c>
      <c r="H64" s="620">
        <f t="shared" ref="H64:I64" si="22">SUM(H63)</f>
        <v>0</v>
      </c>
      <c r="I64" s="620">
        <f t="shared" si="22"/>
        <v>0</v>
      </c>
      <c r="J64" s="620">
        <f t="shared" si="1"/>
        <v>0</v>
      </c>
      <c r="K64" s="620">
        <f t="shared" ref="K64:L64" si="23">SUM(K63)</f>
        <v>0</v>
      </c>
      <c r="L64" s="620">
        <f t="shared" si="23"/>
        <v>16194.01</v>
      </c>
      <c r="M64" s="620">
        <f t="shared" si="3"/>
        <v>16194.01</v>
      </c>
      <c r="N64" s="541"/>
      <c r="O64" s="209"/>
      <c r="P64" s="209"/>
    </row>
    <row r="65" spans="1:16" s="210" customFormat="1" x14ac:dyDescent="0.3">
      <c r="A65" s="889" t="s">
        <v>2044</v>
      </c>
      <c r="B65" s="890"/>
      <c r="C65" s="890"/>
      <c r="D65" s="890"/>
      <c r="E65" s="890"/>
      <c r="F65" s="890"/>
      <c r="G65" s="890"/>
      <c r="H65" s="890"/>
      <c r="I65" s="890"/>
      <c r="J65" s="890"/>
      <c r="K65" s="890"/>
      <c r="L65" s="890"/>
      <c r="M65" s="890"/>
      <c r="N65" s="891"/>
      <c r="O65" s="209"/>
      <c r="P65" s="209"/>
    </row>
    <row r="66" spans="1:16" s="210" customFormat="1" ht="41.4" x14ac:dyDescent="0.3">
      <c r="A66" s="543">
        <v>4</v>
      </c>
      <c r="B66" s="541" t="s">
        <v>17</v>
      </c>
      <c r="C66" s="550" t="s">
        <v>1971</v>
      </c>
      <c r="D66" s="618" t="s">
        <v>2045</v>
      </c>
      <c r="E66" s="619"/>
      <c r="F66" s="619">
        <v>868899.5</v>
      </c>
      <c r="G66" s="620">
        <f t="shared" si="0"/>
        <v>868899.5</v>
      </c>
      <c r="H66" s="480">
        <v>735500</v>
      </c>
      <c r="I66" s="535"/>
      <c r="J66" s="620">
        <f t="shared" si="1"/>
        <v>735500</v>
      </c>
      <c r="K66" s="619"/>
      <c r="L66" s="619">
        <f>F66-H66</f>
        <v>133399.5</v>
      </c>
      <c r="M66" s="620">
        <f t="shared" si="3"/>
        <v>133399.5</v>
      </c>
      <c r="N66" s="541"/>
      <c r="O66" s="209">
        <v>1</v>
      </c>
      <c r="P66" s="209"/>
    </row>
    <row r="67" spans="1:16" s="210" customFormat="1" ht="41.4" x14ac:dyDescent="0.3">
      <c r="A67" s="543">
        <v>5</v>
      </c>
      <c r="B67" s="541" t="s">
        <v>2046</v>
      </c>
      <c r="C67" s="550" t="s">
        <v>1971</v>
      </c>
      <c r="D67" s="622" t="s">
        <v>1972</v>
      </c>
      <c r="E67" s="619"/>
      <c r="F67" s="619">
        <v>912949</v>
      </c>
      <c r="G67" s="620">
        <f t="shared" si="0"/>
        <v>912949</v>
      </c>
      <c r="H67" s="619"/>
      <c r="I67" s="535"/>
      <c r="J67" s="620">
        <f t="shared" si="1"/>
        <v>0</v>
      </c>
      <c r="K67" s="619"/>
      <c r="L67" s="619">
        <f t="shared" ref="L67:L68" si="24">F67-H67</f>
        <v>912949</v>
      </c>
      <c r="M67" s="620">
        <f t="shared" si="3"/>
        <v>912949</v>
      </c>
      <c r="N67" s="541"/>
      <c r="O67" s="209">
        <v>1</v>
      </c>
      <c r="P67" s="209"/>
    </row>
    <row r="68" spans="1:16" s="210" customFormat="1" ht="41.4" x14ac:dyDescent="0.3">
      <c r="A68" s="543">
        <v>6</v>
      </c>
      <c r="B68" s="541" t="s">
        <v>2047</v>
      </c>
      <c r="C68" s="550" t="s">
        <v>1971</v>
      </c>
      <c r="D68" s="622" t="s">
        <v>2038</v>
      </c>
      <c r="E68" s="619"/>
      <c r="F68" s="619">
        <v>477800</v>
      </c>
      <c r="G68" s="620">
        <f t="shared" si="0"/>
        <v>477800</v>
      </c>
      <c r="H68" s="619"/>
      <c r="I68" s="535"/>
      <c r="J68" s="620">
        <f t="shared" si="1"/>
        <v>0</v>
      </c>
      <c r="K68" s="619"/>
      <c r="L68" s="619">
        <f t="shared" si="24"/>
        <v>477800</v>
      </c>
      <c r="M68" s="620">
        <f t="shared" si="3"/>
        <v>477800</v>
      </c>
      <c r="N68" s="541" t="s">
        <v>2002</v>
      </c>
      <c r="O68" s="209">
        <v>1</v>
      </c>
      <c r="P68" s="209"/>
    </row>
    <row r="69" spans="1:16" s="210" customFormat="1" x14ac:dyDescent="0.3">
      <c r="A69" s="543"/>
      <c r="B69" s="627" t="s">
        <v>743</v>
      </c>
      <c r="C69" s="550"/>
      <c r="D69" s="618"/>
      <c r="E69" s="620">
        <f>SUM(E66:E68)</f>
        <v>0</v>
      </c>
      <c r="F69" s="620">
        <f>SUM(F66:F68)</f>
        <v>2259648.5</v>
      </c>
      <c r="G69" s="620">
        <f t="shared" si="0"/>
        <v>2259648.5</v>
      </c>
      <c r="H69" s="620">
        <f t="shared" ref="H69:L69" si="25">SUM(H66:H68)</f>
        <v>735500</v>
      </c>
      <c r="I69" s="620">
        <f t="shared" si="25"/>
        <v>0</v>
      </c>
      <c r="J69" s="620">
        <f t="shared" si="1"/>
        <v>735500</v>
      </c>
      <c r="K69" s="620">
        <f t="shared" si="25"/>
        <v>0</v>
      </c>
      <c r="L69" s="620">
        <f t="shared" si="25"/>
        <v>1524148.5</v>
      </c>
      <c r="M69" s="620">
        <f t="shared" si="3"/>
        <v>1524148.5</v>
      </c>
      <c r="N69" s="541"/>
      <c r="O69" s="209"/>
      <c r="P69" s="209"/>
    </row>
    <row r="70" spans="1:16" s="210" customFormat="1" x14ac:dyDescent="0.3">
      <c r="A70" s="889" t="s">
        <v>2048</v>
      </c>
      <c r="B70" s="890"/>
      <c r="C70" s="890"/>
      <c r="D70" s="890"/>
      <c r="E70" s="890"/>
      <c r="F70" s="890"/>
      <c r="G70" s="890"/>
      <c r="H70" s="890"/>
      <c r="I70" s="890"/>
      <c r="J70" s="890"/>
      <c r="K70" s="890"/>
      <c r="L70" s="890"/>
      <c r="M70" s="890"/>
      <c r="N70" s="891"/>
      <c r="O70" s="209"/>
      <c r="P70" s="209"/>
    </row>
    <row r="71" spans="1:16" s="210" customFormat="1" ht="27.6" x14ac:dyDescent="0.3">
      <c r="A71" s="543">
        <v>7</v>
      </c>
      <c r="B71" s="541" t="s">
        <v>2049</v>
      </c>
      <c r="C71" s="550" t="s">
        <v>1978</v>
      </c>
      <c r="D71" s="618" t="s">
        <v>1983</v>
      </c>
      <c r="E71" s="619"/>
      <c r="F71" s="643">
        <v>4000000</v>
      </c>
      <c r="G71" s="644">
        <f t="shared" si="0"/>
        <v>4000000</v>
      </c>
      <c r="H71" s="643">
        <v>3962558.99</v>
      </c>
      <c r="I71" s="535"/>
      <c r="J71" s="644">
        <f t="shared" si="1"/>
        <v>3962558.99</v>
      </c>
      <c r="K71" s="619"/>
      <c r="L71" s="619">
        <f t="shared" ref="L71:L84" si="26">F71-H71</f>
        <v>37441.009999999776</v>
      </c>
      <c r="M71" s="644">
        <f t="shared" si="3"/>
        <v>37441.009999999776</v>
      </c>
      <c r="N71" s="541"/>
    </row>
    <row r="72" spans="1:16" s="210" customFormat="1" ht="41.4" x14ac:dyDescent="0.3">
      <c r="A72" s="543">
        <v>8</v>
      </c>
      <c r="B72" s="541" t="s">
        <v>2050</v>
      </c>
      <c r="C72" s="550" t="s">
        <v>1978</v>
      </c>
      <c r="D72" s="618" t="s">
        <v>2051</v>
      </c>
      <c r="E72" s="619"/>
      <c r="F72" s="643">
        <v>1500000</v>
      </c>
      <c r="G72" s="644">
        <f t="shared" si="0"/>
        <v>1500000</v>
      </c>
      <c r="H72" s="643">
        <v>0</v>
      </c>
      <c r="I72" s="535"/>
      <c r="J72" s="644">
        <f t="shared" si="1"/>
        <v>0</v>
      </c>
      <c r="K72" s="619"/>
      <c r="L72" s="619">
        <f t="shared" si="26"/>
        <v>1500000</v>
      </c>
      <c r="M72" s="644">
        <f t="shared" si="3"/>
        <v>1500000</v>
      </c>
      <c r="N72" s="541"/>
      <c r="O72" s="209">
        <v>1</v>
      </c>
      <c r="P72" s="209"/>
    </row>
    <row r="73" spans="1:16" s="210" customFormat="1" x14ac:dyDescent="0.3">
      <c r="A73" s="543">
        <v>9</v>
      </c>
      <c r="B73" s="541" t="s">
        <v>62</v>
      </c>
      <c r="C73" s="550" t="s">
        <v>1978</v>
      </c>
      <c r="D73" s="618" t="s">
        <v>1983</v>
      </c>
      <c r="E73" s="619"/>
      <c r="F73" s="643">
        <v>4000000</v>
      </c>
      <c r="G73" s="644">
        <f t="shared" si="0"/>
        <v>4000000</v>
      </c>
      <c r="H73" s="643">
        <v>3993030</v>
      </c>
      <c r="I73" s="535"/>
      <c r="J73" s="644">
        <f t="shared" si="1"/>
        <v>3993030</v>
      </c>
      <c r="K73" s="619"/>
      <c r="L73" s="619">
        <f t="shared" si="26"/>
        <v>6970</v>
      </c>
      <c r="M73" s="644">
        <f t="shared" si="3"/>
        <v>6970</v>
      </c>
      <c r="N73" s="541"/>
    </row>
    <row r="74" spans="1:16" s="210" customFormat="1" x14ac:dyDescent="0.3">
      <c r="A74" s="543">
        <v>10</v>
      </c>
      <c r="B74" s="541" t="s">
        <v>395</v>
      </c>
      <c r="C74" s="550" t="s">
        <v>1971</v>
      </c>
      <c r="D74" s="618" t="s">
        <v>2052</v>
      </c>
      <c r="E74" s="619"/>
      <c r="F74" s="618">
        <v>261000</v>
      </c>
      <c r="G74" s="639">
        <f t="shared" ref="G74:G128" si="27">SUM(E74:F74)</f>
        <v>261000</v>
      </c>
      <c r="H74" s="643">
        <v>247000</v>
      </c>
      <c r="I74" s="535"/>
      <c r="J74" s="639">
        <f t="shared" ref="J74:J128" si="28">SUM(H74:I74)</f>
        <v>247000</v>
      </c>
      <c r="K74" s="619"/>
      <c r="L74" s="619">
        <f t="shared" si="26"/>
        <v>14000</v>
      </c>
      <c r="M74" s="639">
        <f t="shared" ref="M74:M128" si="29">SUM(K74:L74)</f>
        <v>14000</v>
      </c>
      <c r="N74" s="541"/>
    </row>
    <row r="75" spans="1:16" s="210" customFormat="1" ht="27.6" x14ac:dyDescent="0.3">
      <c r="A75" s="543">
        <v>11</v>
      </c>
      <c r="B75" s="541" t="s">
        <v>1031</v>
      </c>
      <c r="C75" s="550" t="s">
        <v>1971</v>
      </c>
      <c r="D75" s="618" t="s">
        <v>2052</v>
      </c>
      <c r="E75" s="619"/>
      <c r="F75" s="618">
        <v>606500</v>
      </c>
      <c r="G75" s="639">
        <f t="shared" si="27"/>
        <v>606500</v>
      </c>
      <c r="H75" s="643">
        <v>548180</v>
      </c>
      <c r="I75" s="535"/>
      <c r="J75" s="639">
        <f t="shared" si="28"/>
        <v>548180</v>
      </c>
      <c r="K75" s="619"/>
      <c r="L75" s="619">
        <f t="shared" si="26"/>
        <v>58320</v>
      </c>
      <c r="M75" s="639">
        <f t="shared" si="29"/>
        <v>58320</v>
      </c>
      <c r="N75" s="541"/>
    </row>
    <row r="76" spans="1:16" s="210" customFormat="1" x14ac:dyDescent="0.3">
      <c r="A76" s="543">
        <v>12</v>
      </c>
      <c r="B76" s="541" t="s">
        <v>17</v>
      </c>
      <c r="C76" s="550" t="s">
        <v>1971</v>
      </c>
      <c r="D76" s="622" t="s">
        <v>1972</v>
      </c>
      <c r="E76" s="619"/>
      <c r="F76" s="618">
        <v>365000</v>
      </c>
      <c r="G76" s="639">
        <f t="shared" si="27"/>
        <v>365000</v>
      </c>
      <c r="H76" s="619"/>
      <c r="I76" s="535"/>
      <c r="J76" s="639">
        <f t="shared" si="28"/>
        <v>0</v>
      </c>
      <c r="K76" s="619"/>
      <c r="L76" s="619">
        <f t="shared" si="26"/>
        <v>365000</v>
      </c>
      <c r="M76" s="639">
        <f t="shared" si="29"/>
        <v>365000</v>
      </c>
      <c r="N76" s="541"/>
      <c r="O76" s="209">
        <v>1</v>
      </c>
      <c r="P76" s="209"/>
    </row>
    <row r="77" spans="1:16" s="210" customFormat="1" ht="27.6" x14ac:dyDescent="0.3">
      <c r="A77" s="543">
        <v>13</v>
      </c>
      <c r="B77" s="541" t="s">
        <v>2053</v>
      </c>
      <c r="C77" s="550" t="s">
        <v>1971</v>
      </c>
      <c r="D77" s="618" t="s">
        <v>2041</v>
      </c>
      <c r="E77" s="619"/>
      <c r="F77" s="618">
        <v>25000</v>
      </c>
      <c r="G77" s="639">
        <f t="shared" si="27"/>
        <v>25000</v>
      </c>
      <c r="H77" s="619"/>
      <c r="I77" s="535"/>
      <c r="J77" s="639">
        <f t="shared" si="28"/>
        <v>0</v>
      </c>
      <c r="K77" s="619"/>
      <c r="L77" s="619">
        <f t="shared" si="26"/>
        <v>25000</v>
      </c>
      <c r="M77" s="639">
        <f t="shared" si="29"/>
        <v>25000</v>
      </c>
      <c r="N77" s="541"/>
      <c r="O77" s="209">
        <v>1</v>
      </c>
      <c r="P77" s="209"/>
    </row>
    <row r="78" spans="1:16" s="210" customFormat="1" x14ac:dyDescent="0.3">
      <c r="A78" s="543">
        <v>14</v>
      </c>
      <c r="B78" s="541" t="s">
        <v>2054</v>
      </c>
      <c r="C78" s="550" t="s">
        <v>2026</v>
      </c>
      <c r="D78" s="622" t="s">
        <v>1972</v>
      </c>
      <c r="E78" s="619"/>
      <c r="F78" s="618">
        <v>500000</v>
      </c>
      <c r="G78" s="639">
        <f t="shared" si="27"/>
        <v>500000</v>
      </c>
      <c r="H78" s="619"/>
      <c r="I78" s="535"/>
      <c r="J78" s="639">
        <f t="shared" si="28"/>
        <v>0</v>
      </c>
      <c r="K78" s="619"/>
      <c r="L78" s="619">
        <f t="shared" si="26"/>
        <v>500000</v>
      </c>
      <c r="M78" s="639">
        <f t="shared" si="29"/>
        <v>500000</v>
      </c>
      <c r="N78" s="541"/>
      <c r="O78" s="209">
        <v>1</v>
      </c>
      <c r="P78" s="209"/>
    </row>
    <row r="79" spans="1:16" s="210" customFormat="1" ht="27.6" x14ac:dyDescent="0.3">
      <c r="A79" s="543">
        <v>15</v>
      </c>
      <c r="B79" s="541" t="s">
        <v>2055</v>
      </c>
      <c r="C79" s="550" t="s">
        <v>1971</v>
      </c>
      <c r="D79" s="618" t="s">
        <v>2041</v>
      </c>
      <c r="E79" s="619"/>
      <c r="F79" s="618">
        <v>30000</v>
      </c>
      <c r="G79" s="639">
        <f t="shared" si="27"/>
        <v>30000</v>
      </c>
      <c r="H79" s="619"/>
      <c r="I79" s="535"/>
      <c r="J79" s="639">
        <f t="shared" si="28"/>
        <v>0</v>
      </c>
      <c r="K79" s="619"/>
      <c r="L79" s="619">
        <f t="shared" si="26"/>
        <v>30000</v>
      </c>
      <c r="M79" s="639">
        <f t="shared" si="29"/>
        <v>30000</v>
      </c>
      <c r="N79" s="541"/>
      <c r="O79" s="209">
        <v>1</v>
      </c>
      <c r="P79" s="209"/>
    </row>
    <row r="80" spans="1:16" s="210" customFormat="1" ht="41.4" x14ac:dyDescent="0.3">
      <c r="A80" s="543">
        <v>16</v>
      </c>
      <c r="B80" s="541" t="s">
        <v>2056</v>
      </c>
      <c r="C80" s="550" t="s">
        <v>1971</v>
      </c>
      <c r="D80" s="622" t="s">
        <v>1972</v>
      </c>
      <c r="E80" s="619"/>
      <c r="F80" s="618">
        <v>104025.26</v>
      </c>
      <c r="G80" s="639">
        <f t="shared" si="27"/>
        <v>104025.26</v>
      </c>
      <c r="H80" s="619"/>
      <c r="I80" s="535"/>
      <c r="J80" s="639">
        <f t="shared" si="28"/>
        <v>0</v>
      </c>
      <c r="K80" s="619"/>
      <c r="L80" s="619">
        <f t="shared" si="26"/>
        <v>104025.26</v>
      </c>
      <c r="M80" s="639">
        <f t="shared" si="29"/>
        <v>104025.26</v>
      </c>
      <c r="N80" s="541"/>
      <c r="O80" s="209">
        <v>1</v>
      </c>
      <c r="P80" s="209"/>
    </row>
    <row r="81" spans="1:16" s="210" customFormat="1" ht="27.6" x14ac:dyDescent="0.3">
      <c r="A81" s="543">
        <v>17</v>
      </c>
      <c r="B81" s="541" t="s">
        <v>2057</v>
      </c>
      <c r="C81" s="550" t="s">
        <v>1978</v>
      </c>
      <c r="D81" s="622" t="s">
        <v>1972</v>
      </c>
      <c r="E81" s="619"/>
      <c r="F81" s="618">
        <v>1000000</v>
      </c>
      <c r="G81" s="639">
        <f t="shared" si="27"/>
        <v>1000000</v>
      </c>
      <c r="H81" s="619"/>
      <c r="I81" s="535"/>
      <c r="J81" s="639">
        <f t="shared" si="28"/>
        <v>0</v>
      </c>
      <c r="K81" s="619"/>
      <c r="L81" s="619">
        <f t="shared" si="26"/>
        <v>1000000</v>
      </c>
      <c r="M81" s="639">
        <f t="shared" si="29"/>
        <v>1000000</v>
      </c>
      <c r="N81" s="541" t="s">
        <v>2002</v>
      </c>
      <c r="O81" s="209">
        <v>1</v>
      </c>
      <c r="P81" s="209"/>
    </row>
    <row r="82" spans="1:16" s="210" customFormat="1" ht="27.6" x14ac:dyDescent="0.3">
      <c r="A82" s="543">
        <v>18</v>
      </c>
      <c r="B82" s="541" t="s">
        <v>2058</v>
      </c>
      <c r="C82" s="550" t="s">
        <v>1982</v>
      </c>
      <c r="D82" s="622" t="s">
        <v>1972</v>
      </c>
      <c r="E82" s="619"/>
      <c r="F82" s="618">
        <v>1000000</v>
      </c>
      <c r="G82" s="639">
        <f t="shared" si="27"/>
        <v>1000000</v>
      </c>
      <c r="H82" s="619"/>
      <c r="I82" s="535"/>
      <c r="J82" s="639">
        <f t="shared" si="28"/>
        <v>0</v>
      </c>
      <c r="K82" s="619"/>
      <c r="L82" s="619">
        <f t="shared" si="26"/>
        <v>1000000</v>
      </c>
      <c r="M82" s="639">
        <f t="shared" si="29"/>
        <v>1000000</v>
      </c>
      <c r="N82" s="541" t="s">
        <v>2002</v>
      </c>
      <c r="O82" s="209">
        <v>1</v>
      </c>
      <c r="P82" s="209"/>
    </row>
    <row r="83" spans="1:16" s="210" customFormat="1" x14ac:dyDescent="0.3">
      <c r="A83" s="543">
        <v>19</v>
      </c>
      <c r="B83" s="541" t="s">
        <v>254</v>
      </c>
      <c r="C83" s="550" t="s">
        <v>1971</v>
      </c>
      <c r="D83" s="622" t="s">
        <v>1972</v>
      </c>
      <c r="E83" s="619"/>
      <c r="F83" s="618">
        <v>274000</v>
      </c>
      <c r="G83" s="639">
        <f t="shared" si="27"/>
        <v>274000</v>
      </c>
      <c r="H83" s="619"/>
      <c r="I83" s="535"/>
      <c r="J83" s="639">
        <f t="shared" si="28"/>
        <v>0</v>
      </c>
      <c r="K83" s="619"/>
      <c r="L83" s="619">
        <f t="shared" si="26"/>
        <v>274000</v>
      </c>
      <c r="M83" s="639">
        <f t="shared" si="29"/>
        <v>274000</v>
      </c>
      <c r="N83" s="541"/>
      <c r="O83" s="209">
        <v>1</v>
      </c>
      <c r="P83" s="209"/>
    </row>
    <row r="84" spans="1:16" s="210" customFormat="1" ht="27.6" x14ac:dyDescent="0.3">
      <c r="A84" s="543">
        <v>20</v>
      </c>
      <c r="B84" s="541" t="s">
        <v>2059</v>
      </c>
      <c r="C84" s="550" t="s">
        <v>2017</v>
      </c>
      <c r="D84" s="622" t="s">
        <v>1972</v>
      </c>
      <c r="E84" s="619"/>
      <c r="F84" s="618">
        <v>400000</v>
      </c>
      <c r="G84" s="639">
        <f t="shared" si="27"/>
        <v>400000</v>
      </c>
      <c r="H84" s="619"/>
      <c r="I84" s="535"/>
      <c r="J84" s="639">
        <f t="shared" si="28"/>
        <v>0</v>
      </c>
      <c r="K84" s="619"/>
      <c r="L84" s="619">
        <f t="shared" si="26"/>
        <v>400000</v>
      </c>
      <c r="M84" s="639">
        <f t="shared" si="29"/>
        <v>400000</v>
      </c>
      <c r="N84" s="541"/>
      <c r="O84" s="209">
        <v>1</v>
      </c>
      <c r="P84" s="209"/>
    </row>
    <row r="85" spans="1:16" s="210" customFormat="1" x14ac:dyDescent="0.3">
      <c r="A85" s="543"/>
      <c r="B85" s="627" t="s">
        <v>743</v>
      </c>
      <c r="C85" s="535"/>
      <c r="D85" s="618"/>
      <c r="E85" s="619">
        <f>SUM(E71:E84)</f>
        <v>0</v>
      </c>
      <c r="F85" s="620">
        <f>SUM(F71:F84)</f>
        <v>14065525.26</v>
      </c>
      <c r="G85" s="620">
        <f t="shared" si="27"/>
        <v>14065525.26</v>
      </c>
      <c r="H85" s="620">
        <f t="shared" ref="H85:L85" si="30">SUM(H71:H84)</f>
        <v>8750768.9900000002</v>
      </c>
      <c r="I85" s="620">
        <f t="shared" si="30"/>
        <v>0</v>
      </c>
      <c r="J85" s="620">
        <f t="shared" si="28"/>
        <v>8750768.9900000002</v>
      </c>
      <c r="K85" s="620">
        <f t="shared" si="30"/>
        <v>0</v>
      </c>
      <c r="L85" s="620">
        <f t="shared" si="30"/>
        <v>5314756.2699999996</v>
      </c>
      <c r="M85" s="620">
        <f t="shared" si="29"/>
        <v>5314756.2699999996</v>
      </c>
      <c r="N85" s="541"/>
      <c r="O85" s="209"/>
      <c r="P85" s="209"/>
    </row>
    <row r="86" spans="1:16" s="210" customFormat="1" x14ac:dyDescent="0.3">
      <c r="A86" s="633"/>
      <c r="B86" s="728" t="s">
        <v>2060</v>
      </c>
      <c r="C86" s="635"/>
      <c r="D86" s="636"/>
      <c r="E86" s="221">
        <f>SUM(E85+E69+E64+E61+E58)</f>
        <v>0</v>
      </c>
      <c r="F86" s="637">
        <f t="shared" ref="F86:L86" si="31">SUM(F85+F69+F64+F61+F58)</f>
        <v>16872487.77</v>
      </c>
      <c r="G86" s="637">
        <f t="shared" si="27"/>
        <v>16872487.77</v>
      </c>
      <c r="H86" s="637">
        <f t="shared" si="31"/>
        <v>9486268.9900000002</v>
      </c>
      <c r="I86" s="637">
        <f t="shared" si="31"/>
        <v>0</v>
      </c>
      <c r="J86" s="637">
        <f t="shared" si="28"/>
        <v>9486268.9900000002</v>
      </c>
      <c r="K86" s="637">
        <f t="shared" si="31"/>
        <v>0</v>
      </c>
      <c r="L86" s="637">
        <f t="shared" si="31"/>
        <v>7386218.7799999993</v>
      </c>
      <c r="M86" s="637">
        <f>SUM(K86:L86)</f>
        <v>7386218.7799999993</v>
      </c>
      <c r="N86" s="638"/>
      <c r="O86" s="209"/>
      <c r="P86" s="209">
        <f>SUBTOTAL(9,O57:O84)</f>
        <v>16</v>
      </c>
    </row>
    <row r="87" spans="1:16" s="210" customFormat="1" x14ac:dyDescent="0.3">
      <c r="A87" s="886" t="s">
        <v>2061</v>
      </c>
      <c r="B87" s="887"/>
      <c r="C87" s="887"/>
      <c r="D87" s="887"/>
      <c r="E87" s="887"/>
      <c r="F87" s="887"/>
      <c r="G87" s="887"/>
      <c r="H87" s="887"/>
      <c r="I87" s="887"/>
      <c r="J87" s="887"/>
      <c r="K87" s="887"/>
      <c r="L87" s="887"/>
      <c r="M87" s="887"/>
      <c r="N87" s="888"/>
      <c r="O87" s="209"/>
      <c r="P87" s="209"/>
    </row>
    <row r="88" spans="1:16" s="210" customFormat="1" x14ac:dyDescent="0.3">
      <c r="A88" s="889" t="s">
        <v>2062</v>
      </c>
      <c r="B88" s="890"/>
      <c r="C88" s="890"/>
      <c r="D88" s="890"/>
      <c r="E88" s="890"/>
      <c r="F88" s="890"/>
      <c r="G88" s="890"/>
      <c r="H88" s="890"/>
      <c r="I88" s="890"/>
      <c r="J88" s="890"/>
      <c r="K88" s="890"/>
      <c r="L88" s="890"/>
      <c r="M88" s="890"/>
      <c r="N88" s="891"/>
      <c r="O88" s="209"/>
      <c r="P88" s="209"/>
    </row>
    <row r="89" spans="1:16" s="210" customFormat="1" x14ac:dyDescent="0.3">
      <c r="A89" s="543"/>
      <c r="B89" s="541" t="s">
        <v>2063</v>
      </c>
      <c r="C89" s="550" t="s">
        <v>1343</v>
      </c>
      <c r="D89" s="618" t="s">
        <v>2064</v>
      </c>
      <c r="E89" s="619"/>
      <c r="F89" s="619">
        <v>12006918</v>
      </c>
      <c r="G89" s="620">
        <f t="shared" si="27"/>
        <v>12006918</v>
      </c>
      <c r="H89" s="619">
        <v>9850500</v>
      </c>
      <c r="I89" s="619">
        <f>500+86000+2069918</f>
        <v>2156418</v>
      </c>
      <c r="J89" s="620">
        <f t="shared" si="28"/>
        <v>12006918</v>
      </c>
      <c r="K89" s="619"/>
      <c r="L89" s="619"/>
      <c r="M89" s="620">
        <f t="shared" si="29"/>
        <v>0</v>
      </c>
      <c r="N89" s="541"/>
    </row>
    <row r="90" spans="1:16" s="210" customFormat="1" x14ac:dyDescent="0.3">
      <c r="A90" s="543"/>
      <c r="B90" s="627" t="s">
        <v>743</v>
      </c>
      <c r="C90" s="550"/>
      <c r="D90" s="618"/>
      <c r="E90" s="620">
        <f>SUM(E89)</f>
        <v>0</v>
      </c>
      <c r="F90" s="620">
        <f t="shared" ref="F90:L90" si="32">SUM(F89)</f>
        <v>12006918</v>
      </c>
      <c r="G90" s="620">
        <f t="shared" si="27"/>
        <v>12006918</v>
      </c>
      <c r="H90" s="620">
        <f t="shared" si="32"/>
        <v>9850500</v>
      </c>
      <c r="I90" s="620">
        <f t="shared" si="32"/>
        <v>2156418</v>
      </c>
      <c r="J90" s="620">
        <f t="shared" si="28"/>
        <v>12006918</v>
      </c>
      <c r="K90" s="620">
        <f t="shared" si="32"/>
        <v>0</v>
      </c>
      <c r="L90" s="620">
        <f t="shared" si="32"/>
        <v>0</v>
      </c>
      <c r="M90" s="620">
        <f t="shared" si="29"/>
        <v>0</v>
      </c>
      <c r="N90" s="541"/>
      <c r="O90" s="209"/>
      <c r="P90" s="209"/>
    </row>
    <row r="91" spans="1:16" s="210" customFormat="1" x14ac:dyDescent="0.3">
      <c r="A91" s="889" t="s">
        <v>2065</v>
      </c>
      <c r="B91" s="890"/>
      <c r="C91" s="890"/>
      <c r="D91" s="890"/>
      <c r="E91" s="890"/>
      <c r="F91" s="890"/>
      <c r="G91" s="890"/>
      <c r="H91" s="890"/>
      <c r="I91" s="890"/>
      <c r="J91" s="890"/>
      <c r="K91" s="890"/>
      <c r="L91" s="890"/>
      <c r="M91" s="890"/>
      <c r="N91" s="891"/>
      <c r="O91" s="209"/>
      <c r="P91" s="209"/>
    </row>
    <row r="92" spans="1:16" s="210" customFormat="1" x14ac:dyDescent="0.3">
      <c r="A92" s="543"/>
      <c r="B92" s="541" t="s">
        <v>2066</v>
      </c>
      <c r="C92" s="550" t="s">
        <v>1343</v>
      </c>
      <c r="D92" s="618" t="s">
        <v>2064</v>
      </c>
      <c r="E92" s="619">
        <v>4339444.8099999996</v>
      </c>
      <c r="F92" s="619">
        <v>23311971.809999999</v>
      </c>
      <c r="G92" s="620">
        <f t="shared" si="27"/>
        <v>27651416.619999997</v>
      </c>
      <c r="H92" s="619">
        <f>4123669.1+21261148.81</f>
        <v>25384817.91</v>
      </c>
      <c r="I92" s="619">
        <f>195778.22+2020100</f>
        <v>2215878.2200000002</v>
      </c>
      <c r="J92" s="620">
        <f t="shared" si="28"/>
        <v>27600696.129999999</v>
      </c>
      <c r="K92" s="619"/>
      <c r="L92" s="619">
        <f>E92+F92-H92-I92</f>
        <v>50720.489999996964</v>
      </c>
      <c r="M92" s="620">
        <f t="shared" si="29"/>
        <v>50720.489999996964</v>
      </c>
      <c r="N92" s="541" t="s">
        <v>2002</v>
      </c>
    </row>
    <row r="93" spans="1:16" s="210" customFormat="1" x14ac:dyDescent="0.3">
      <c r="A93" s="543">
        <v>1</v>
      </c>
      <c r="B93" s="541" t="s">
        <v>2067</v>
      </c>
      <c r="C93" s="550" t="s">
        <v>1971</v>
      </c>
      <c r="D93" s="618" t="s">
        <v>1972</v>
      </c>
      <c r="E93" s="619"/>
      <c r="F93" s="619">
        <v>2000000</v>
      </c>
      <c r="G93" s="620">
        <f t="shared" si="27"/>
        <v>2000000</v>
      </c>
      <c r="H93" s="619">
        <v>0</v>
      </c>
      <c r="I93" s="619">
        <v>0</v>
      </c>
      <c r="J93" s="620">
        <f t="shared" si="28"/>
        <v>0</v>
      </c>
      <c r="K93" s="619"/>
      <c r="L93" s="619">
        <f>E93+F93-H93-I93</f>
        <v>2000000</v>
      </c>
      <c r="M93" s="620">
        <f t="shared" si="29"/>
        <v>2000000</v>
      </c>
      <c r="N93" s="541"/>
      <c r="O93" s="209">
        <v>1</v>
      </c>
      <c r="P93" s="209"/>
    </row>
    <row r="94" spans="1:16" s="210" customFormat="1" x14ac:dyDescent="0.3">
      <c r="A94" s="543"/>
      <c r="B94" s="627" t="s">
        <v>743</v>
      </c>
      <c r="C94" s="535"/>
      <c r="D94" s="618"/>
      <c r="E94" s="620">
        <f>SUM(E92:E93)</f>
        <v>4339444.8099999996</v>
      </c>
      <c r="F94" s="620">
        <f t="shared" ref="F94:L94" si="33">SUM(F92:F93)</f>
        <v>25311971.809999999</v>
      </c>
      <c r="G94" s="620">
        <f t="shared" si="27"/>
        <v>29651416.619999997</v>
      </c>
      <c r="H94" s="620">
        <f t="shared" si="33"/>
        <v>25384817.91</v>
      </c>
      <c r="I94" s="620">
        <f t="shared" si="33"/>
        <v>2215878.2200000002</v>
      </c>
      <c r="J94" s="620">
        <f t="shared" si="28"/>
        <v>27600696.129999999</v>
      </c>
      <c r="K94" s="620">
        <f t="shared" si="33"/>
        <v>0</v>
      </c>
      <c r="L94" s="620">
        <f t="shared" si="33"/>
        <v>2050720.489999997</v>
      </c>
      <c r="M94" s="620">
        <f t="shared" si="29"/>
        <v>2050720.489999997</v>
      </c>
      <c r="N94" s="541"/>
      <c r="O94" s="209"/>
      <c r="P94" s="209"/>
    </row>
    <row r="95" spans="1:16" s="210" customFormat="1" x14ac:dyDescent="0.3">
      <c r="A95" s="889" t="s">
        <v>2068</v>
      </c>
      <c r="B95" s="890"/>
      <c r="C95" s="890"/>
      <c r="D95" s="890"/>
      <c r="E95" s="890"/>
      <c r="F95" s="890"/>
      <c r="G95" s="890"/>
      <c r="H95" s="890"/>
      <c r="I95" s="890"/>
      <c r="J95" s="890"/>
      <c r="K95" s="890"/>
      <c r="L95" s="890"/>
      <c r="M95" s="890"/>
      <c r="N95" s="891"/>
      <c r="O95" s="209"/>
      <c r="P95" s="209"/>
    </row>
    <row r="96" spans="1:16" s="210" customFormat="1" x14ac:dyDescent="0.3">
      <c r="A96" s="543"/>
      <c r="B96" s="541" t="s">
        <v>2069</v>
      </c>
      <c r="C96" s="550" t="s">
        <v>1343</v>
      </c>
      <c r="D96" s="618" t="s">
        <v>2064</v>
      </c>
      <c r="E96" s="619">
        <f>11732750-27000-720000-20000</f>
        <v>10965750</v>
      </c>
      <c r="F96" s="619">
        <f>25223424.11-1226500</f>
        <v>23996924.109999999</v>
      </c>
      <c r="G96" s="620">
        <f t="shared" si="27"/>
        <v>34962674.109999999</v>
      </c>
      <c r="H96" s="619">
        <f>30676162.14-1146415-398100</f>
        <v>29131647.140000001</v>
      </c>
      <c r="I96" s="619">
        <f>1880775.65+3900000</f>
        <v>5780775.6500000004</v>
      </c>
      <c r="J96" s="620">
        <f t="shared" si="28"/>
        <v>34912422.789999999</v>
      </c>
      <c r="K96" s="619"/>
      <c r="L96" s="619">
        <f t="shared" ref="L96:L100" si="34">E96+F96-H96-I96</f>
        <v>50251.319999998435</v>
      </c>
      <c r="M96" s="620">
        <f t="shared" si="29"/>
        <v>50251.319999998435</v>
      </c>
      <c r="N96" s="541"/>
    </row>
    <row r="97" spans="1:16" s="210" customFormat="1" ht="27.6" x14ac:dyDescent="0.3">
      <c r="A97" s="543">
        <v>2</v>
      </c>
      <c r="B97" s="541" t="s">
        <v>2070</v>
      </c>
      <c r="C97" s="550" t="s">
        <v>1971</v>
      </c>
      <c r="D97" s="618" t="s">
        <v>2041</v>
      </c>
      <c r="E97" s="619"/>
      <c r="F97" s="619">
        <v>1226500</v>
      </c>
      <c r="G97" s="620">
        <f t="shared" si="27"/>
        <v>1226500</v>
      </c>
      <c r="H97" s="619">
        <f>445020+701395</f>
        <v>1146415</v>
      </c>
      <c r="I97" s="535"/>
      <c r="J97" s="620">
        <f t="shared" si="28"/>
        <v>1146415</v>
      </c>
      <c r="K97" s="619"/>
      <c r="L97" s="619">
        <f t="shared" si="34"/>
        <v>80085</v>
      </c>
      <c r="M97" s="620">
        <f t="shared" si="29"/>
        <v>80085</v>
      </c>
      <c r="N97" s="541" t="s">
        <v>2002</v>
      </c>
      <c r="O97" s="209">
        <v>1</v>
      </c>
      <c r="P97" s="209"/>
    </row>
    <row r="98" spans="1:16" s="210" customFormat="1" x14ac:dyDescent="0.3">
      <c r="A98" s="543">
        <v>3</v>
      </c>
      <c r="B98" s="541" t="s">
        <v>2071</v>
      </c>
      <c r="C98" s="550" t="s">
        <v>1971</v>
      </c>
      <c r="D98" s="618" t="s">
        <v>1972</v>
      </c>
      <c r="E98" s="619">
        <v>27000</v>
      </c>
      <c r="F98" s="619"/>
      <c r="G98" s="620">
        <f t="shared" si="27"/>
        <v>27000</v>
      </c>
      <c r="H98" s="619">
        <v>0</v>
      </c>
      <c r="I98" s="535"/>
      <c r="J98" s="620">
        <f t="shared" si="28"/>
        <v>0</v>
      </c>
      <c r="K98" s="619"/>
      <c r="L98" s="619">
        <f t="shared" si="34"/>
        <v>27000</v>
      </c>
      <c r="M98" s="620">
        <f t="shared" si="29"/>
        <v>27000</v>
      </c>
      <c r="N98" s="541"/>
      <c r="O98" s="209">
        <v>1</v>
      </c>
      <c r="P98" s="209"/>
    </row>
    <row r="99" spans="1:16" s="210" customFormat="1" ht="27.6" x14ac:dyDescent="0.3">
      <c r="A99" s="543">
        <v>4</v>
      </c>
      <c r="B99" s="541" t="s">
        <v>2072</v>
      </c>
      <c r="C99" s="550" t="s">
        <v>1971</v>
      </c>
      <c r="D99" s="618" t="s">
        <v>2041</v>
      </c>
      <c r="E99" s="619">
        <v>720000</v>
      </c>
      <c r="F99" s="619"/>
      <c r="G99" s="620">
        <f t="shared" si="27"/>
        <v>720000</v>
      </c>
      <c r="H99" s="619">
        <v>398100</v>
      </c>
      <c r="I99" s="535"/>
      <c r="J99" s="620">
        <f t="shared" si="28"/>
        <v>398100</v>
      </c>
      <c r="K99" s="619"/>
      <c r="L99" s="619">
        <f t="shared" si="34"/>
        <v>321900</v>
      </c>
      <c r="M99" s="620">
        <f t="shared" si="29"/>
        <v>321900</v>
      </c>
      <c r="N99" s="541"/>
      <c r="O99" s="209">
        <v>1</v>
      </c>
      <c r="P99" s="209"/>
    </row>
    <row r="100" spans="1:16" s="210" customFormat="1" ht="27.6" x14ac:dyDescent="0.3">
      <c r="A100" s="543">
        <v>5</v>
      </c>
      <c r="B100" s="541" t="s">
        <v>2073</v>
      </c>
      <c r="C100" s="550" t="s">
        <v>1971</v>
      </c>
      <c r="D100" s="618" t="s">
        <v>1972</v>
      </c>
      <c r="E100" s="619">
        <v>20000</v>
      </c>
      <c r="F100" s="619"/>
      <c r="G100" s="620">
        <f t="shared" si="27"/>
        <v>20000</v>
      </c>
      <c r="H100" s="619">
        <v>0</v>
      </c>
      <c r="I100" s="535"/>
      <c r="J100" s="620">
        <f t="shared" si="28"/>
        <v>0</v>
      </c>
      <c r="K100" s="619"/>
      <c r="L100" s="619">
        <f t="shared" si="34"/>
        <v>20000</v>
      </c>
      <c r="M100" s="620">
        <f t="shared" si="29"/>
        <v>20000</v>
      </c>
      <c r="N100" s="541" t="s">
        <v>2002</v>
      </c>
      <c r="O100" s="209">
        <v>1</v>
      </c>
      <c r="P100" s="209"/>
    </row>
    <row r="101" spans="1:16" s="210" customFormat="1" x14ac:dyDescent="0.3">
      <c r="A101" s="543"/>
      <c r="B101" s="627" t="s">
        <v>743</v>
      </c>
      <c r="C101" s="535"/>
      <c r="D101" s="645"/>
      <c r="E101" s="620">
        <f>SUM(E96:E100)</f>
        <v>11732750</v>
      </c>
      <c r="F101" s="620">
        <f t="shared" ref="F101:L101" si="35">SUM(F96:F100)</f>
        <v>25223424.109999999</v>
      </c>
      <c r="G101" s="620">
        <f t="shared" si="27"/>
        <v>36956174.109999999</v>
      </c>
      <c r="H101" s="620">
        <f t="shared" si="35"/>
        <v>30676162.140000001</v>
      </c>
      <c r="I101" s="620">
        <f t="shared" si="35"/>
        <v>5780775.6500000004</v>
      </c>
      <c r="J101" s="620">
        <f t="shared" si="28"/>
        <v>36456937.789999999</v>
      </c>
      <c r="K101" s="620">
        <f t="shared" si="35"/>
        <v>0</v>
      </c>
      <c r="L101" s="620">
        <f t="shared" si="35"/>
        <v>499236.31999999844</v>
      </c>
      <c r="M101" s="620">
        <f t="shared" si="29"/>
        <v>499236.31999999844</v>
      </c>
      <c r="N101" s="541"/>
      <c r="O101" s="209"/>
      <c r="P101" s="209"/>
    </row>
    <row r="102" spans="1:16" s="210" customFormat="1" x14ac:dyDescent="0.3">
      <c r="A102" s="889" t="s">
        <v>2074</v>
      </c>
      <c r="B102" s="890"/>
      <c r="C102" s="890"/>
      <c r="D102" s="890"/>
      <c r="E102" s="890"/>
      <c r="F102" s="890"/>
      <c r="G102" s="890"/>
      <c r="H102" s="890"/>
      <c r="I102" s="890"/>
      <c r="J102" s="890"/>
      <c r="K102" s="890"/>
      <c r="L102" s="890"/>
      <c r="M102" s="890"/>
      <c r="N102" s="891"/>
      <c r="O102" s="209"/>
      <c r="P102" s="209"/>
    </row>
    <row r="103" spans="1:16" s="210" customFormat="1" x14ac:dyDescent="0.3">
      <c r="A103" s="543"/>
      <c r="B103" s="541" t="s">
        <v>2075</v>
      </c>
      <c r="C103" s="550" t="s">
        <v>1343</v>
      </c>
      <c r="D103" s="618" t="s">
        <v>2064</v>
      </c>
      <c r="E103" s="619">
        <f>13857023.09-SUM(E104:E109)</f>
        <v>5723490.6500000004</v>
      </c>
      <c r="F103" s="619">
        <f>2086293.54-SUM(F104:F109)</f>
        <v>1590583.54</v>
      </c>
      <c r="G103" s="620">
        <f t="shared" si="27"/>
        <v>7314074.1900000004</v>
      </c>
      <c r="H103" s="619">
        <f>11047064.6-SUM(H104:H109)</f>
        <v>7285564.5999999996</v>
      </c>
      <c r="I103" s="535"/>
      <c r="J103" s="620">
        <f t="shared" si="28"/>
        <v>7285564.5999999996</v>
      </c>
      <c r="K103" s="619"/>
      <c r="L103" s="619">
        <f t="shared" ref="L103:L109" si="36">E103+F103-H103-I103</f>
        <v>28509.590000000782</v>
      </c>
      <c r="M103" s="620">
        <f t="shared" si="29"/>
        <v>28509.590000000782</v>
      </c>
      <c r="N103" s="541"/>
    </row>
    <row r="104" spans="1:16" s="210" customFormat="1" x14ac:dyDescent="0.3">
      <c r="A104" s="543">
        <v>6</v>
      </c>
      <c r="B104" s="541" t="s">
        <v>2076</v>
      </c>
      <c r="C104" s="534" t="s">
        <v>1975</v>
      </c>
      <c r="D104" s="618" t="s">
        <v>1972</v>
      </c>
      <c r="E104" s="619">
        <v>100000</v>
      </c>
      <c r="F104" s="619"/>
      <c r="G104" s="620">
        <f t="shared" si="27"/>
        <v>100000</v>
      </c>
      <c r="H104" s="619"/>
      <c r="I104" s="535"/>
      <c r="J104" s="620">
        <f t="shared" si="28"/>
        <v>0</v>
      </c>
      <c r="K104" s="619"/>
      <c r="L104" s="619">
        <f t="shared" si="36"/>
        <v>100000</v>
      </c>
      <c r="M104" s="620">
        <f t="shared" si="29"/>
        <v>100000</v>
      </c>
      <c r="N104" s="541" t="s">
        <v>2002</v>
      </c>
      <c r="O104" s="209">
        <v>1</v>
      </c>
      <c r="P104" s="209"/>
    </row>
    <row r="105" spans="1:16" s="210" customFormat="1" ht="27.6" x14ac:dyDescent="0.3">
      <c r="A105" s="543">
        <v>7</v>
      </c>
      <c r="B105" s="541" t="s">
        <v>2006</v>
      </c>
      <c r="C105" s="534" t="s">
        <v>1971</v>
      </c>
      <c r="D105" s="618" t="s">
        <v>2041</v>
      </c>
      <c r="E105" s="619"/>
      <c r="F105" s="619">
        <v>495710</v>
      </c>
      <c r="G105" s="620">
        <f t="shared" si="27"/>
        <v>495710</v>
      </c>
      <c r="H105" s="619">
        <v>378000</v>
      </c>
      <c r="I105" s="535"/>
      <c r="J105" s="620">
        <f t="shared" si="28"/>
        <v>378000</v>
      </c>
      <c r="K105" s="619"/>
      <c r="L105" s="619">
        <f t="shared" si="36"/>
        <v>117710</v>
      </c>
      <c r="M105" s="620">
        <f t="shared" si="29"/>
        <v>117710</v>
      </c>
      <c r="N105" s="541"/>
      <c r="O105" s="209">
        <v>1</v>
      </c>
      <c r="P105" s="209"/>
    </row>
    <row r="106" spans="1:16" s="210" customFormat="1" x14ac:dyDescent="0.3">
      <c r="A106" s="543">
        <v>8</v>
      </c>
      <c r="B106" s="541" t="s">
        <v>2077</v>
      </c>
      <c r="C106" s="534" t="s">
        <v>1971</v>
      </c>
      <c r="D106" s="618" t="s">
        <v>1972</v>
      </c>
      <c r="E106" s="619">
        <v>19293.09</v>
      </c>
      <c r="F106" s="619"/>
      <c r="G106" s="620">
        <f t="shared" si="27"/>
        <v>19293.09</v>
      </c>
      <c r="H106" s="619"/>
      <c r="I106" s="535"/>
      <c r="J106" s="620">
        <f t="shared" si="28"/>
        <v>0</v>
      </c>
      <c r="K106" s="619"/>
      <c r="L106" s="619">
        <f t="shared" si="36"/>
        <v>19293.09</v>
      </c>
      <c r="M106" s="620">
        <f t="shared" si="29"/>
        <v>19293.09</v>
      </c>
      <c r="N106" s="541"/>
      <c r="O106" s="209">
        <v>1</v>
      </c>
      <c r="P106" s="209"/>
    </row>
    <row r="107" spans="1:16" s="210" customFormat="1" ht="27.6" x14ac:dyDescent="0.3">
      <c r="A107" s="543">
        <v>9</v>
      </c>
      <c r="B107" s="541" t="s">
        <v>2078</v>
      </c>
      <c r="C107" s="534" t="s">
        <v>1971</v>
      </c>
      <c r="D107" s="618" t="s">
        <v>1972</v>
      </c>
      <c r="E107" s="619">
        <v>114239.35</v>
      </c>
      <c r="F107" s="619"/>
      <c r="G107" s="620">
        <f t="shared" si="27"/>
        <v>114239.35</v>
      </c>
      <c r="H107" s="619"/>
      <c r="I107" s="535"/>
      <c r="J107" s="620">
        <f t="shared" si="28"/>
        <v>0</v>
      </c>
      <c r="K107" s="619"/>
      <c r="L107" s="619">
        <f t="shared" si="36"/>
        <v>114239.35</v>
      </c>
      <c r="M107" s="620">
        <f t="shared" si="29"/>
        <v>114239.35</v>
      </c>
      <c r="N107" s="541"/>
      <c r="O107" s="209">
        <v>1</v>
      </c>
      <c r="P107" s="209"/>
    </row>
    <row r="108" spans="1:16" s="210" customFormat="1" ht="27.6" x14ac:dyDescent="0.3">
      <c r="A108" s="543">
        <v>10</v>
      </c>
      <c r="B108" s="541" t="s">
        <v>2079</v>
      </c>
      <c r="C108" s="534" t="s">
        <v>2004</v>
      </c>
      <c r="D108" s="618" t="s">
        <v>2041</v>
      </c>
      <c r="E108" s="619">
        <v>3800000</v>
      </c>
      <c r="F108" s="619"/>
      <c r="G108" s="620">
        <f t="shared" si="27"/>
        <v>3800000</v>
      </c>
      <c r="H108" s="619">
        <v>3383500</v>
      </c>
      <c r="I108" s="535"/>
      <c r="J108" s="620">
        <f t="shared" si="28"/>
        <v>3383500</v>
      </c>
      <c r="K108" s="619"/>
      <c r="L108" s="619">
        <f t="shared" si="36"/>
        <v>416500</v>
      </c>
      <c r="M108" s="620">
        <f t="shared" si="29"/>
        <v>416500</v>
      </c>
      <c r="N108" s="541"/>
      <c r="O108" s="209">
        <v>1</v>
      </c>
      <c r="P108" s="209"/>
    </row>
    <row r="109" spans="1:16" s="210" customFormat="1" ht="27.6" x14ac:dyDescent="0.3">
      <c r="A109" s="543">
        <v>11</v>
      </c>
      <c r="B109" s="541" t="s">
        <v>2080</v>
      </c>
      <c r="C109" s="534" t="s">
        <v>1971</v>
      </c>
      <c r="D109" s="618" t="s">
        <v>1972</v>
      </c>
      <c r="E109" s="619">
        <v>4100000</v>
      </c>
      <c r="F109" s="619"/>
      <c r="G109" s="620">
        <f t="shared" si="27"/>
        <v>4100000</v>
      </c>
      <c r="H109" s="619">
        <v>0</v>
      </c>
      <c r="I109" s="535"/>
      <c r="J109" s="620">
        <f t="shared" si="28"/>
        <v>0</v>
      </c>
      <c r="K109" s="619"/>
      <c r="L109" s="619">
        <f t="shared" si="36"/>
        <v>4100000</v>
      </c>
      <c r="M109" s="620">
        <f t="shared" si="29"/>
        <v>4100000</v>
      </c>
      <c r="N109" s="541" t="s">
        <v>2002</v>
      </c>
      <c r="O109" s="209">
        <v>1</v>
      </c>
      <c r="P109" s="209"/>
    </row>
    <row r="110" spans="1:16" s="210" customFormat="1" x14ac:dyDescent="0.3">
      <c r="A110" s="543"/>
      <c r="B110" s="627" t="s">
        <v>743</v>
      </c>
      <c r="C110" s="535"/>
      <c r="D110" s="618"/>
      <c r="E110" s="620">
        <f>SUM(E103:E109)</f>
        <v>13857023.09</v>
      </c>
      <c r="F110" s="620">
        <f t="shared" ref="F110:L110" si="37">SUM(F103:F109)</f>
        <v>2086293.54</v>
      </c>
      <c r="G110" s="620">
        <f t="shared" si="27"/>
        <v>15943316.629999999</v>
      </c>
      <c r="H110" s="620">
        <f t="shared" si="37"/>
        <v>11047064.6</v>
      </c>
      <c r="I110" s="620">
        <f t="shared" si="37"/>
        <v>0</v>
      </c>
      <c r="J110" s="620">
        <f t="shared" si="28"/>
        <v>11047064.6</v>
      </c>
      <c r="K110" s="620">
        <f t="shared" si="37"/>
        <v>0</v>
      </c>
      <c r="L110" s="620">
        <f t="shared" si="37"/>
        <v>4896252.0300000012</v>
      </c>
      <c r="M110" s="620">
        <f t="shared" si="29"/>
        <v>4896252.0300000012</v>
      </c>
      <c r="N110" s="541"/>
      <c r="O110" s="209"/>
      <c r="P110" s="209"/>
    </row>
    <row r="111" spans="1:16" s="210" customFormat="1" x14ac:dyDescent="0.3">
      <c r="A111" s="889" t="s">
        <v>2081</v>
      </c>
      <c r="B111" s="890"/>
      <c r="C111" s="890"/>
      <c r="D111" s="890"/>
      <c r="E111" s="890"/>
      <c r="F111" s="890"/>
      <c r="G111" s="890"/>
      <c r="H111" s="890"/>
      <c r="I111" s="890"/>
      <c r="J111" s="890"/>
      <c r="K111" s="890"/>
      <c r="L111" s="890"/>
      <c r="M111" s="890"/>
      <c r="N111" s="891"/>
      <c r="O111" s="209"/>
      <c r="P111" s="209"/>
    </row>
    <row r="112" spans="1:16" s="210" customFormat="1" x14ac:dyDescent="0.3">
      <c r="A112" s="543"/>
      <c r="B112" s="541" t="s">
        <v>2082</v>
      </c>
      <c r="C112" s="550" t="s">
        <v>1343</v>
      </c>
      <c r="D112" s="618" t="s">
        <v>2064</v>
      </c>
      <c r="E112" s="619">
        <f>7878769.16-SUM(E113:E127)</f>
        <v>950805.49000000022</v>
      </c>
      <c r="F112" s="619">
        <f>15178530.79-SUM(F113:F127)</f>
        <v>348530.78999999911</v>
      </c>
      <c r="G112" s="620">
        <f t="shared" si="27"/>
        <v>1299336.2799999993</v>
      </c>
      <c r="H112" s="619">
        <f>2199126.8-SUM(H113:H127)</f>
        <v>1286019.9999999998</v>
      </c>
      <c r="I112" s="535"/>
      <c r="J112" s="620">
        <f t="shared" si="28"/>
        <v>1286019.9999999998</v>
      </c>
      <c r="K112" s="619"/>
      <c r="L112" s="619">
        <f t="shared" ref="L112:L127" si="38">E112+F112-H112-I112</f>
        <v>13316.279999999562</v>
      </c>
      <c r="M112" s="620">
        <f t="shared" si="29"/>
        <v>13316.279999999562</v>
      </c>
      <c r="N112" s="541"/>
    </row>
    <row r="113" spans="1:16" s="210" customFormat="1" ht="41.4" x14ac:dyDescent="0.3">
      <c r="A113" s="543">
        <v>12</v>
      </c>
      <c r="B113" s="541" t="s">
        <v>2083</v>
      </c>
      <c r="C113" s="534" t="s">
        <v>1971</v>
      </c>
      <c r="D113" s="618" t="s">
        <v>2045</v>
      </c>
      <c r="E113" s="619">
        <v>600000</v>
      </c>
      <c r="F113" s="619"/>
      <c r="G113" s="620">
        <f t="shared" si="27"/>
        <v>600000</v>
      </c>
      <c r="H113" s="619">
        <v>49700</v>
      </c>
      <c r="I113" s="535"/>
      <c r="J113" s="620">
        <f t="shared" si="28"/>
        <v>49700</v>
      </c>
      <c r="K113" s="619"/>
      <c r="L113" s="619">
        <f t="shared" si="38"/>
        <v>550300</v>
      </c>
      <c r="M113" s="620">
        <f t="shared" si="29"/>
        <v>550300</v>
      </c>
      <c r="N113" s="541"/>
      <c r="O113" s="209">
        <v>1</v>
      </c>
      <c r="P113" s="209"/>
    </row>
    <row r="114" spans="1:16" s="210" customFormat="1" ht="27.6" x14ac:dyDescent="0.3">
      <c r="A114" s="543">
        <v>13</v>
      </c>
      <c r="B114" s="541" t="s">
        <v>2084</v>
      </c>
      <c r="C114" s="534" t="s">
        <v>1971</v>
      </c>
      <c r="D114" s="618" t="s">
        <v>1972</v>
      </c>
      <c r="E114" s="619">
        <v>500000</v>
      </c>
      <c r="F114" s="619"/>
      <c r="G114" s="620">
        <f t="shared" si="27"/>
        <v>500000</v>
      </c>
      <c r="H114" s="619">
        <v>0</v>
      </c>
      <c r="I114" s="535"/>
      <c r="J114" s="620">
        <f t="shared" si="28"/>
        <v>0</v>
      </c>
      <c r="K114" s="619"/>
      <c r="L114" s="619">
        <f t="shared" si="38"/>
        <v>500000</v>
      </c>
      <c r="M114" s="620">
        <f t="shared" si="29"/>
        <v>500000</v>
      </c>
      <c r="N114" s="541"/>
      <c r="O114" s="209">
        <v>1</v>
      </c>
      <c r="P114" s="209"/>
    </row>
    <row r="115" spans="1:16" s="210" customFormat="1" x14ac:dyDescent="0.3">
      <c r="A115" s="543">
        <v>14</v>
      </c>
      <c r="B115" s="541" t="s">
        <v>2085</v>
      </c>
      <c r="C115" s="534" t="s">
        <v>1971</v>
      </c>
      <c r="D115" s="618" t="s">
        <v>1972</v>
      </c>
      <c r="E115" s="619">
        <v>50000</v>
      </c>
      <c r="F115" s="619"/>
      <c r="G115" s="620">
        <f t="shared" si="27"/>
        <v>50000</v>
      </c>
      <c r="H115" s="619">
        <v>0</v>
      </c>
      <c r="I115" s="535"/>
      <c r="J115" s="620">
        <f t="shared" si="28"/>
        <v>0</v>
      </c>
      <c r="K115" s="619"/>
      <c r="L115" s="619">
        <f t="shared" si="38"/>
        <v>50000</v>
      </c>
      <c r="M115" s="620">
        <f t="shared" si="29"/>
        <v>50000</v>
      </c>
      <c r="N115" s="541"/>
      <c r="O115" s="209">
        <v>1</v>
      </c>
      <c r="P115" s="209"/>
    </row>
    <row r="116" spans="1:16" s="210" customFormat="1" ht="27.6" x14ac:dyDescent="0.3">
      <c r="A116" s="543">
        <v>15</v>
      </c>
      <c r="B116" s="541" t="s">
        <v>2086</v>
      </c>
      <c r="C116" s="534" t="s">
        <v>1971</v>
      </c>
      <c r="D116" s="618" t="s">
        <v>1972</v>
      </c>
      <c r="E116" s="619">
        <v>100000</v>
      </c>
      <c r="F116" s="619"/>
      <c r="G116" s="620">
        <f t="shared" si="27"/>
        <v>100000</v>
      </c>
      <c r="H116" s="619">
        <v>0</v>
      </c>
      <c r="I116" s="535"/>
      <c r="J116" s="620">
        <f t="shared" si="28"/>
        <v>0</v>
      </c>
      <c r="K116" s="619"/>
      <c r="L116" s="619">
        <f t="shared" si="38"/>
        <v>100000</v>
      </c>
      <c r="M116" s="620">
        <f t="shared" si="29"/>
        <v>100000</v>
      </c>
      <c r="N116" s="541"/>
      <c r="O116" s="209">
        <v>1</v>
      </c>
      <c r="P116" s="209"/>
    </row>
    <row r="117" spans="1:16" s="210" customFormat="1" ht="41.4" x14ac:dyDescent="0.3">
      <c r="A117" s="543">
        <v>16</v>
      </c>
      <c r="B117" s="541" t="s">
        <v>2087</v>
      </c>
      <c r="C117" s="534" t="s">
        <v>1971</v>
      </c>
      <c r="D117" s="618" t="s">
        <v>2045</v>
      </c>
      <c r="E117" s="619">
        <v>50000</v>
      </c>
      <c r="F117" s="619"/>
      <c r="G117" s="620">
        <f t="shared" si="27"/>
        <v>50000</v>
      </c>
      <c r="H117" s="619">
        <v>20500</v>
      </c>
      <c r="I117" s="535"/>
      <c r="J117" s="620">
        <f t="shared" si="28"/>
        <v>20500</v>
      </c>
      <c r="K117" s="619"/>
      <c r="L117" s="619">
        <f t="shared" si="38"/>
        <v>29500</v>
      </c>
      <c r="M117" s="620">
        <f t="shared" si="29"/>
        <v>29500</v>
      </c>
      <c r="N117" s="541"/>
      <c r="O117" s="209">
        <v>1</v>
      </c>
      <c r="P117" s="209"/>
    </row>
    <row r="118" spans="1:16" s="210" customFormat="1" ht="27.6" x14ac:dyDescent="0.3">
      <c r="A118" s="543">
        <v>17</v>
      </c>
      <c r="B118" s="541" t="s">
        <v>2088</v>
      </c>
      <c r="C118" s="534" t="s">
        <v>1971</v>
      </c>
      <c r="D118" s="618" t="s">
        <v>1972</v>
      </c>
      <c r="E118" s="619">
        <v>100000</v>
      </c>
      <c r="F118" s="619"/>
      <c r="G118" s="620">
        <f t="shared" si="27"/>
        <v>100000</v>
      </c>
      <c r="H118" s="619">
        <v>0</v>
      </c>
      <c r="I118" s="535"/>
      <c r="J118" s="620">
        <f t="shared" si="28"/>
        <v>0</v>
      </c>
      <c r="K118" s="619"/>
      <c r="L118" s="619">
        <f t="shared" si="38"/>
        <v>100000</v>
      </c>
      <c r="M118" s="620">
        <f t="shared" si="29"/>
        <v>100000</v>
      </c>
      <c r="N118" s="541"/>
      <c r="O118" s="209">
        <v>1</v>
      </c>
      <c r="P118" s="209"/>
    </row>
    <row r="119" spans="1:16" s="210" customFormat="1" ht="41.4" x14ac:dyDescent="0.3">
      <c r="A119" s="543">
        <v>18</v>
      </c>
      <c r="B119" s="541" t="s">
        <v>2089</v>
      </c>
      <c r="C119" s="534" t="s">
        <v>1971</v>
      </c>
      <c r="D119" s="618" t="s">
        <v>2045</v>
      </c>
      <c r="E119" s="619"/>
      <c r="F119" s="619">
        <v>300000</v>
      </c>
      <c r="G119" s="620">
        <f t="shared" si="27"/>
        <v>300000</v>
      </c>
      <c r="H119" s="619">
        <v>88600</v>
      </c>
      <c r="I119" s="535"/>
      <c r="J119" s="620">
        <f t="shared" si="28"/>
        <v>88600</v>
      </c>
      <c r="K119" s="619"/>
      <c r="L119" s="619">
        <f t="shared" si="38"/>
        <v>211400</v>
      </c>
      <c r="M119" s="620">
        <f t="shared" si="29"/>
        <v>211400</v>
      </c>
      <c r="N119" s="541"/>
      <c r="O119" s="209">
        <v>1</v>
      </c>
      <c r="P119" s="209"/>
    </row>
    <row r="120" spans="1:16" s="210" customFormat="1" x14ac:dyDescent="0.3">
      <c r="A120" s="543">
        <v>19</v>
      </c>
      <c r="B120" s="541" t="s">
        <v>2090</v>
      </c>
      <c r="C120" s="534" t="s">
        <v>1971</v>
      </c>
      <c r="D120" s="618" t="s">
        <v>1972</v>
      </c>
      <c r="E120" s="619"/>
      <c r="F120" s="619">
        <v>150000</v>
      </c>
      <c r="G120" s="620">
        <f t="shared" si="27"/>
        <v>150000</v>
      </c>
      <c r="H120" s="619">
        <v>0</v>
      </c>
      <c r="I120" s="535"/>
      <c r="J120" s="620">
        <f t="shared" si="28"/>
        <v>0</v>
      </c>
      <c r="K120" s="619"/>
      <c r="L120" s="619">
        <f t="shared" si="38"/>
        <v>150000</v>
      </c>
      <c r="M120" s="620">
        <f t="shared" si="29"/>
        <v>150000</v>
      </c>
      <c r="N120" s="541"/>
      <c r="O120" s="209">
        <v>1</v>
      </c>
      <c r="P120" s="209"/>
    </row>
    <row r="121" spans="1:16" s="210" customFormat="1" ht="41.4" x14ac:dyDescent="0.3">
      <c r="A121" s="543">
        <v>20</v>
      </c>
      <c r="B121" s="541" t="s">
        <v>2091</v>
      </c>
      <c r="C121" s="534" t="s">
        <v>1971</v>
      </c>
      <c r="D121" s="618" t="s">
        <v>2045</v>
      </c>
      <c r="E121" s="619">
        <v>448156.87</v>
      </c>
      <c r="F121" s="619"/>
      <c r="G121" s="620">
        <f t="shared" si="27"/>
        <v>448156.87</v>
      </c>
      <c r="H121" s="619">
        <v>99500</v>
      </c>
      <c r="I121" s="535"/>
      <c r="J121" s="620">
        <f t="shared" si="28"/>
        <v>99500</v>
      </c>
      <c r="K121" s="619"/>
      <c r="L121" s="619">
        <f t="shared" si="38"/>
        <v>348656.87</v>
      </c>
      <c r="M121" s="620">
        <f t="shared" si="29"/>
        <v>348656.87</v>
      </c>
      <c r="N121" s="541"/>
      <c r="O121" s="209">
        <v>1</v>
      </c>
      <c r="P121" s="209"/>
    </row>
    <row r="122" spans="1:16" s="210" customFormat="1" x14ac:dyDescent="0.3">
      <c r="A122" s="543">
        <v>21</v>
      </c>
      <c r="B122" s="541" t="s">
        <v>2092</v>
      </c>
      <c r="C122" s="534" t="s">
        <v>1971</v>
      </c>
      <c r="D122" s="618" t="s">
        <v>1972</v>
      </c>
      <c r="E122" s="619">
        <v>150000</v>
      </c>
      <c r="F122" s="619"/>
      <c r="G122" s="620">
        <f t="shared" si="27"/>
        <v>150000</v>
      </c>
      <c r="H122" s="619">
        <v>0</v>
      </c>
      <c r="I122" s="535"/>
      <c r="J122" s="620">
        <f t="shared" si="28"/>
        <v>0</v>
      </c>
      <c r="K122" s="619"/>
      <c r="L122" s="619">
        <f t="shared" si="38"/>
        <v>150000</v>
      </c>
      <c r="M122" s="620">
        <f t="shared" si="29"/>
        <v>150000</v>
      </c>
      <c r="N122" s="541"/>
      <c r="O122" s="209">
        <v>1</v>
      </c>
      <c r="P122" s="209"/>
    </row>
    <row r="123" spans="1:16" s="210" customFormat="1" ht="27.6" x14ac:dyDescent="0.3">
      <c r="A123" s="543">
        <v>22</v>
      </c>
      <c r="B123" s="541" t="s">
        <v>2093</v>
      </c>
      <c r="C123" s="534" t="s">
        <v>1971</v>
      </c>
      <c r="D123" s="618" t="s">
        <v>1972</v>
      </c>
      <c r="E123" s="619"/>
      <c r="F123" s="619">
        <v>14000000</v>
      </c>
      <c r="G123" s="620">
        <f t="shared" si="27"/>
        <v>14000000</v>
      </c>
      <c r="H123" s="619">
        <v>0</v>
      </c>
      <c r="I123" s="535"/>
      <c r="J123" s="620">
        <f t="shared" si="28"/>
        <v>0</v>
      </c>
      <c r="K123" s="619"/>
      <c r="L123" s="619">
        <f t="shared" si="38"/>
        <v>14000000</v>
      </c>
      <c r="M123" s="620">
        <f t="shared" si="29"/>
        <v>14000000</v>
      </c>
      <c r="N123" s="541"/>
      <c r="O123" s="209">
        <v>1</v>
      </c>
      <c r="P123" s="209"/>
    </row>
    <row r="124" spans="1:16" s="210" customFormat="1" ht="27.6" x14ac:dyDescent="0.3">
      <c r="A124" s="543">
        <v>23</v>
      </c>
      <c r="B124" s="541" t="s">
        <v>2094</v>
      </c>
      <c r="C124" s="534" t="s">
        <v>1971</v>
      </c>
      <c r="D124" s="618" t="s">
        <v>1972</v>
      </c>
      <c r="E124" s="619">
        <v>150000</v>
      </c>
      <c r="F124" s="619"/>
      <c r="G124" s="620">
        <f t="shared" si="27"/>
        <v>150000</v>
      </c>
      <c r="H124" s="619">
        <v>0</v>
      </c>
      <c r="I124" s="535"/>
      <c r="J124" s="620">
        <f t="shared" si="28"/>
        <v>0</v>
      </c>
      <c r="K124" s="619"/>
      <c r="L124" s="619">
        <f t="shared" si="38"/>
        <v>150000</v>
      </c>
      <c r="M124" s="620">
        <f t="shared" si="29"/>
        <v>150000</v>
      </c>
      <c r="N124" s="541"/>
      <c r="O124" s="209">
        <v>1</v>
      </c>
      <c r="P124" s="209"/>
    </row>
    <row r="125" spans="1:16" s="210" customFormat="1" ht="27.6" x14ac:dyDescent="0.3">
      <c r="A125" s="543">
        <v>24</v>
      </c>
      <c r="B125" s="541" t="s">
        <v>2095</v>
      </c>
      <c r="C125" s="534" t="s">
        <v>2026</v>
      </c>
      <c r="D125" s="618" t="s">
        <v>1972</v>
      </c>
      <c r="E125" s="619">
        <v>20000</v>
      </c>
      <c r="F125" s="619">
        <v>180000</v>
      </c>
      <c r="G125" s="620">
        <f t="shared" si="27"/>
        <v>200000</v>
      </c>
      <c r="H125" s="619">
        <v>0</v>
      </c>
      <c r="I125" s="535"/>
      <c r="J125" s="620">
        <f t="shared" si="28"/>
        <v>0</v>
      </c>
      <c r="K125" s="619"/>
      <c r="L125" s="619">
        <f t="shared" si="38"/>
        <v>200000</v>
      </c>
      <c r="M125" s="620">
        <f t="shared" si="29"/>
        <v>200000</v>
      </c>
      <c r="N125" s="541"/>
      <c r="O125" s="209">
        <v>1</v>
      </c>
      <c r="P125" s="209"/>
    </row>
    <row r="126" spans="1:16" s="210" customFormat="1" ht="27.6" x14ac:dyDescent="0.3">
      <c r="A126" s="543">
        <v>25</v>
      </c>
      <c r="B126" s="541" t="s">
        <v>2096</v>
      </c>
      <c r="C126" s="534" t="s">
        <v>2026</v>
      </c>
      <c r="D126" s="618" t="s">
        <v>1972</v>
      </c>
      <c r="E126" s="619">
        <v>3700000</v>
      </c>
      <c r="F126" s="619">
        <v>200000</v>
      </c>
      <c r="G126" s="620">
        <f t="shared" si="27"/>
        <v>3900000</v>
      </c>
      <c r="H126" s="619">
        <v>0</v>
      </c>
      <c r="I126" s="535"/>
      <c r="J126" s="620">
        <f t="shared" si="28"/>
        <v>0</v>
      </c>
      <c r="K126" s="619"/>
      <c r="L126" s="619">
        <f t="shared" si="38"/>
        <v>3900000</v>
      </c>
      <c r="M126" s="620">
        <f t="shared" si="29"/>
        <v>3900000</v>
      </c>
      <c r="N126" s="541"/>
      <c r="O126" s="209">
        <v>1</v>
      </c>
      <c r="P126" s="209"/>
    </row>
    <row r="127" spans="1:16" s="210" customFormat="1" ht="41.4" x14ac:dyDescent="0.3">
      <c r="A127" s="543">
        <v>26</v>
      </c>
      <c r="B127" s="541" t="s">
        <v>2097</v>
      </c>
      <c r="C127" s="534" t="s">
        <v>2004</v>
      </c>
      <c r="D127" s="618" t="s">
        <v>2045</v>
      </c>
      <c r="E127" s="619">
        <v>1059806.8</v>
      </c>
      <c r="F127" s="619"/>
      <c r="G127" s="620">
        <f t="shared" si="27"/>
        <v>1059806.8</v>
      </c>
      <c r="H127" s="619">
        <v>654806.80000000005</v>
      </c>
      <c r="I127" s="535"/>
      <c r="J127" s="620">
        <f t="shared" si="28"/>
        <v>654806.80000000005</v>
      </c>
      <c r="K127" s="619"/>
      <c r="L127" s="619">
        <f t="shared" si="38"/>
        <v>405000</v>
      </c>
      <c r="M127" s="620">
        <f t="shared" si="29"/>
        <v>405000</v>
      </c>
      <c r="N127" s="541"/>
      <c r="O127" s="209">
        <v>1</v>
      </c>
      <c r="P127" s="209"/>
    </row>
    <row r="128" spans="1:16" s="210" customFormat="1" x14ac:dyDescent="0.3">
      <c r="A128" s="543"/>
      <c r="B128" s="627" t="s">
        <v>743</v>
      </c>
      <c r="C128" s="535"/>
      <c r="D128" s="618"/>
      <c r="E128" s="620">
        <f>SUM(E112:E127)</f>
        <v>7878769.1600000001</v>
      </c>
      <c r="F128" s="620">
        <f t="shared" ref="F128:L128" si="39">SUM(F112:F127)</f>
        <v>15178530.789999999</v>
      </c>
      <c r="G128" s="620">
        <f t="shared" si="27"/>
        <v>23057299.949999999</v>
      </c>
      <c r="H128" s="620">
        <f t="shared" si="39"/>
        <v>2199126.7999999998</v>
      </c>
      <c r="I128" s="620">
        <f>SUM(I112:I127)</f>
        <v>0</v>
      </c>
      <c r="J128" s="620">
        <f t="shared" si="28"/>
        <v>2199126.7999999998</v>
      </c>
      <c r="K128" s="620">
        <f t="shared" si="39"/>
        <v>0</v>
      </c>
      <c r="L128" s="620">
        <f t="shared" si="39"/>
        <v>20858173.149999999</v>
      </c>
      <c r="M128" s="620">
        <f t="shared" si="29"/>
        <v>20858173.149999999</v>
      </c>
      <c r="N128" s="541"/>
      <c r="O128" s="209"/>
      <c r="P128" s="209"/>
    </row>
    <row r="129" spans="1:16" s="210" customFormat="1" x14ac:dyDescent="0.3">
      <c r="A129" s="633"/>
      <c r="B129" s="634" t="s">
        <v>2098</v>
      </c>
      <c r="C129" s="635"/>
      <c r="D129" s="636"/>
      <c r="E129" s="637">
        <f t="shared" ref="E129:H129" si="40">E128+E110+E101+E94+E90</f>
        <v>37807987.060000002</v>
      </c>
      <c r="F129" s="637">
        <f t="shared" si="40"/>
        <v>79807138.25</v>
      </c>
      <c r="G129" s="637">
        <f t="shared" si="40"/>
        <v>117615125.31</v>
      </c>
      <c r="H129" s="637">
        <f t="shared" si="40"/>
        <v>79157671.450000003</v>
      </c>
      <c r="I129" s="637">
        <f>I128+I110+I101+I94+I90</f>
        <v>10153071.870000001</v>
      </c>
      <c r="J129" s="637">
        <f t="shared" ref="J129:M129" si="41">J128+J110+J101+J94+J90</f>
        <v>89310743.319999993</v>
      </c>
      <c r="K129" s="637">
        <f t="shared" si="41"/>
        <v>0</v>
      </c>
      <c r="L129" s="637">
        <f t="shared" si="41"/>
        <v>28304381.989999998</v>
      </c>
      <c r="M129" s="637">
        <f t="shared" si="41"/>
        <v>28304381.989999998</v>
      </c>
      <c r="N129" s="638"/>
      <c r="O129" s="209"/>
      <c r="P129" s="209">
        <f>SUBTOTAL(9,O88:O127)</f>
        <v>26</v>
      </c>
    </row>
    <row r="130" spans="1:16" s="210" customFormat="1" x14ac:dyDescent="0.3">
      <c r="A130" s="723"/>
      <c r="B130" s="727" t="s">
        <v>2099</v>
      </c>
      <c r="C130" s="724"/>
      <c r="D130" s="725"/>
      <c r="E130" s="222">
        <f>E129+E86+E54</f>
        <v>47048180.260000005</v>
      </c>
      <c r="F130" s="222">
        <f t="shared" ref="F130:M130" si="42">F129+F86+F54</f>
        <v>141079626.01999998</v>
      </c>
      <c r="G130" s="222">
        <f t="shared" si="42"/>
        <v>188127806.28000003</v>
      </c>
      <c r="H130" s="222">
        <f t="shared" si="42"/>
        <v>102718823.61</v>
      </c>
      <c r="I130" s="222">
        <f t="shared" si="42"/>
        <v>10153071.870000001</v>
      </c>
      <c r="J130" s="222">
        <f t="shared" si="42"/>
        <v>112871895.47999999</v>
      </c>
      <c r="K130" s="222">
        <f t="shared" si="42"/>
        <v>2725537.48</v>
      </c>
      <c r="L130" s="222">
        <f t="shared" si="42"/>
        <v>72530373.319999993</v>
      </c>
      <c r="M130" s="222">
        <f t="shared" si="42"/>
        <v>75255910.799999982</v>
      </c>
      <c r="N130" s="726"/>
      <c r="O130" s="209"/>
      <c r="P130" s="209"/>
    </row>
    <row r="131" spans="1:16" s="214" customFormat="1" ht="14.4" x14ac:dyDescent="0.3">
      <c r="A131" s="646"/>
      <c r="B131" s="621" t="s">
        <v>2100</v>
      </c>
      <c r="C131" s="647"/>
      <c r="D131" s="648"/>
      <c r="E131" s="649"/>
      <c r="F131" s="649"/>
      <c r="G131" s="650">
        <v>1</v>
      </c>
      <c r="H131" s="650"/>
      <c r="I131" s="650"/>
      <c r="J131" s="650">
        <f>J130/G130</f>
        <v>0.5999745476859869</v>
      </c>
      <c r="K131" s="650"/>
      <c r="L131" s="650"/>
      <c r="M131" s="650">
        <f>M130/G130</f>
        <v>0.40002545231401276</v>
      </c>
      <c r="N131" s="626"/>
      <c r="O131" s="651">
        <f>SUBTOTAL(9,O8:O130)</f>
        <v>59</v>
      </c>
      <c r="P131" s="651">
        <f>P129+P86+P54</f>
        <v>59</v>
      </c>
    </row>
    <row r="133" spans="1:16" x14ac:dyDescent="0.3">
      <c r="D133" s="256"/>
    </row>
  </sheetData>
  <sheetProtection algorithmName="SHA-512" hashValue="rOAxO6Dk3f4ZP4zFfqqsQaDGGrwgfgvvfsyOx7GMM1vdu02w88DJvn2cUr+EjNR8c75XTCRjGl9d1GwY73thSg==" saltValue="R5p0V5MNgPC/LPGHHkdDlw==" spinCount="100000" sheet="1" objects="1" scenarios="1" selectLockedCells="1" selectUnlockedCells="1"/>
  <mergeCells count="31">
    <mergeCell ref="A87:N87"/>
    <mergeCell ref="A111:N111"/>
    <mergeCell ref="A102:N102"/>
    <mergeCell ref="A95:N95"/>
    <mergeCell ref="A91:N91"/>
    <mergeCell ref="A88:N88"/>
    <mergeCell ref="A48:N48"/>
    <mergeCell ref="A7:N7"/>
    <mergeCell ref="A55:N55"/>
    <mergeCell ref="A70:N70"/>
    <mergeCell ref="A65:N65"/>
    <mergeCell ref="A62:N62"/>
    <mergeCell ref="A59:N59"/>
    <mergeCell ref="A56:N56"/>
    <mergeCell ref="C39:C44"/>
    <mergeCell ref="D39:D44"/>
    <mergeCell ref="A25:N25"/>
    <mergeCell ref="A36:N36"/>
    <mergeCell ref="K5:M5"/>
    <mergeCell ref="N5:N6"/>
    <mergeCell ref="C13:C16"/>
    <mergeCell ref="D13:D16"/>
    <mergeCell ref="C21:C23"/>
    <mergeCell ref="D21:D23"/>
    <mergeCell ref="H5:J5"/>
    <mergeCell ref="A8:N8"/>
    <mergeCell ref="A5:A6"/>
    <mergeCell ref="B5:B6"/>
    <mergeCell ref="C5:C6"/>
    <mergeCell ref="D5:D6"/>
    <mergeCell ref="E5:G5"/>
  </mergeCells>
  <printOptions horizontalCentered="1"/>
  <pageMargins left="0.70866141732283472" right="0.70866141732283472" top="1.4960629921259843" bottom="0.74803149606299213" header="0.31496062992125984" footer="0.31496062992125984"/>
  <pageSetup scale="53" fitToHeight="0" orientation="landscape" useFirstPageNumber="1" r:id="rId1"/>
  <headerFooter>
    <oddHeader>&amp;R&amp;"Times New Roman,Regular"&amp;12
Annex T
AAR Page 247</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47</vt:i4>
      </vt:variant>
    </vt:vector>
  </HeadingPairs>
  <TitlesOfParts>
    <vt:vector size="78" baseType="lpstr">
      <vt:lpstr>Annex A.1 GF-SFPO</vt:lpstr>
      <vt:lpstr>Annex A.2 GF-SFPER</vt:lpstr>
      <vt:lpstr>Annex A.3 GF-SCNAE</vt:lpstr>
      <vt:lpstr>Annex A.4 GF-SCF</vt:lpstr>
      <vt:lpstr>Annex A.5 GF-SCBAA</vt:lpstr>
      <vt:lpstr>Annex B.1 SEF-SFPO</vt:lpstr>
      <vt:lpstr>Annex B.2 SEF-SFPER</vt:lpstr>
      <vt:lpstr>Annex B.3 SEF-SCNAE</vt:lpstr>
      <vt:lpstr>Annex B.4 SEF-SCF</vt:lpstr>
      <vt:lpstr>Annex B.5 SEF-SCBAA</vt:lpstr>
      <vt:lpstr>Annex C.1 TF-SFPO</vt:lpstr>
      <vt:lpstr>Annex C.2 TF-SFPER</vt:lpstr>
      <vt:lpstr>Annex C.3 TF-SCNAE</vt:lpstr>
      <vt:lpstr>Annex C.4 TF-SCF</vt:lpstr>
      <vt:lpstr>Annex D</vt:lpstr>
      <vt:lpstr>Annex E</vt:lpstr>
      <vt:lpstr>Annex F</vt:lpstr>
      <vt:lpstr>Annex G</vt:lpstr>
      <vt:lpstr>Annex H</vt:lpstr>
      <vt:lpstr>Annex I</vt:lpstr>
      <vt:lpstr>Annex J</vt:lpstr>
      <vt:lpstr>Annex K</vt:lpstr>
      <vt:lpstr>Annex L</vt:lpstr>
      <vt:lpstr>Annex M</vt:lpstr>
      <vt:lpstr>Annex N</vt:lpstr>
      <vt:lpstr>Annex O</vt:lpstr>
      <vt:lpstr>Annex P</vt:lpstr>
      <vt:lpstr>Annex Q</vt:lpstr>
      <vt:lpstr>Annex R</vt:lpstr>
      <vt:lpstr>Annex S</vt:lpstr>
      <vt:lpstr>Annex T</vt:lpstr>
      <vt:lpstr>'Annex A.1 GF-SFPO'!Print_Area</vt:lpstr>
      <vt:lpstr>'Annex A.2 GF-SFPER'!Print_Area</vt:lpstr>
      <vt:lpstr>'Annex A.3 GF-SCNAE'!Print_Area</vt:lpstr>
      <vt:lpstr>'Annex A.4 GF-SCF'!Print_Area</vt:lpstr>
      <vt:lpstr>'Annex A.5 GF-SCBAA'!Print_Area</vt:lpstr>
      <vt:lpstr>'Annex B.1 SEF-SFPO'!Print_Area</vt:lpstr>
      <vt:lpstr>'Annex B.2 SEF-SFPER'!Print_Area</vt:lpstr>
      <vt:lpstr>'Annex B.3 SEF-SCNAE'!Print_Area</vt:lpstr>
      <vt:lpstr>'Annex B.4 SEF-SCF'!Print_Area</vt:lpstr>
      <vt:lpstr>'Annex B.5 SEF-SCBAA'!Print_Area</vt:lpstr>
      <vt:lpstr>'Annex C.1 TF-SFPO'!Print_Area</vt:lpstr>
      <vt:lpstr>'Annex C.2 TF-SFPER'!Print_Area</vt:lpstr>
      <vt:lpstr>'Annex C.3 TF-SCNAE'!Print_Area</vt:lpstr>
      <vt:lpstr>'Annex C.4 TF-SCF'!Print_Area</vt:lpstr>
      <vt:lpstr>'Annex D'!Print_Area</vt:lpstr>
      <vt:lpstr>'Annex E'!Print_Area</vt:lpstr>
      <vt:lpstr>'Annex F'!Print_Area</vt:lpstr>
      <vt:lpstr>'Annex G'!Print_Area</vt:lpstr>
      <vt:lpstr>'Annex H'!Print_Area</vt:lpstr>
      <vt:lpstr>'Annex I'!Print_Area</vt:lpstr>
      <vt:lpstr>'Annex J'!Print_Area</vt:lpstr>
      <vt:lpstr>'Annex K'!Print_Area</vt:lpstr>
      <vt:lpstr>'Annex L'!Print_Area</vt:lpstr>
      <vt:lpstr>'Annex M'!Print_Area</vt:lpstr>
      <vt:lpstr>'Annex N'!Print_Area</vt:lpstr>
      <vt:lpstr>'Annex O'!Print_Area</vt:lpstr>
      <vt:lpstr>'Annex P'!Print_Area</vt:lpstr>
      <vt:lpstr>'Annex Q'!Print_Area</vt:lpstr>
      <vt:lpstr>'Annex R'!Print_Area</vt:lpstr>
      <vt:lpstr>'Annex S'!Print_Area</vt:lpstr>
      <vt:lpstr>'Annex T'!Print_Area</vt:lpstr>
      <vt:lpstr>'Annex A.5 GF-SCBAA'!Print_Titles</vt:lpstr>
      <vt:lpstr>'Annex E'!Print_Titles</vt:lpstr>
      <vt:lpstr>'Annex F'!Print_Titles</vt:lpstr>
      <vt:lpstr>'Annex G'!Print_Titles</vt:lpstr>
      <vt:lpstr>'Annex H'!Print_Titles</vt:lpstr>
      <vt:lpstr>'Annex I'!Print_Titles</vt:lpstr>
      <vt:lpstr>'Annex J'!Print_Titles</vt:lpstr>
      <vt:lpstr>'Annex K'!Print_Titles</vt:lpstr>
      <vt:lpstr>'Annex M'!Print_Titles</vt:lpstr>
      <vt:lpstr>'Annex N'!Print_Titles</vt:lpstr>
      <vt:lpstr>'Annex O'!Print_Titles</vt:lpstr>
      <vt:lpstr>'Annex P'!Print_Titles</vt:lpstr>
      <vt:lpstr>'Annex Q'!Print_Titles</vt:lpstr>
      <vt:lpstr>'Annex R'!Print_Titles</vt:lpstr>
      <vt:lpstr>'Annex S'!Print_Titles</vt:lpstr>
      <vt:lpstr>'Annex 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Annexes</dc:title>
  <dc:creator>COA - City of Panabo, Davao del Norte</dc:creator>
  <cp:lastModifiedBy>Ben A. Lazo, Jr.</cp:lastModifiedBy>
  <cp:lastPrinted>2023-06-27T00:56:14Z</cp:lastPrinted>
  <dcterms:created xsi:type="dcterms:W3CDTF">2023-02-22T01:50:40Z</dcterms:created>
  <dcterms:modified xsi:type="dcterms:W3CDTF">2023-06-27T00:56:40Z</dcterms:modified>
</cp:coreProperties>
</file>