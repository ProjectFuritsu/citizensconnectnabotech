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AARS\Ben\AARs\2022\AAR2022\Region-11\3rd Batch\3rd Batch\16. eAAR_CY2022_City of Panabo\PanaboCity2022_aar\"/>
    </mc:Choice>
  </mc:AlternateContent>
  <bookViews>
    <workbookView xWindow="0" yWindow="0" windowWidth="23040" windowHeight="9192"/>
  </bookViews>
  <sheets>
    <sheet name="SFPO" sheetId="2" r:id="rId1"/>
    <sheet name="SFPER" sheetId="3" r:id="rId2"/>
    <sheet name="SCNAE" sheetId="4" r:id="rId3"/>
    <sheet name="SCF" sheetId="5" r:id="rId4"/>
    <sheet name="SCBAA" sheetId="7" r:id="rId5"/>
  </sheets>
  <definedNames>
    <definedName name="_xlnm.Print_Area" localSheetId="4">SCBAA!$A$1:$P$120</definedName>
    <definedName name="_xlnm.Print_Area" localSheetId="3">SCF!$A$1:$F$51</definedName>
    <definedName name="_xlnm.Print_Area" localSheetId="2">SCNAE!$A$1:$F$21</definedName>
    <definedName name="_xlnm.Print_Area" localSheetId="1">SFPER!$A$1:$F$32</definedName>
    <definedName name="_xlnm.Print_Area" localSheetId="0">SFPO!$A$1:$G$47</definedName>
    <definedName name="_xlnm.Print_Titles" localSheetId="4">SCBAA!$7:$9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16" i="7" l="1"/>
  <c r="J116" i="7"/>
  <c r="H116" i="7"/>
  <c r="L115" i="7" l="1"/>
  <c r="L112" i="7"/>
  <c r="L110" i="7"/>
  <c r="L108" i="7"/>
  <c r="L106" i="7"/>
  <c r="L104" i="7"/>
  <c r="L102" i="7"/>
  <c r="L100" i="7"/>
  <c r="J96" i="7"/>
  <c r="H96" i="7"/>
  <c r="H117" i="7" s="1"/>
  <c r="L116" i="7" l="1"/>
  <c r="L88" i="7"/>
  <c r="L87" i="7"/>
  <c r="L85" i="7"/>
  <c r="L84" i="7"/>
  <c r="L76" i="7"/>
  <c r="L73" i="7"/>
  <c r="L62" i="7"/>
  <c r="L61" i="7"/>
  <c r="L60" i="7"/>
  <c r="L58" i="7"/>
  <c r="L57" i="7"/>
  <c r="L56" i="7"/>
  <c r="L66" i="7"/>
  <c r="D20" i="2" l="1"/>
  <c r="O118" i="7" l="1"/>
  <c r="M118" i="7"/>
  <c r="K118" i="7"/>
  <c r="P115" i="7"/>
  <c r="P112" i="7"/>
  <c r="P110" i="7"/>
  <c r="P108" i="7"/>
  <c r="P106" i="7"/>
  <c r="P104" i="7"/>
  <c r="P102" i="7"/>
  <c r="P100" i="7"/>
  <c r="N96" i="7"/>
  <c r="N117" i="7" s="1"/>
  <c r="J117" i="7"/>
  <c r="P95" i="7"/>
  <c r="L95" i="7"/>
  <c r="L96" i="7" s="1"/>
  <c r="L117" i="7" s="1"/>
  <c r="P94" i="7"/>
  <c r="P93" i="7"/>
  <c r="P92" i="7"/>
  <c r="P91" i="7"/>
  <c r="P90" i="7"/>
  <c r="P88" i="7"/>
  <c r="P87" i="7"/>
  <c r="P85" i="7"/>
  <c r="P84" i="7"/>
  <c r="P82" i="7"/>
  <c r="P81" i="7"/>
  <c r="P79" i="7"/>
  <c r="P78" i="7"/>
  <c r="P76" i="7"/>
  <c r="P75" i="7"/>
  <c r="P73" i="7"/>
  <c r="P70" i="7"/>
  <c r="P69" i="7"/>
  <c r="P68" i="7"/>
  <c r="P66" i="7"/>
  <c r="P65" i="7"/>
  <c r="P64" i="7"/>
  <c r="P62" i="7"/>
  <c r="P61" i="7"/>
  <c r="P60" i="7"/>
  <c r="P58" i="7"/>
  <c r="P57" i="7"/>
  <c r="P56" i="7"/>
  <c r="P54" i="7"/>
  <c r="P53" i="7"/>
  <c r="P52" i="7"/>
  <c r="P50" i="7"/>
  <c r="P49" i="7"/>
  <c r="P48" i="7"/>
  <c r="P46" i="7"/>
  <c r="P45" i="7"/>
  <c r="P44" i="7"/>
  <c r="P38" i="7"/>
  <c r="L38" i="7"/>
  <c r="P37" i="7"/>
  <c r="L37" i="7"/>
  <c r="P36" i="7"/>
  <c r="L36" i="7"/>
  <c r="P35" i="7"/>
  <c r="L35" i="7"/>
  <c r="P33" i="7"/>
  <c r="L33" i="7"/>
  <c r="P32" i="7"/>
  <c r="L32" i="7"/>
  <c r="P31" i="7"/>
  <c r="L31" i="7"/>
  <c r="P29" i="7"/>
  <c r="L29" i="7"/>
  <c r="P28" i="7"/>
  <c r="P26" i="7"/>
  <c r="L26" i="7"/>
  <c r="P24" i="7"/>
  <c r="L24" i="7"/>
  <c r="N22" i="7"/>
  <c r="J22" i="7"/>
  <c r="H22" i="7"/>
  <c r="P21" i="7"/>
  <c r="L21" i="7"/>
  <c r="P20" i="7"/>
  <c r="L20" i="7"/>
  <c r="P19" i="7"/>
  <c r="L19" i="7"/>
  <c r="N17" i="7"/>
  <c r="J17" i="7"/>
  <c r="H17" i="7"/>
  <c r="P16" i="7"/>
  <c r="L16" i="7"/>
  <c r="P15" i="7"/>
  <c r="L15" i="7"/>
  <c r="P14" i="7"/>
  <c r="L14" i="7"/>
  <c r="P116" i="7" l="1"/>
  <c r="N39" i="7"/>
  <c r="N118" i="7" s="1"/>
  <c r="J39" i="7"/>
  <c r="J118" i="7" s="1"/>
  <c r="H39" i="7"/>
  <c r="H118" i="7" s="1"/>
  <c r="P17" i="7"/>
  <c r="P96" i="7"/>
  <c r="L22" i="7"/>
  <c r="P22" i="7"/>
  <c r="L17" i="7"/>
  <c r="L39" i="7" s="1"/>
  <c r="L118" i="7" s="1"/>
  <c r="P117" i="7" l="1"/>
  <c r="P39" i="7"/>
  <c r="P118" i="7" s="1"/>
  <c r="D20" i="3"/>
  <c r="D16" i="3" l="1"/>
  <c r="F28" i="2" l="1"/>
  <c r="D23" i="3" l="1"/>
  <c r="D25" i="3" l="1"/>
  <c r="D30" i="3" s="1"/>
  <c r="D17" i="4" s="1"/>
  <c r="D18" i="4" s="1"/>
  <c r="D40" i="2" l="1"/>
  <c r="D35" i="2"/>
  <c r="D23" i="2"/>
  <c r="D17" i="2"/>
  <c r="D41" i="2" l="1"/>
  <c r="F42" i="5"/>
  <c r="F39" i="5"/>
  <c r="F33" i="5"/>
  <c r="F30" i="5"/>
  <c r="F24" i="5"/>
  <c r="F17" i="5"/>
  <c r="F25" i="5" s="1"/>
  <c r="F43" i="5" l="1"/>
  <c r="F34" i="5"/>
  <c r="D42" i="5"/>
  <c r="D39" i="5"/>
  <c r="D43" i="5" s="1"/>
  <c r="D33" i="5"/>
  <c r="D30" i="5"/>
  <c r="D24" i="5"/>
  <c r="D17" i="5"/>
  <c r="D25" i="5" s="1"/>
  <c r="F14" i="4"/>
  <c r="I13" i="4"/>
  <c r="H13" i="4"/>
  <c r="I12" i="4"/>
  <c r="I10" i="4"/>
  <c r="I29" i="3"/>
  <c r="G29" i="3"/>
  <c r="I28" i="3"/>
  <c r="G28" i="3"/>
  <c r="I27" i="3"/>
  <c r="G27" i="3"/>
  <c r="F23" i="3"/>
  <c r="I23" i="3" s="1"/>
  <c r="G23" i="3"/>
  <c r="I22" i="3"/>
  <c r="G22" i="3"/>
  <c r="I21" i="3"/>
  <c r="G21" i="3"/>
  <c r="I20" i="3"/>
  <c r="G20" i="3"/>
  <c r="I19" i="3"/>
  <c r="G19" i="3"/>
  <c r="I15" i="3"/>
  <c r="G15" i="3"/>
  <c r="G14" i="3"/>
  <c r="I14" i="3"/>
  <c r="G13" i="3"/>
  <c r="F16" i="3"/>
  <c r="I12" i="3"/>
  <c r="G12" i="3"/>
  <c r="I11" i="3"/>
  <c r="G11" i="3"/>
  <c r="F40" i="2"/>
  <c r="I40" i="2" s="1"/>
  <c r="H40" i="2"/>
  <c r="I39" i="2"/>
  <c r="H39" i="2"/>
  <c r="I38" i="2"/>
  <c r="H38" i="2"/>
  <c r="H35" i="2"/>
  <c r="I34" i="2"/>
  <c r="H34" i="2"/>
  <c r="I33" i="2"/>
  <c r="H33" i="2"/>
  <c r="I32" i="2"/>
  <c r="H32" i="2"/>
  <c r="I31" i="2"/>
  <c r="H31" i="2"/>
  <c r="I30" i="2"/>
  <c r="H30" i="2"/>
  <c r="I29" i="2"/>
  <c r="H29" i="2"/>
  <c r="I28" i="2"/>
  <c r="H28" i="2"/>
  <c r="F35" i="2"/>
  <c r="F23" i="2"/>
  <c r="I22" i="2"/>
  <c r="H22" i="2"/>
  <c r="I21" i="2"/>
  <c r="H21" i="2"/>
  <c r="I20" i="2"/>
  <c r="H20" i="2"/>
  <c r="F17" i="2"/>
  <c r="I17" i="2" s="1"/>
  <c r="H17" i="2"/>
  <c r="I16" i="2"/>
  <c r="H16" i="2"/>
  <c r="I15" i="2"/>
  <c r="H15" i="2"/>
  <c r="I14" i="2"/>
  <c r="H14" i="2"/>
  <c r="I13" i="2"/>
  <c r="H13" i="2"/>
  <c r="I12" i="2"/>
  <c r="H12" i="2"/>
  <c r="D34" i="5" l="1"/>
  <c r="F46" i="5"/>
  <c r="F49" i="5" s="1"/>
  <c r="F25" i="3"/>
  <c r="F30" i="3" s="1"/>
  <c r="D24" i="2"/>
  <c r="H23" i="2"/>
  <c r="F41" i="2"/>
  <c r="I41" i="2" s="1"/>
  <c r="F24" i="2"/>
  <c r="I24" i="2" s="1"/>
  <c r="I23" i="2"/>
  <c r="I13" i="3"/>
  <c r="I14" i="4"/>
  <c r="F55" i="5" l="1"/>
  <c r="D48" i="5"/>
  <c r="I25" i="3"/>
  <c r="D46" i="5"/>
  <c r="H24" i="2"/>
  <c r="G25" i="3"/>
  <c r="F17" i="4"/>
  <c r="I30" i="3"/>
  <c r="G30" i="3"/>
  <c r="H41" i="2"/>
  <c r="D49" i="5" l="1"/>
  <c r="D55" i="5" s="1"/>
  <c r="H17" i="4"/>
  <c r="I17" i="4"/>
  <c r="F18" i="4"/>
  <c r="F19" i="4"/>
  <c r="D10" i="4" l="1"/>
  <c r="D14" i="4" s="1"/>
  <c r="D19" i="4" s="1"/>
  <c r="D44" i="2" s="1"/>
  <c r="H10" i="4" l="1"/>
  <c r="I44" i="2"/>
  <c r="F45" i="2"/>
  <c r="H14" i="4"/>
  <c r="H44" i="2" l="1"/>
  <c r="D45" i="2"/>
  <c r="I45" i="2"/>
  <c r="H45" i="2" l="1"/>
</calcChain>
</file>

<file path=xl/sharedStrings.xml><?xml version="1.0" encoding="utf-8"?>
<sst xmlns="http://schemas.openxmlformats.org/spreadsheetml/2006/main" count="263" uniqueCount="177">
  <si>
    <t>City Government of Panabo</t>
  </si>
  <si>
    <t>Province of Davao del Norte</t>
  </si>
  <si>
    <t>STATEMENT OF FINANCIAL POSITION</t>
  </si>
  <si>
    <t>All Funds</t>
  </si>
  <si>
    <t>(In Philippine Peso)</t>
  </si>
  <si>
    <t>Note</t>
  </si>
  <si>
    <t>ASSETS</t>
  </si>
  <si>
    <t>Current Assets</t>
  </si>
  <si>
    <t xml:space="preserve">    Cash and Cash Equivalents</t>
  </si>
  <si>
    <t xml:space="preserve">    Investments</t>
  </si>
  <si>
    <t xml:space="preserve">    Receivables</t>
  </si>
  <si>
    <t xml:space="preserve">    Inventories</t>
  </si>
  <si>
    <t xml:space="preserve">    Prepayments and Deferred Charges</t>
  </si>
  <si>
    <t>Total Current Assets</t>
  </si>
  <si>
    <t xml:space="preserve">    Non-Current Assets</t>
  </si>
  <si>
    <t xml:space="preserve">    Biological Assets</t>
  </si>
  <si>
    <t xml:space="preserve">    Intangible Assets</t>
  </si>
  <si>
    <t>Total Non-Current Assets</t>
  </si>
  <si>
    <t>Total Assets</t>
  </si>
  <si>
    <t>LIABILITIES</t>
  </si>
  <si>
    <t>Current Liabilities</t>
  </si>
  <si>
    <t xml:space="preserve">    Financial Liabilities</t>
  </si>
  <si>
    <t xml:space="preserve">    Inter-Agency Payables</t>
  </si>
  <si>
    <t xml:space="preserve">    Intra-Agency Payables</t>
  </si>
  <si>
    <t xml:space="preserve">    Trust Liabilities</t>
  </si>
  <si>
    <t xml:space="preserve">    Provisions</t>
  </si>
  <si>
    <t xml:space="preserve">    Deferred Credits/Unearned Income</t>
  </si>
  <si>
    <t xml:space="preserve">    Other Payables</t>
  </si>
  <si>
    <t>Total Current Liabilities</t>
  </si>
  <si>
    <t>Non-Current Liabilities</t>
  </si>
  <si>
    <t>Total Non-Current Liabilities</t>
  </si>
  <si>
    <t>Total Liabilities</t>
  </si>
  <si>
    <t>NET ASSETS/EQUITY</t>
  </si>
  <si>
    <t>Government Equity</t>
  </si>
  <si>
    <t>Total Liabilities and Net Assets/Equity</t>
  </si>
  <si>
    <t>(See accompanying Notes to Financial Statements.)</t>
  </si>
  <si>
    <t>STATEMENT OF FINANCIAL PERFORMANCE</t>
  </si>
  <si>
    <t>Note/s</t>
  </si>
  <si>
    <t xml:space="preserve">Revenue </t>
  </si>
  <si>
    <t>Share from Internal Revenue Collections</t>
  </si>
  <si>
    <t>Total Revenue</t>
  </si>
  <si>
    <t>Less: Current Operating Expenses</t>
  </si>
  <si>
    <t>Maintenance &amp; Other Operating Expenses</t>
  </si>
  <si>
    <t>Current Operating Expenses</t>
  </si>
  <si>
    <t>Surplus (Deficit) from Current Operation</t>
  </si>
  <si>
    <t>Transfers, Assistance and Subsidy From</t>
  </si>
  <si>
    <t>Surplus(Deficit) for the period</t>
  </si>
  <si>
    <t>STATEMENT OF CHANGES IN NET ASSETS/EQUITY</t>
  </si>
  <si>
    <t xml:space="preserve">Balance at January 1 </t>
  </si>
  <si>
    <t>Add (Deduct):</t>
  </si>
  <si>
    <t>Changes in Accounting Policy</t>
  </si>
  <si>
    <t>Prior Period Errors</t>
  </si>
  <si>
    <t>Restated Balance</t>
  </si>
  <si>
    <t>Surplus (Deficit) for the period</t>
  </si>
  <si>
    <t>Total changes during the year</t>
  </si>
  <si>
    <t>STATEMENT OF CASH FLOWS</t>
  </si>
  <si>
    <t>Cash Flows from Operating Activities</t>
  </si>
  <si>
    <t>Cash Inflows</t>
  </si>
  <si>
    <t>Cash Outflows</t>
  </si>
  <si>
    <t>Payment of expenses</t>
  </si>
  <si>
    <t>Payments to suppliers and creditors</t>
  </si>
  <si>
    <t>Payments to employees</t>
  </si>
  <si>
    <t>Net Cash Flows from Operating Activities</t>
  </si>
  <si>
    <t>Cash Flow from Investing Activities</t>
  </si>
  <si>
    <t xml:space="preserve">Cash Inflows </t>
  </si>
  <si>
    <t>Purchase/Construction of PPE</t>
  </si>
  <si>
    <t>Net Cash Flows from  Investing Activities</t>
  </si>
  <si>
    <t>Cash Flows from Financing Activities</t>
  </si>
  <si>
    <t>Proceeds from Domestic Loans</t>
  </si>
  <si>
    <t>Payment of Long-Term Liabilities</t>
  </si>
  <si>
    <t>Total Cash Provided by Operating, Investing</t>
  </si>
  <si>
    <t>Cash Balance at the End of the Year</t>
  </si>
  <si>
    <t xml:space="preserve"> </t>
  </si>
  <si>
    <t xml:space="preserve">City Government of Panabo </t>
  </si>
  <si>
    <t>STATEMENT OF COMPARISON OF BUDGET AND ACTUAL AMOUNTS</t>
  </si>
  <si>
    <t>PARTICULARS</t>
  </si>
  <si>
    <t xml:space="preserve">Budgeted </t>
  </si>
  <si>
    <t xml:space="preserve">Difference </t>
  </si>
  <si>
    <t>Amounts</t>
  </si>
  <si>
    <t>Original and</t>
  </si>
  <si>
    <t>Actual</t>
  </si>
  <si>
    <t xml:space="preserve">Final Budget </t>
  </si>
  <si>
    <t>Original</t>
  </si>
  <si>
    <t>Final</t>
  </si>
  <si>
    <t>and Actual</t>
  </si>
  <si>
    <t>Revenue</t>
  </si>
  <si>
    <t xml:space="preserve">A.  Local Sources </t>
  </si>
  <si>
    <t>1.  Tax Revenue</t>
  </si>
  <si>
    <t>a.  Tax Revenue - Property</t>
  </si>
  <si>
    <t>b. Tax Revenue - Goods and Services</t>
  </si>
  <si>
    <t>c.  Other Local Taxes</t>
  </si>
  <si>
    <t>Total Tax Revenue</t>
  </si>
  <si>
    <t>2.  Non-Tax Revenue</t>
  </si>
  <si>
    <t>a.  Service Income</t>
  </si>
  <si>
    <t>b.  Business Income</t>
  </si>
  <si>
    <t>c.  Other Income and Receipts</t>
  </si>
  <si>
    <t>Total Non-Tax Revenue</t>
  </si>
  <si>
    <t>B.  External Sources</t>
  </si>
  <si>
    <t>2.  Share from GOCCs</t>
  </si>
  <si>
    <t>a. Share from PCSO</t>
  </si>
  <si>
    <t>3.  Other Shares from National Tax Collections</t>
  </si>
  <si>
    <t>a. Share from Ecozone</t>
  </si>
  <si>
    <t>b.  Share from National Wealth</t>
  </si>
  <si>
    <t>a.  Grants and Donations</t>
  </si>
  <si>
    <t>b.  Other Subsidy Income</t>
  </si>
  <si>
    <t>a.  Sale of Capital Assets</t>
  </si>
  <si>
    <t>b.  Sale of Investments</t>
  </si>
  <si>
    <t>c.  Proceeds from Collections of Loan Receivable</t>
  </si>
  <si>
    <t>C. Receipts from Borrowings</t>
  </si>
  <si>
    <t>Total Revenue and Receipts</t>
  </si>
  <si>
    <t xml:space="preserve">Expenditures </t>
  </si>
  <si>
    <t>Current Aprropriations</t>
  </si>
  <si>
    <t>General Public Services</t>
  </si>
  <si>
    <t>Personnel Services</t>
  </si>
  <si>
    <t>Maintenance and Other Operating Expenses</t>
  </si>
  <si>
    <t>Capital Outlay</t>
  </si>
  <si>
    <t>Education</t>
  </si>
  <si>
    <t>Health, Nutrition and Population Control</t>
  </si>
  <si>
    <t>Labor and Employment</t>
  </si>
  <si>
    <t>Housing and Community Development</t>
  </si>
  <si>
    <t>Social Services and Social Welfare</t>
  </si>
  <si>
    <t>Economic Services</t>
  </si>
  <si>
    <t>Other Purposes:</t>
  </si>
  <si>
    <t>Debt Service</t>
  </si>
  <si>
    <t>Financial Expense</t>
  </si>
  <si>
    <t>Amortization</t>
  </si>
  <si>
    <t>LDRRMF</t>
  </si>
  <si>
    <t>20% Development Fund</t>
  </si>
  <si>
    <t>Share from National Wealth</t>
  </si>
  <si>
    <t>Allocation for Senior Citizens and PWD</t>
  </si>
  <si>
    <t>Others</t>
  </si>
  <si>
    <t>Aid to Barangays</t>
  </si>
  <si>
    <t>Confidential Fund</t>
  </si>
  <si>
    <t>2% Discretionary Fund</t>
  </si>
  <si>
    <t>MPBF</t>
  </si>
  <si>
    <t>Subsidy to Economic Enterprise/Special Accounts</t>
  </si>
  <si>
    <t>Subsidy to Other Funds</t>
  </si>
  <si>
    <t>Total Current Approrpiations</t>
  </si>
  <si>
    <t>Continuing Aprropriations</t>
  </si>
  <si>
    <t>Total Continuing Approrpiations</t>
  </si>
  <si>
    <t>Total Appropriations</t>
  </si>
  <si>
    <t xml:space="preserve">Surplus (Deficit) for the current period </t>
  </si>
  <si>
    <t>4.  Other Receipts</t>
  </si>
  <si>
    <t>5.  Inter-local Transfer</t>
  </si>
  <si>
    <t>6.  Capital /Investment Receipts</t>
  </si>
  <si>
    <t>As at December 31, 2022</t>
  </si>
  <si>
    <t>(With Comparative Figures for CY 2021)</t>
  </si>
  <si>
    <t>For the Year Ended December 31, 2022</t>
  </si>
  <si>
    <t>24, 22</t>
  </si>
  <si>
    <t>11, 12</t>
  </si>
  <si>
    <t>Balance at December 31, 2022</t>
  </si>
  <si>
    <t xml:space="preserve">    Property, Plant and Equipment (net)</t>
  </si>
  <si>
    <t>Tax Revenue</t>
  </si>
  <si>
    <t>Other Shares from National Taxes</t>
  </si>
  <si>
    <t>Service and Business Income</t>
  </si>
  <si>
    <t>Shares, Grants and Donations</t>
  </si>
  <si>
    <t>Non-cash Expenses</t>
  </si>
  <si>
    <t>Financial Expenses</t>
  </si>
  <si>
    <t xml:space="preserve">Add (Deduct): </t>
  </si>
  <si>
    <t>Transfers, Assistance and Subsidy To</t>
  </si>
  <si>
    <t>Miscellaneous Income</t>
  </si>
  <si>
    <t>Changes in net assets/equity during the year</t>
  </si>
  <si>
    <t>and Financing Activities</t>
  </si>
  <si>
    <t>Collection from taxpayers</t>
  </si>
  <si>
    <t>Share from Internal Revenue Allotment</t>
  </si>
  <si>
    <t>Receipts from business/service income</t>
  </si>
  <si>
    <t>Interest Income</t>
  </si>
  <si>
    <t>Other Receipts</t>
  </si>
  <si>
    <t>Total Cash Inflows</t>
  </si>
  <si>
    <t>Interest Expense</t>
  </si>
  <si>
    <t>Other Expenses</t>
  </si>
  <si>
    <t>Total Cash Outflows</t>
  </si>
  <si>
    <t>Proceeds from Sale/Disposal of PPE</t>
  </si>
  <si>
    <t>Net Cash Flows from Financing Activities</t>
  </si>
  <si>
    <t xml:space="preserve">Add(Deduct): </t>
  </si>
  <si>
    <t>Cash at the Beginning of the year</t>
  </si>
  <si>
    <t>1.  Share from the National Internal Revenue Taxes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</si>
</sst>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_-* #,##0.00_-;\-* #,##0.00_-;_-* &quot;-&quot;??_-;_-@_-"/>
    <numFmt numFmtId="165" formatCode="#,##0.00_ ;\-#,##0.00\ "/>
    <numFmt numFmtId="166" formatCode="#,##0.00;[Black]\(#,##0.00\)"/>
    <numFmt numFmtId="167" formatCode="#,##0.0000000_);\(#,##0.0000000\)"/>
    <numFmt numFmtId="168" formatCode="#,##0.000000000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i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sz val="12"/>
      <color rgb="FFC00000"/>
      <name val="Times New Roman"/>
      <family val="1"/>
    </font>
    <font>
      <sz val="12"/>
      <name val="Times New Roman"/>
      <family val="1"/>
    </font>
    <font>
      <sz val="11"/>
      <color theme="0" tint="-0.249977111117893"/>
      <name val="Calibri"/>
      <family val="2"/>
      <scheme val="minor"/>
    </font>
    <font>
      <sz val="11"/>
      <color theme="1"/>
      <name val="Times New Roman"/>
      <family val="1"/>
    </font>
    <font>
      <sz val="11"/>
      <color theme="0" tint="-0.249977111117893"/>
      <name val="Times New Roman"/>
      <family val="1"/>
    </font>
    <font>
      <b/>
      <sz val="11"/>
      <color theme="0" tint="-0.249977111117893"/>
      <name val="Times New Roman"/>
      <family val="1"/>
    </font>
    <font>
      <sz val="10"/>
      <color theme="1"/>
      <name val="Verdana"/>
      <family val="2"/>
    </font>
    <font>
      <sz val="10"/>
      <color theme="0" tint="-0.249977111117893"/>
      <name val="Verdana"/>
      <family val="2"/>
    </font>
    <font>
      <sz val="12"/>
      <color theme="1"/>
      <name val="Calibri"/>
      <family val="2"/>
      <scheme val="minor"/>
    </font>
    <font>
      <i/>
      <sz val="12"/>
      <color theme="1"/>
      <name val="Times New Roman"/>
      <family val="1"/>
    </font>
    <font>
      <sz val="11"/>
      <color theme="0" tint="-0.14999847407452621"/>
      <name val="Calibri"/>
      <family val="2"/>
      <scheme val="minor"/>
    </font>
    <font>
      <sz val="12"/>
      <color rgb="FFFF0000"/>
      <name val="Times New Roman"/>
      <family val="1"/>
    </font>
    <font>
      <sz val="12"/>
      <color theme="0" tint="-0.14999847407452621"/>
      <name val="Calibri"/>
      <family val="2"/>
      <scheme val="minor"/>
    </font>
    <font>
      <b/>
      <sz val="12"/>
      <name val="Times New Roman"/>
      <family val="1"/>
    </font>
    <font>
      <b/>
      <sz val="11"/>
      <color theme="1"/>
      <name val="Times New Roman"/>
      <family val="1"/>
    </font>
    <font>
      <b/>
      <sz val="12"/>
      <color rgb="FF010202"/>
      <name val="Times New Roman"/>
      <family val="1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8" fillId="0" borderId="0"/>
  </cellStyleXfs>
  <cellXfs count="209">
    <xf numFmtId="0" fontId="0" fillId="0" borderId="0" xfId="0"/>
    <xf numFmtId="0" fontId="2" fillId="0" borderId="0" xfId="0" applyFont="1"/>
    <xf numFmtId="0" fontId="7" fillId="0" borderId="0" xfId="0" applyFont="1" applyAlignment="1">
      <alignment horizontal="justify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justify" vertical="center" wrapText="1"/>
    </xf>
    <xf numFmtId="0" fontId="9" fillId="0" borderId="0" xfId="0" applyFont="1" applyAlignment="1">
      <alignment horizontal="justify" vertical="center" wrapText="1"/>
    </xf>
    <xf numFmtId="0" fontId="10" fillId="0" borderId="0" xfId="0" applyFont="1" applyAlignment="1">
      <alignment horizontal="justify" vertical="center" wrapText="1"/>
    </xf>
    <xf numFmtId="0" fontId="7" fillId="0" borderId="0" xfId="0" applyFont="1" applyAlignment="1">
      <alignment horizontal="center" vertical="center" wrapText="1"/>
    </xf>
    <xf numFmtId="43" fontId="7" fillId="0" borderId="0" xfId="2" applyFont="1" applyAlignment="1">
      <alignment horizontal="right" vertical="center" wrapText="1"/>
    </xf>
    <xf numFmtId="43" fontId="7" fillId="0" borderId="0" xfId="2" applyFont="1" applyBorder="1" applyAlignment="1">
      <alignment horizontal="right" vertical="center" wrapText="1"/>
    </xf>
    <xf numFmtId="164" fontId="0" fillId="0" borderId="0" xfId="0" applyNumberFormat="1"/>
    <xf numFmtId="164" fontId="2" fillId="0" borderId="0" xfId="0" applyNumberFormat="1" applyFont="1"/>
    <xf numFmtId="0" fontId="7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43" fontId="7" fillId="0" borderId="1" xfId="2" applyFont="1" applyBorder="1" applyAlignment="1">
      <alignment horizontal="right" vertical="center" wrapText="1"/>
    </xf>
    <xf numFmtId="0" fontId="10" fillId="0" borderId="0" xfId="0" applyFont="1" applyAlignment="1">
      <alignment horizontal="center" vertical="center" wrapText="1"/>
    </xf>
    <xf numFmtId="43" fontId="8" fillId="0" borderId="2" xfId="2" applyFont="1" applyBorder="1" applyAlignment="1">
      <alignment horizontal="right" vertical="center" wrapText="1"/>
    </xf>
    <xf numFmtId="43" fontId="8" fillId="0" borderId="0" xfId="2" applyFont="1" applyBorder="1" applyAlignment="1">
      <alignment horizontal="right" vertical="center" wrapText="1"/>
    </xf>
    <xf numFmtId="43" fontId="0" fillId="0" borderId="0" xfId="0" applyNumberFormat="1"/>
    <xf numFmtId="43" fontId="12" fillId="0" borderId="0" xfId="0" applyNumberFormat="1" applyFont="1"/>
    <xf numFmtId="0" fontId="12" fillId="0" borderId="0" xfId="0" applyFont="1"/>
    <xf numFmtId="164" fontId="13" fillId="0" borderId="0" xfId="0" applyNumberFormat="1" applyFont="1"/>
    <xf numFmtId="0" fontId="14" fillId="0" borderId="0" xfId="0" applyFont="1"/>
    <xf numFmtId="0" fontId="14" fillId="0" borderId="0" xfId="0" applyFont="1" applyAlignment="1">
      <alignment horizontal="center"/>
    </xf>
    <xf numFmtId="43" fontId="7" fillId="0" borderId="1" xfId="2" applyFont="1" applyFill="1" applyBorder="1" applyAlignment="1">
      <alignment horizontal="right" vertical="center" wrapText="1"/>
    </xf>
    <xf numFmtId="43" fontId="7" fillId="0" borderId="0" xfId="2" applyFont="1" applyFill="1" applyBorder="1" applyAlignment="1">
      <alignment horizontal="right" vertical="center" wrapText="1"/>
    </xf>
    <xf numFmtId="164" fontId="13" fillId="0" borderId="0" xfId="0" applyNumberFormat="1" applyFont="1" applyAlignment="1">
      <alignment horizontal="left" vertical="center" wrapText="1"/>
    </xf>
    <xf numFmtId="4" fontId="15" fillId="0" borderId="0" xfId="0" applyNumberFormat="1" applyFont="1"/>
    <xf numFmtId="4" fontId="16" fillId="0" borderId="0" xfId="0" applyNumberFormat="1" applyFont="1"/>
    <xf numFmtId="4" fontId="17" fillId="0" borderId="0" xfId="0" applyNumberFormat="1" applyFont="1"/>
    <xf numFmtId="43" fontId="8" fillId="0" borderId="3" xfId="2" applyFont="1" applyBorder="1" applyAlignment="1">
      <alignment horizontal="right" vertical="center" wrapText="1"/>
    </xf>
    <xf numFmtId="164" fontId="14" fillId="0" borderId="0" xfId="0" applyNumberFormat="1" applyFont="1"/>
    <xf numFmtId="43" fontId="14" fillId="0" borderId="0" xfId="0" applyNumberFormat="1" applyFont="1"/>
    <xf numFmtId="10" fontId="13" fillId="0" borderId="0" xfId="1" applyNumberFormat="1" applyFont="1" applyBorder="1"/>
    <xf numFmtId="10" fontId="14" fillId="0" borderId="0" xfId="1" applyNumberFormat="1" applyFont="1" applyBorder="1"/>
    <xf numFmtId="0" fontId="8" fillId="0" borderId="0" xfId="0" applyFont="1" applyAlignment="1">
      <alignment horizontal="left" vertical="center" wrapText="1"/>
    </xf>
    <xf numFmtId="164" fontId="14" fillId="0" borderId="0" xfId="0" applyNumberFormat="1" applyFont="1" applyAlignment="1">
      <alignment horizontal="left" vertical="center" wrapText="1"/>
    </xf>
    <xf numFmtId="43" fontId="15" fillId="0" borderId="0" xfId="2" applyFont="1" applyFill="1" applyBorder="1" applyAlignment="1">
      <alignment horizontal="right" vertical="center" wrapText="1"/>
    </xf>
    <xf numFmtId="164" fontId="12" fillId="0" borderId="0" xfId="0" applyNumberFormat="1" applyFont="1"/>
    <xf numFmtId="43" fontId="8" fillId="0" borderId="1" xfId="2" applyFont="1" applyBorder="1" applyAlignment="1">
      <alignment horizontal="right" vertical="center" wrapText="1"/>
    </xf>
    <xf numFmtId="43" fontId="7" fillId="0" borderId="0" xfId="2" applyFont="1" applyAlignment="1">
      <alignment vertical="center" wrapText="1"/>
    </xf>
    <xf numFmtId="43" fontId="7" fillId="0" borderId="0" xfId="2" applyFont="1" applyBorder="1" applyAlignment="1">
      <alignment vertical="center" wrapText="1"/>
    </xf>
    <xf numFmtId="0" fontId="8" fillId="0" borderId="0" xfId="0" applyFont="1" applyAlignment="1">
      <alignment horizontal="right" vertical="center" wrapText="1"/>
    </xf>
    <xf numFmtId="43" fontId="8" fillId="0" borderId="4" xfId="2" applyFont="1" applyBorder="1" applyAlignment="1">
      <alignment horizontal="right" vertical="center" wrapText="1"/>
    </xf>
    <xf numFmtId="0" fontId="18" fillId="0" borderId="0" xfId="0" applyFont="1"/>
    <xf numFmtId="0" fontId="20" fillId="0" borderId="0" xfId="0" applyFont="1"/>
    <xf numFmtId="0" fontId="7" fillId="0" borderId="0" xfId="0" applyFont="1" applyAlignment="1">
      <alignment horizontal="left" vertical="center" wrapText="1" indent="2"/>
    </xf>
    <xf numFmtId="165" fontId="0" fillId="0" borderId="0" xfId="0" applyNumberFormat="1"/>
    <xf numFmtId="39" fontId="7" fillId="0" borderId="0" xfId="2" applyNumberFormat="1" applyFont="1" applyBorder="1" applyAlignment="1">
      <alignment horizontal="right" vertical="center" wrapText="1"/>
    </xf>
    <xf numFmtId="0" fontId="0" fillId="0" borderId="0" xfId="0" applyAlignment="1">
      <alignment horizontal="center"/>
    </xf>
    <xf numFmtId="164" fontId="3" fillId="0" borderId="0" xfId="0" applyNumberFormat="1" applyFont="1" applyAlignment="1">
      <alignment horizontal="center"/>
    </xf>
    <xf numFmtId="43" fontId="0" fillId="0" borderId="0" xfId="2" applyFont="1" applyBorder="1" applyAlignment="1">
      <alignment horizontal="right"/>
    </xf>
    <xf numFmtId="43" fontId="0" fillId="0" borderId="0" xfId="2" applyFont="1" applyBorder="1"/>
    <xf numFmtId="0" fontId="21" fillId="0" borderId="0" xfId="0" applyFont="1" applyAlignment="1">
      <alignment horizontal="center" vertical="center" wrapText="1"/>
    </xf>
    <xf numFmtId="39" fontId="8" fillId="0" borderId="2" xfId="2" applyNumberFormat="1" applyFont="1" applyBorder="1" applyAlignment="1">
      <alignment horizontal="right" vertical="center" wrapText="1"/>
    </xf>
    <xf numFmtId="43" fontId="0" fillId="0" borderId="0" xfId="0" applyNumberFormat="1" applyAlignment="1">
      <alignment horizontal="left"/>
    </xf>
    <xf numFmtId="43" fontId="3" fillId="0" borderId="0" xfId="0" applyNumberFormat="1" applyFont="1" applyAlignment="1">
      <alignment horizontal="left"/>
    </xf>
    <xf numFmtId="43" fontId="3" fillId="0" borderId="0" xfId="0" applyNumberFormat="1" applyFont="1" applyAlignment="1">
      <alignment horizontal="right"/>
    </xf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left"/>
    </xf>
    <xf numFmtId="164" fontId="0" fillId="0" borderId="0" xfId="0" applyNumberFormat="1" applyAlignment="1">
      <alignment horizontal="left"/>
    </xf>
    <xf numFmtId="43" fontId="3" fillId="0" borderId="0" xfId="2" applyFont="1" applyBorder="1"/>
    <xf numFmtId="43" fontId="0" fillId="0" borderId="0" xfId="0" applyNumberFormat="1" applyAlignment="1">
      <alignment horizontal="right"/>
    </xf>
    <xf numFmtId="0" fontId="7" fillId="0" borderId="0" xfId="0" applyFont="1" applyAlignment="1">
      <alignment vertical="center" wrapText="1"/>
    </xf>
    <xf numFmtId="39" fontId="8" fillId="0" borderId="3" xfId="2" applyNumberFormat="1" applyFont="1" applyBorder="1" applyAlignment="1">
      <alignment vertical="center" wrapText="1"/>
    </xf>
    <xf numFmtId="43" fontId="8" fillId="0" borderId="3" xfId="2" applyFont="1" applyBorder="1" applyAlignment="1">
      <alignment vertical="center" wrapText="1"/>
    </xf>
    <xf numFmtId="0" fontId="19" fillId="0" borderId="0" xfId="0" applyFont="1" applyAlignment="1">
      <alignment horizontal="center" vertical="center"/>
    </xf>
    <xf numFmtId="164" fontId="3" fillId="0" borderId="0" xfId="0" applyNumberFormat="1" applyFont="1"/>
    <xf numFmtId="43" fontId="0" fillId="0" borderId="0" xfId="2" applyFont="1"/>
    <xf numFmtId="39" fontId="20" fillId="0" borderId="0" xfId="2" applyNumberFormat="1" applyFont="1"/>
    <xf numFmtId="43" fontId="20" fillId="0" borderId="0" xfId="2" applyFont="1"/>
    <xf numFmtId="43" fontId="8" fillId="0" borderId="0" xfId="2" applyFont="1" applyFill="1" applyBorder="1" applyAlignment="1">
      <alignment horizontal="right"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left" vertical="center" wrapText="1" indent="2"/>
    </xf>
    <xf numFmtId="43" fontId="8" fillId="0" borderId="1" xfId="2" applyFont="1" applyBorder="1" applyAlignment="1">
      <alignment vertical="center"/>
    </xf>
    <xf numFmtId="0" fontId="8" fillId="0" borderId="1" xfId="0" applyFont="1" applyBorder="1" applyAlignment="1">
      <alignment horizontal="justify" vertical="center" wrapText="1"/>
    </xf>
    <xf numFmtId="0" fontId="9" fillId="0" borderId="0" xfId="0" applyFont="1" applyAlignment="1">
      <alignment horizontal="left" vertical="center" wrapText="1"/>
    </xf>
    <xf numFmtId="43" fontId="7" fillId="0" borderId="0" xfId="2" applyFont="1" applyAlignment="1">
      <alignment horizontal="center" vertical="center" wrapText="1"/>
    </xf>
    <xf numFmtId="43" fontId="7" fillId="0" borderId="0" xfId="2" applyFont="1" applyBorder="1" applyAlignment="1">
      <alignment horizontal="center" vertical="center" wrapText="1"/>
    </xf>
    <xf numFmtId="43" fontId="8" fillId="0" borderId="0" xfId="2" applyFont="1" applyAlignment="1">
      <alignment horizontal="right" vertical="center" wrapText="1"/>
    </xf>
    <xf numFmtId="43" fontId="7" fillId="0" borderId="0" xfId="2" applyFont="1" applyFill="1" applyAlignment="1">
      <alignment horizontal="right" vertical="center" wrapText="1"/>
    </xf>
    <xf numFmtId="0" fontId="8" fillId="0" borderId="0" xfId="0" applyFont="1" applyAlignment="1">
      <alignment horizontal="left" wrapText="1"/>
    </xf>
    <xf numFmtId="39" fontId="7" fillId="0" borderId="1" xfId="2" applyNumberFormat="1" applyFont="1" applyFill="1" applyBorder="1" applyAlignment="1">
      <alignment horizontal="right" vertical="center" wrapText="1"/>
    </xf>
    <xf numFmtId="39" fontId="8" fillId="0" borderId="0" xfId="2" applyNumberFormat="1" applyFont="1" applyBorder="1" applyAlignment="1">
      <alignment vertical="center" wrapText="1"/>
    </xf>
    <xf numFmtId="43" fontId="8" fillId="0" borderId="0" xfId="2" applyFont="1" applyBorder="1" applyAlignment="1">
      <alignment vertical="center" wrapText="1"/>
    </xf>
    <xf numFmtId="43" fontId="20" fillId="0" borderId="0" xfId="2" applyFont="1" applyBorder="1"/>
    <xf numFmtId="43" fontId="22" fillId="0" borderId="0" xfId="2" applyFont="1"/>
    <xf numFmtId="43" fontId="22" fillId="0" borderId="0" xfId="2" applyFont="1" applyBorder="1"/>
    <xf numFmtId="43" fontId="3" fillId="0" borderId="0" xfId="2" applyFont="1"/>
    <xf numFmtId="0" fontId="13" fillId="0" borderId="0" xfId="0" applyFont="1" applyAlignment="1">
      <alignment horizontal="left"/>
    </xf>
    <xf numFmtId="0" fontId="8" fillId="0" borderId="5" xfId="0" applyFont="1" applyBorder="1"/>
    <xf numFmtId="0" fontId="8" fillId="0" borderId="0" xfId="0" applyFont="1"/>
    <xf numFmtId="0" fontId="8" fillId="0" borderId="1" xfId="0" applyFont="1" applyBorder="1"/>
    <xf numFmtId="0" fontId="7" fillId="0" borderId="0" xfId="0" applyFont="1"/>
    <xf numFmtId="43" fontId="7" fillId="0" borderId="0" xfId="3" applyFont="1" applyFill="1"/>
    <xf numFmtId="4" fontId="7" fillId="0" borderId="0" xfId="0" applyNumberFormat="1" applyFont="1"/>
    <xf numFmtId="166" fontId="7" fillId="0" borderId="0" xfId="0" applyNumberFormat="1" applyFont="1"/>
    <xf numFmtId="166" fontId="7" fillId="0" borderId="0" xfId="3" applyNumberFormat="1" applyFont="1"/>
    <xf numFmtId="166" fontId="7" fillId="0" borderId="0" xfId="3" applyNumberFormat="1" applyFont="1" applyFill="1"/>
    <xf numFmtId="166" fontId="7" fillId="0" borderId="1" xfId="0" applyNumberFormat="1" applyFont="1" applyBorder="1"/>
    <xf numFmtId="166" fontId="11" fillId="0" borderId="1" xfId="0" applyNumberFormat="1" applyFont="1" applyBorder="1"/>
    <xf numFmtId="166" fontId="11" fillId="0" borderId="1" xfId="3" applyNumberFormat="1" applyFont="1" applyBorder="1"/>
    <xf numFmtId="166" fontId="7" fillId="0" borderId="1" xfId="3" applyNumberFormat="1" applyFont="1" applyFill="1" applyBorder="1"/>
    <xf numFmtId="166" fontId="8" fillId="0" borderId="1" xfId="3" applyNumberFormat="1" applyFont="1" applyBorder="1"/>
    <xf numFmtId="166" fontId="8" fillId="0" borderId="1" xfId="0" applyNumberFormat="1" applyFont="1" applyBorder="1"/>
    <xf numFmtId="166" fontId="23" fillId="0" borderId="1" xfId="3" applyNumberFormat="1" applyFont="1" applyBorder="1"/>
    <xf numFmtId="166" fontId="23" fillId="0" borderId="1" xfId="0" applyNumberFormat="1" applyFont="1" applyBorder="1"/>
    <xf numFmtId="166" fontId="23" fillId="0" borderId="1" xfId="3" applyNumberFormat="1" applyFont="1" applyFill="1" applyBorder="1"/>
    <xf numFmtId="166" fontId="8" fillId="0" borderId="1" xfId="3" applyNumberFormat="1" applyFont="1" applyFill="1" applyBorder="1"/>
    <xf numFmtId="166" fontId="11" fillId="0" borderId="0" xfId="3" applyNumberFormat="1" applyFont="1"/>
    <xf numFmtId="166" fontId="7" fillId="0" borderId="0" xfId="2" applyNumberFormat="1" applyFont="1"/>
    <xf numFmtId="166" fontId="11" fillId="0" borderId="0" xfId="3" applyNumberFormat="1" applyFont="1" applyBorder="1"/>
    <xf numFmtId="166" fontId="7" fillId="0" borderId="0" xfId="2" applyNumberFormat="1" applyFont="1" applyFill="1"/>
    <xf numFmtId="43" fontId="7" fillId="0" borderId="0" xfId="0" applyNumberFormat="1" applyFont="1"/>
    <xf numFmtId="166" fontId="11" fillId="0" borderId="0" xfId="3" applyNumberFormat="1" applyFont="1" applyFill="1"/>
    <xf numFmtId="166" fontId="7" fillId="0" borderId="0" xfId="2" applyNumberFormat="1" applyFont="1" applyAlignment="1">
      <alignment horizontal="right" vertical="center" wrapText="1"/>
    </xf>
    <xf numFmtId="166" fontId="7" fillId="0" borderId="0" xfId="2" applyNumberFormat="1" applyFont="1" applyFill="1" applyAlignment="1">
      <alignment horizontal="right" vertical="center" wrapText="1"/>
    </xf>
    <xf numFmtId="0" fontId="8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left" wrapText="1"/>
    </xf>
    <xf numFmtId="166" fontId="8" fillId="0" borderId="2" xfId="3" applyNumberFormat="1" applyFont="1" applyBorder="1"/>
    <xf numFmtId="166" fontId="8" fillId="0" borderId="2" xfId="0" applyNumberFormat="1" applyFont="1" applyBorder="1"/>
    <xf numFmtId="166" fontId="8" fillId="0" borderId="2" xfId="3" applyNumberFormat="1" applyFont="1" applyFill="1" applyBorder="1"/>
    <xf numFmtId="166" fontId="7" fillId="0" borderId="0" xfId="3" applyNumberFormat="1" applyFont="1" applyFill="1" applyBorder="1"/>
    <xf numFmtId="166" fontId="7" fillId="0" borderId="1" xfId="3" applyNumberFormat="1" applyFont="1" applyBorder="1"/>
    <xf numFmtId="43" fontId="8" fillId="0" borderId="0" xfId="3" applyFont="1"/>
    <xf numFmtId="0" fontId="24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166" fontId="8" fillId="0" borderId="3" xfId="0" applyNumberFormat="1" applyFont="1" applyBorder="1" applyAlignment="1">
      <alignment horizontal="right"/>
    </xf>
    <xf numFmtId="4" fontId="13" fillId="0" borderId="0" xfId="0" applyNumberFormat="1" applyFont="1" applyAlignment="1">
      <alignment horizontal="left"/>
    </xf>
    <xf numFmtId="167" fontId="13" fillId="0" borderId="0" xfId="0" applyNumberFormat="1" applyFont="1" applyAlignment="1">
      <alignment horizontal="left"/>
    </xf>
    <xf numFmtId="43" fontId="13" fillId="0" borderId="0" xfId="0" applyNumberFormat="1" applyFont="1" applyAlignment="1">
      <alignment horizontal="left"/>
    </xf>
    <xf numFmtId="164" fontId="20" fillId="0" borderId="0" xfId="0" applyNumberFormat="1" applyFont="1"/>
    <xf numFmtId="0" fontId="12" fillId="0" borderId="0" xfId="0" applyFont="1" applyAlignment="1">
      <alignment wrapText="1"/>
    </xf>
    <xf numFmtId="4" fontId="0" fillId="0" borderId="0" xfId="0" applyNumberFormat="1" applyAlignment="1">
      <alignment horizontal="center"/>
    </xf>
    <xf numFmtId="4" fontId="0" fillId="0" borderId="0" xfId="0" applyNumberFormat="1"/>
    <xf numFmtId="4" fontId="25" fillId="0" borderId="0" xfId="0" applyNumberFormat="1" applyFont="1"/>
    <xf numFmtId="166" fontId="8" fillId="0" borderId="0" xfId="2" applyNumberFormat="1" applyFont="1" applyAlignment="1">
      <alignment horizontal="right" vertical="center" wrapText="1"/>
    </xf>
    <xf numFmtId="166" fontId="8" fillId="0" borderId="0" xfId="2" applyNumberFormat="1" applyFont="1" applyBorder="1" applyAlignment="1">
      <alignment horizontal="right" vertical="center" wrapText="1"/>
    </xf>
    <xf numFmtId="166" fontId="8" fillId="0" borderId="0" xfId="4" applyNumberFormat="1" applyFont="1" applyAlignment="1">
      <alignment horizontal="right" vertical="center" wrapText="1"/>
    </xf>
    <xf numFmtId="166" fontId="7" fillId="0" borderId="0" xfId="2" applyNumberFormat="1" applyFont="1" applyBorder="1" applyAlignment="1">
      <alignment horizontal="right" vertical="center" wrapText="1"/>
    </xf>
    <xf numFmtId="43" fontId="8" fillId="0" borderId="2" xfId="2" applyFont="1" applyFill="1" applyBorder="1" applyAlignment="1">
      <alignment horizontal="right" vertical="center" wrapText="1"/>
    </xf>
    <xf numFmtId="2" fontId="20" fillId="0" borderId="0" xfId="0" applyNumberFormat="1" applyFont="1"/>
    <xf numFmtId="39" fontId="7" fillId="0" borderId="0" xfId="2" applyNumberFormat="1" applyFont="1" applyFill="1" applyAlignment="1">
      <alignment horizontal="right" vertical="center" wrapText="1"/>
    </xf>
    <xf numFmtId="39" fontId="7" fillId="0" borderId="0" xfId="2" applyNumberFormat="1" applyFont="1" applyFill="1" applyBorder="1" applyAlignment="1">
      <alignment horizontal="right" vertical="center" wrapText="1"/>
    </xf>
    <xf numFmtId="39" fontId="11" fillId="0" borderId="0" xfId="2" applyNumberFormat="1" applyFont="1" applyFill="1" applyBorder="1" applyAlignment="1">
      <alignment horizontal="right" vertical="center" wrapText="1"/>
    </xf>
    <xf numFmtId="39" fontId="8" fillId="0" borderId="2" xfId="2" applyNumberFormat="1" applyFont="1" applyFill="1" applyBorder="1" applyAlignment="1">
      <alignment horizontal="right" vertical="center" wrapText="1"/>
    </xf>
    <xf numFmtId="166" fontId="7" fillId="0" borderId="0" xfId="4" applyNumberFormat="1" applyFont="1" applyFill="1" applyBorder="1" applyAlignment="1">
      <alignment horizontal="right" vertical="center" wrapText="1"/>
    </xf>
    <xf numFmtId="39" fontId="11" fillId="0" borderId="0" xfId="2" applyNumberFormat="1" applyFont="1" applyFill="1" applyAlignment="1">
      <alignment horizontal="right" vertical="center" wrapText="1"/>
    </xf>
    <xf numFmtId="43" fontId="11" fillId="0" borderId="0" xfId="2" applyFont="1" applyFill="1" applyAlignment="1">
      <alignment horizontal="right" vertical="center" wrapText="1"/>
    </xf>
    <xf numFmtId="164" fontId="26" fillId="0" borderId="0" xfId="0" applyNumberFormat="1" applyFont="1"/>
    <xf numFmtId="0" fontId="26" fillId="0" borderId="0" xfId="0" applyFont="1"/>
    <xf numFmtId="166" fontId="7" fillId="0" borderId="1" xfId="2" applyNumberFormat="1" applyFont="1" applyBorder="1" applyAlignment="1">
      <alignment horizontal="right" vertical="center" wrapText="1"/>
    </xf>
    <xf numFmtId="166" fontId="7" fillId="0" borderId="1" xfId="2" applyNumberFormat="1" applyFont="1" applyFill="1" applyBorder="1" applyAlignment="1">
      <alignment horizontal="right" vertical="center" wrapText="1"/>
    </xf>
    <xf numFmtId="166" fontId="8" fillId="0" borderId="2" xfId="2" applyNumberFormat="1" applyFont="1" applyBorder="1" applyAlignment="1">
      <alignment horizontal="right" vertical="center" wrapText="1"/>
    </xf>
    <xf numFmtId="168" fontId="13" fillId="0" borderId="0" xfId="0" applyNumberFormat="1" applyFont="1" applyAlignment="1">
      <alignment horizontal="left"/>
    </xf>
    <xf numFmtId="164" fontId="7" fillId="0" borderId="0" xfId="4" applyFont="1" applyFill="1" applyAlignment="1">
      <alignment horizontal="right" vertical="center" wrapText="1"/>
    </xf>
    <xf numFmtId="166" fontId="7" fillId="0" borderId="0" xfId="0" applyNumberFormat="1" applyFont="1" applyAlignment="1">
      <alignment horizontal="right" vertical="center" wrapText="1"/>
    </xf>
    <xf numFmtId="166" fontId="7" fillId="0" borderId="1" xfId="0" applyNumberFormat="1" applyFont="1" applyBorder="1" applyAlignment="1">
      <alignment horizontal="right" vertical="center" wrapText="1"/>
    </xf>
    <xf numFmtId="166" fontId="11" fillId="0" borderId="0" xfId="0" applyNumberFormat="1" applyFont="1"/>
    <xf numFmtId="0" fontId="7" fillId="0" borderId="0" xfId="0" applyFont="1" applyAlignment="1">
      <alignment horizontal="center"/>
    </xf>
    <xf numFmtId="43" fontId="18" fillId="0" borderId="0" xfId="2" applyFont="1" applyBorder="1"/>
    <xf numFmtId="164" fontId="0" fillId="0" borderId="0" xfId="4" applyFont="1"/>
    <xf numFmtId="164" fontId="7" fillId="0" borderId="0" xfId="4" applyFont="1" applyAlignment="1">
      <alignment horizontal="right" vertical="center" wrapText="1"/>
    </xf>
    <xf numFmtId="164" fontId="7" fillId="0" borderId="0" xfId="4" applyFont="1"/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27" fillId="0" borderId="0" xfId="0" applyFont="1"/>
    <xf numFmtId="43" fontId="27" fillId="0" borderId="0" xfId="2" applyFont="1"/>
    <xf numFmtId="43" fontId="27" fillId="0" borderId="0" xfId="2" applyFont="1" applyBorder="1"/>
    <xf numFmtId="2" fontId="7" fillId="0" borderId="1" xfId="2" applyNumberFormat="1" applyFont="1" applyBorder="1" applyAlignment="1">
      <alignment horizontal="right" vertical="center" wrapText="1"/>
    </xf>
    <xf numFmtId="164" fontId="7" fillId="0" borderId="0" xfId="4" applyFont="1" applyFill="1" applyBorder="1" applyAlignment="1">
      <alignment horizontal="right" vertical="center" wrapText="1"/>
    </xf>
    <xf numFmtId="39" fontId="8" fillId="0" borderId="0" xfId="2" applyNumberFormat="1" applyFont="1" applyFill="1" applyBorder="1" applyAlignment="1">
      <alignment horizontal="right" vertical="center" wrapText="1"/>
    </xf>
    <xf numFmtId="39" fontId="20" fillId="0" borderId="0" xfId="2" applyNumberFormat="1" applyFont="1" applyBorder="1"/>
    <xf numFmtId="43" fontId="8" fillId="0" borderId="0" xfId="2" applyFont="1" applyBorder="1" applyAlignment="1">
      <alignment vertical="center"/>
    </xf>
    <xf numFmtId="4" fontId="7" fillId="0" borderId="0" xfId="2" applyNumberFormat="1" applyFont="1" applyAlignment="1">
      <alignment horizontal="right" vertical="center" wrapText="1"/>
    </xf>
    <xf numFmtId="2" fontId="7" fillId="0" borderId="0" xfId="0" applyNumberFormat="1" applyFont="1" applyAlignment="1">
      <alignment vertical="center" wrapText="1"/>
    </xf>
    <xf numFmtId="0" fontId="19" fillId="0" borderId="0" xfId="0" applyFont="1" applyAlignment="1">
      <alignment horizontal="left" vertical="center" wrapText="1" indent="2"/>
    </xf>
    <xf numFmtId="166" fontId="8" fillId="0" borderId="2" xfId="4" applyNumberFormat="1" applyFont="1" applyBorder="1" applyAlignment="1">
      <alignment horizontal="right" vertical="center" wrapText="1"/>
    </xf>
    <xf numFmtId="0" fontId="8" fillId="0" borderId="0" xfId="0" applyFont="1" applyAlignment="1">
      <alignment horizontal="left" vertical="center" wrapText="1" indent="1"/>
    </xf>
    <xf numFmtId="0" fontId="9" fillId="0" borderId="0" xfId="0" applyFont="1" applyAlignment="1">
      <alignment horizontal="left" vertical="center" wrapText="1" indent="1"/>
    </xf>
    <xf numFmtId="39" fontId="8" fillId="0" borderId="0" xfId="2" applyNumberFormat="1" applyFont="1" applyBorder="1" applyAlignment="1">
      <alignment horizontal="right" vertical="center" wrapText="1"/>
    </xf>
    <xf numFmtId="166" fontId="23" fillId="0" borderId="0" xfId="3" applyNumberFormat="1" applyFont="1" applyBorder="1"/>
    <xf numFmtId="166" fontId="8" fillId="0" borderId="0" xfId="0" applyNumberFormat="1" applyFont="1"/>
    <xf numFmtId="166" fontId="23" fillId="0" borderId="0" xfId="3" applyNumberFormat="1" applyFont="1" applyFill="1" applyBorder="1"/>
    <xf numFmtId="166" fontId="8" fillId="0" borderId="0" xfId="3" applyNumberFormat="1" applyFont="1" applyFill="1" applyBorder="1"/>
    <xf numFmtId="165" fontId="7" fillId="0" borderId="0" xfId="4" applyNumberFormat="1" applyFont="1" applyFill="1"/>
    <xf numFmtId="166" fontId="23" fillId="0" borderId="2" xfId="3" applyNumberFormat="1" applyFont="1" applyBorder="1"/>
    <xf numFmtId="166" fontId="23" fillId="0" borderId="2" xfId="3" applyNumberFormat="1" applyFont="1" applyFill="1" applyBorder="1"/>
    <xf numFmtId="39" fontId="7" fillId="0" borderId="1" xfId="2" applyNumberFormat="1" applyFont="1" applyBorder="1" applyAlignment="1">
      <alignment horizontal="right" vertical="center" wrapText="1"/>
    </xf>
    <xf numFmtId="166" fontId="8" fillId="0" borderId="0" xfId="3" applyNumberFormat="1" applyFont="1" applyBorder="1"/>
    <xf numFmtId="43" fontId="11" fillId="0" borderId="0" xfId="8" applyNumberFormat="1" applyFont="1"/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justify" vertical="center" wrapText="1"/>
    </xf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8" fillId="0" borderId="5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/>
    </xf>
  </cellXfs>
  <cellStyles count="9">
    <cellStyle name="Comma" xfId="4" builtinId="3"/>
    <cellStyle name="Comma 2" xfId="2"/>
    <cellStyle name="Comma 2 2" xfId="5"/>
    <cellStyle name="Comma 2 3" xfId="3"/>
    <cellStyle name="Comma 2 3 2" xfId="6"/>
    <cellStyle name="Comma 3" xfId="7"/>
    <cellStyle name="Normal" xfId="0" builtinId="0"/>
    <cellStyle name="Normal 3 2" xfId="8"/>
    <cellStyle name="Percent" xfId="1" builtinId="5"/>
  </cellStyles>
  <dxfs count="3"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7"/>
  <sheetViews>
    <sheetView showGridLines="0" tabSelected="1" zoomScaleNormal="100" zoomScaleSheetLayoutView="90" workbookViewId="0">
      <selection sqref="A1:G1"/>
    </sheetView>
  </sheetViews>
  <sheetFormatPr defaultRowHeight="14.4" x14ac:dyDescent="0.3"/>
  <cols>
    <col min="1" max="1" width="38.109375" customWidth="1"/>
    <col min="2" max="2" width="6.6640625" customWidth="1"/>
    <col min="3" max="3" width="3.6640625" customWidth="1"/>
    <col min="4" max="4" width="19.6640625" customWidth="1"/>
    <col min="5" max="5" width="3.5546875" customWidth="1"/>
    <col min="6" max="6" width="19.6640625" customWidth="1"/>
    <col min="7" max="7" width="0.88671875" customWidth="1"/>
    <col min="8" max="8" width="15.33203125" hidden="1" customWidth="1"/>
    <col min="9" max="9" width="16.88671875" hidden="1" customWidth="1"/>
    <col min="10" max="11" width="16.88671875" style="1" bestFit="1" customWidth="1"/>
    <col min="12" max="12" width="16.88671875" bestFit="1" customWidth="1"/>
  </cols>
  <sheetData>
    <row r="1" spans="1:10" ht="17.399999999999999" x14ac:dyDescent="0.3">
      <c r="A1" s="198" t="s">
        <v>0</v>
      </c>
      <c r="B1" s="198"/>
      <c r="C1" s="198"/>
      <c r="D1" s="198"/>
      <c r="E1" s="198"/>
      <c r="F1" s="198"/>
      <c r="G1" s="198"/>
    </row>
    <row r="2" spans="1:10" ht="17.399999999999999" x14ac:dyDescent="0.3">
      <c r="A2" s="199" t="s">
        <v>1</v>
      </c>
      <c r="B2" s="199"/>
      <c r="C2" s="199"/>
      <c r="D2" s="199"/>
      <c r="E2" s="199"/>
      <c r="F2" s="199"/>
      <c r="G2" s="199"/>
    </row>
    <row r="3" spans="1:10" ht="17.399999999999999" x14ac:dyDescent="0.3">
      <c r="A3" s="199" t="s">
        <v>2</v>
      </c>
      <c r="B3" s="199"/>
      <c r="C3" s="199"/>
      <c r="D3" s="199"/>
      <c r="E3" s="199"/>
      <c r="F3" s="199"/>
      <c r="G3" s="199"/>
    </row>
    <row r="4" spans="1:10" ht="17.399999999999999" x14ac:dyDescent="0.3">
      <c r="A4" s="199" t="s">
        <v>3</v>
      </c>
      <c r="B4" s="199"/>
      <c r="C4" s="199"/>
      <c r="D4" s="199"/>
      <c r="E4" s="199"/>
      <c r="F4" s="199"/>
      <c r="G4" s="199"/>
    </row>
    <row r="5" spans="1:10" ht="18" x14ac:dyDescent="0.3">
      <c r="A5" s="200" t="s">
        <v>145</v>
      </c>
      <c r="B5" s="200"/>
      <c r="C5" s="200"/>
      <c r="D5" s="200"/>
      <c r="E5" s="200"/>
      <c r="F5" s="200"/>
      <c r="G5" s="200"/>
    </row>
    <row r="6" spans="1:10" ht="18" x14ac:dyDescent="0.3">
      <c r="A6" s="200" t="s">
        <v>146</v>
      </c>
      <c r="B6" s="200"/>
      <c r="C6" s="200"/>
      <c r="D6" s="200"/>
      <c r="E6" s="200"/>
      <c r="F6" s="200"/>
      <c r="G6" s="200"/>
    </row>
    <row r="7" spans="1:10" ht="18" x14ac:dyDescent="0.3">
      <c r="A7" s="195" t="s">
        <v>4</v>
      </c>
      <c r="B7" s="195"/>
      <c r="C7" s="195"/>
      <c r="D7" s="195"/>
      <c r="E7" s="195"/>
      <c r="F7" s="195"/>
      <c r="G7" s="195"/>
    </row>
    <row r="9" spans="1:10" ht="15.6" x14ac:dyDescent="0.3">
      <c r="A9" s="2"/>
      <c r="B9" s="3" t="s">
        <v>5</v>
      </c>
      <c r="C9" s="4"/>
      <c r="D9" s="3">
        <v>2022</v>
      </c>
      <c r="E9" s="4"/>
      <c r="F9" s="3">
        <v>2021</v>
      </c>
      <c r="G9" s="4"/>
    </row>
    <row r="10" spans="1:10" ht="15.6" x14ac:dyDescent="0.3">
      <c r="A10" s="5" t="s">
        <v>6</v>
      </c>
      <c r="B10" s="2"/>
      <c r="C10" s="2"/>
      <c r="D10" s="2"/>
      <c r="E10" s="2"/>
      <c r="F10" s="2"/>
      <c r="G10" s="2"/>
    </row>
    <row r="11" spans="1:10" ht="16.2" x14ac:dyDescent="0.3">
      <c r="A11" s="6" t="s">
        <v>7</v>
      </c>
      <c r="B11" s="7"/>
      <c r="C11" s="2"/>
      <c r="D11" s="2"/>
      <c r="E11" s="2"/>
      <c r="F11" s="2"/>
      <c r="G11" s="2"/>
    </row>
    <row r="12" spans="1:10" ht="15.6" x14ac:dyDescent="0.3">
      <c r="A12" s="2" t="s">
        <v>8</v>
      </c>
      <c r="B12" s="8">
        <v>4</v>
      </c>
      <c r="C12" s="8"/>
      <c r="D12" s="9">
        <v>1500277075.8499999</v>
      </c>
      <c r="E12" s="10"/>
      <c r="F12" s="9">
        <v>1355081258.0899999</v>
      </c>
      <c r="G12" s="10"/>
      <c r="H12" s="11" t="e">
        <f>D12-#REF!</f>
        <v>#REF!</v>
      </c>
      <c r="I12" s="11" t="e">
        <f>F12-#REF!</f>
        <v>#REF!</v>
      </c>
      <c r="J12" s="12"/>
    </row>
    <row r="13" spans="1:10" ht="15.6" x14ac:dyDescent="0.3">
      <c r="A13" s="2" t="s">
        <v>9</v>
      </c>
      <c r="B13" s="8">
        <v>5</v>
      </c>
      <c r="C13" s="8"/>
      <c r="D13" s="9">
        <v>35790297.390000001</v>
      </c>
      <c r="E13" s="10"/>
      <c r="F13" s="9">
        <v>27751603.100000001</v>
      </c>
      <c r="G13" s="10"/>
      <c r="H13" s="11" t="e">
        <f>D13-#REF!</f>
        <v>#REF!</v>
      </c>
      <c r="I13" s="11" t="e">
        <f>F13-#REF!</f>
        <v>#REF!</v>
      </c>
    </row>
    <row r="14" spans="1:10" ht="15.6" x14ac:dyDescent="0.3">
      <c r="A14" s="2" t="s">
        <v>10</v>
      </c>
      <c r="B14" s="8">
        <v>6</v>
      </c>
      <c r="C14" s="8"/>
      <c r="D14" s="9">
        <v>271255569.40000004</v>
      </c>
      <c r="E14" s="10"/>
      <c r="F14" s="9">
        <v>182937663.33000001</v>
      </c>
      <c r="G14" s="10"/>
      <c r="H14" s="11" t="e">
        <f>D14-#REF!</f>
        <v>#REF!</v>
      </c>
      <c r="I14" s="11" t="e">
        <f>F14-#REF!</f>
        <v>#REF!</v>
      </c>
    </row>
    <row r="15" spans="1:10" ht="15.6" x14ac:dyDescent="0.3">
      <c r="A15" s="2" t="s">
        <v>11</v>
      </c>
      <c r="B15" s="8">
        <v>7</v>
      </c>
      <c r="C15" s="8"/>
      <c r="D15" s="9">
        <v>162587546.36000001</v>
      </c>
      <c r="E15" s="10"/>
      <c r="F15" s="9">
        <v>145657480.16999999</v>
      </c>
      <c r="G15" s="10"/>
      <c r="H15" s="11" t="e">
        <f>D15-#REF!</f>
        <v>#REF!</v>
      </c>
      <c r="I15" s="11" t="e">
        <f>F15-#REF!</f>
        <v>#REF!</v>
      </c>
    </row>
    <row r="16" spans="1:10" ht="15.6" x14ac:dyDescent="0.3">
      <c r="A16" s="13" t="s">
        <v>12</v>
      </c>
      <c r="B16" s="14">
        <v>8</v>
      </c>
      <c r="C16" s="8"/>
      <c r="D16" s="15">
        <v>82238188.930000007</v>
      </c>
      <c r="E16" s="10"/>
      <c r="F16" s="15">
        <v>15970830.619999999</v>
      </c>
      <c r="G16" s="10"/>
      <c r="H16" s="11" t="e">
        <f>D16-#REF!</f>
        <v>#REF!</v>
      </c>
      <c r="I16" s="11" t="e">
        <f>F16-#REF!</f>
        <v>#REF!</v>
      </c>
    </row>
    <row r="17" spans="1:12" ht="15.6" x14ac:dyDescent="0.3">
      <c r="A17" s="5" t="s">
        <v>13</v>
      </c>
      <c r="B17" s="16"/>
      <c r="C17" s="8"/>
      <c r="D17" s="17">
        <f>SUM(D12:D16)</f>
        <v>2052148677.9300001</v>
      </c>
      <c r="E17" s="18"/>
      <c r="F17" s="17">
        <f>SUM(F12:F16)</f>
        <v>1727398835.3099997</v>
      </c>
      <c r="G17" s="18"/>
      <c r="H17" s="11" t="e">
        <f>D17-#REF!</f>
        <v>#REF!</v>
      </c>
      <c r="I17" s="19" t="e">
        <f>F17-#REF!</f>
        <v>#REF!</v>
      </c>
      <c r="J17" s="20"/>
      <c r="K17" s="21"/>
      <c r="L17" s="20"/>
    </row>
    <row r="18" spans="1:12" ht="15.6" x14ac:dyDescent="0.3">
      <c r="A18" s="2"/>
      <c r="B18" s="7"/>
      <c r="C18" s="2"/>
      <c r="D18" s="9"/>
      <c r="E18" s="10"/>
      <c r="F18" s="9"/>
      <c r="G18" s="10"/>
      <c r="I18" s="19"/>
      <c r="J18" s="20"/>
      <c r="K18" s="21"/>
      <c r="L18" s="21"/>
    </row>
    <row r="19" spans="1:12" ht="16.2" x14ac:dyDescent="0.3">
      <c r="A19" s="6" t="s">
        <v>14</v>
      </c>
      <c r="B19" s="7"/>
      <c r="C19" s="2"/>
      <c r="D19" s="9"/>
      <c r="E19" s="10"/>
      <c r="F19" s="9"/>
      <c r="G19" s="10"/>
      <c r="J19" s="21"/>
      <c r="K19" s="21"/>
      <c r="L19" s="21"/>
    </row>
    <row r="20" spans="1:12" ht="15.6" x14ac:dyDescent="0.3">
      <c r="A20" s="2" t="s">
        <v>151</v>
      </c>
      <c r="B20" s="14">
        <v>10</v>
      </c>
      <c r="C20" s="8"/>
      <c r="D20" s="9">
        <f>21468681.54+3103181840.55</f>
        <v>3124650522.0900002</v>
      </c>
      <c r="E20" s="10"/>
      <c r="F20" s="9">
        <v>2455116630.5599999</v>
      </c>
      <c r="G20" s="10"/>
      <c r="H20" s="11" t="e">
        <f>D20-#REF!</f>
        <v>#REF!</v>
      </c>
      <c r="I20" s="22" t="e">
        <f>F20-#REF!</f>
        <v>#REF!</v>
      </c>
      <c r="J20" s="23"/>
      <c r="K20" s="21"/>
      <c r="L20" s="23"/>
    </row>
    <row r="21" spans="1:12" ht="15.6" x14ac:dyDescent="0.3">
      <c r="A21" s="2" t="s">
        <v>15</v>
      </c>
      <c r="B21" s="8"/>
      <c r="C21" s="8"/>
      <c r="D21" s="178">
        <v>0</v>
      </c>
      <c r="E21" s="10"/>
      <c r="F21" s="9">
        <v>124150</v>
      </c>
      <c r="G21" s="10"/>
      <c r="H21" s="11" t="e">
        <f>D21-#REF!</f>
        <v>#REF!</v>
      </c>
      <c r="I21" s="22" t="e">
        <f>F21-#REF!</f>
        <v>#REF!</v>
      </c>
      <c r="J21" s="24"/>
      <c r="K21" s="21"/>
      <c r="L21" s="24"/>
    </row>
    <row r="22" spans="1:12" ht="15.6" x14ac:dyDescent="0.3">
      <c r="A22" s="2" t="s">
        <v>16</v>
      </c>
      <c r="B22" s="8">
        <v>10</v>
      </c>
      <c r="C22" s="8"/>
      <c r="D22" s="25">
        <v>42783.33</v>
      </c>
      <c r="E22" s="26"/>
      <c r="F22" s="25">
        <v>430673.03</v>
      </c>
      <c r="G22" s="26"/>
      <c r="H22" s="11" t="e">
        <f>D22-#REF!</f>
        <v>#REF!</v>
      </c>
      <c r="I22" s="27" t="e">
        <f>F22-#REF!</f>
        <v>#REF!</v>
      </c>
      <c r="J22" s="28"/>
      <c r="K22" s="21"/>
      <c r="L22" s="28"/>
    </row>
    <row r="23" spans="1:12" ht="15.6" x14ac:dyDescent="0.3">
      <c r="A23" s="5" t="s">
        <v>17</v>
      </c>
      <c r="B23" s="16"/>
      <c r="C23" s="8"/>
      <c r="D23" s="17">
        <f>SUM(D20:D22)</f>
        <v>3124693305.4200001</v>
      </c>
      <c r="E23" s="18"/>
      <c r="F23" s="17">
        <f>SUM(F20:F22)</f>
        <v>2455671453.5900002</v>
      </c>
      <c r="G23" s="18"/>
      <c r="H23" s="11" t="e">
        <f>D23-#REF!</f>
        <v>#REF!</v>
      </c>
      <c r="I23" s="29" t="e">
        <f>F23-#REF!</f>
        <v>#REF!</v>
      </c>
      <c r="J23" s="30"/>
      <c r="K23" s="21"/>
      <c r="L23" s="20"/>
    </row>
    <row r="24" spans="1:12" ht="16.2" thickBot="1" x14ac:dyDescent="0.35">
      <c r="A24" s="5" t="s">
        <v>18</v>
      </c>
      <c r="B24" s="16"/>
      <c r="C24" s="8"/>
      <c r="D24" s="31">
        <f>D23+D17</f>
        <v>5176841983.3500004</v>
      </c>
      <c r="E24" s="18"/>
      <c r="F24" s="31">
        <f>F23+F17</f>
        <v>4183070288.8999996</v>
      </c>
      <c r="G24" s="18"/>
      <c r="H24" s="11" t="e">
        <f>D24-#REF!</f>
        <v>#REF!</v>
      </c>
      <c r="I24" s="22" t="e">
        <f>F24-#REF!</f>
        <v>#REF!</v>
      </c>
      <c r="J24" s="32"/>
      <c r="K24" s="33"/>
      <c r="L24" s="20"/>
    </row>
    <row r="25" spans="1:12" ht="16.2" thickTop="1" x14ac:dyDescent="0.3">
      <c r="A25" s="2"/>
      <c r="B25" s="16"/>
      <c r="C25" s="8"/>
      <c r="D25" s="9"/>
      <c r="E25" s="10"/>
      <c r="F25" s="9"/>
      <c r="G25" s="10"/>
      <c r="I25" s="34"/>
      <c r="J25" s="35"/>
      <c r="K25" s="24"/>
      <c r="L25" s="21"/>
    </row>
    <row r="26" spans="1:12" ht="15.6" x14ac:dyDescent="0.3">
      <c r="A26" s="36" t="s">
        <v>19</v>
      </c>
      <c r="B26" s="16"/>
      <c r="C26" s="8"/>
      <c r="D26" s="9"/>
      <c r="E26" s="10"/>
      <c r="F26" s="9"/>
      <c r="G26" s="10"/>
      <c r="I26" s="27"/>
      <c r="J26" s="37"/>
      <c r="K26" s="38"/>
      <c r="L26" s="21"/>
    </row>
    <row r="27" spans="1:12" ht="16.2" x14ac:dyDescent="0.3">
      <c r="A27" s="6" t="s">
        <v>20</v>
      </c>
      <c r="B27" s="16"/>
      <c r="C27" s="8"/>
      <c r="D27" s="9"/>
      <c r="E27" s="10"/>
      <c r="F27" s="9"/>
      <c r="G27" s="10"/>
      <c r="I27" s="11"/>
      <c r="J27" s="39"/>
      <c r="K27" s="21"/>
      <c r="L27" s="21"/>
    </row>
    <row r="28" spans="1:12" ht="15.6" x14ac:dyDescent="0.3">
      <c r="A28" s="2" t="s">
        <v>21</v>
      </c>
      <c r="B28" s="14" t="s">
        <v>149</v>
      </c>
      <c r="C28" s="8"/>
      <c r="D28" s="81">
        <v>198991303.02000001</v>
      </c>
      <c r="E28" s="26"/>
      <c r="F28" s="81">
        <f>127235905.41+749493.83</f>
        <v>127985399.23999999</v>
      </c>
      <c r="G28" s="10"/>
      <c r="H28" s="11" t="e">
        <f>D28-#REF!</f>
        <v>#REF!</v>
      </c>
      <c r="I28" s="11" t="e">
        <f>F28-#REF!</f>
        <v>#REF!</v>
      </c>
      <c r="J28" s="21"/>
      <c r="K28" s="21"/>
      <c r="L28" s="21"/>
    </row>
    <row r="29" spans="1:12" ht="15.6" x14ac:dyDescent="0.3">
      <c r="A29" s="2" t="s">
        <v>22</v>
      </c>
      <c r="B29" s="14">
        <v>13</v>
      </c>
      <c r="C29" s="8"/>
      <c r="D29" s="9">
        <v>294647552.00999999</v>
      </c>
      <c r="E29" s="10"/>
      <c r="F29" s="9">
        <v>489755300.69</v>
      </c>
      <c r="G29" s="10"/>
      <c r="H29" s="11" t="e">
        <f>D29-#REF!</f>
        <v>#REF!</v>
      </c>
      <c r="I29" s="11" t="e">
        <f>F29-#REF!</f>
        <v>#REF!</v>
      </c>
      <c r="J29" s="21"/>
      <c r="K29" s="21"/>
      <c r="L29" s="135"/>
    </row>
    <row r="30" spans="1:12" ht="15.6" x14ac:dyDescent="0.3">
      <c r="A30" s="2" t="s">
        <v>23</v>
      </c>
      <c r="B30" s="8">
        <v>14</v>
      </c>
      <c r="C30" s="8"/>
      <c r="D30" s="9">
        <v>43743842.230000004</v>
      </c>
      <c r="E30" s="10"/>
      <c r="F30" s="9">
        <v>80916348.519999996</v>
      </c>
      <c r="G30" s="10"/>
      <c r="H30" s="11" t="e">
        <f>D30-#REF!</f>
        <v>#REF!</v>
      </c>
      <c r="I30" s="11" t="e">
        <f>F30-#REF!</f>
        <v>#REF!</v>
      </c>
      <c r="J30" s="21"/>
      <c r="K30" s="21"/>
      <c r="L30" s="21"/>
    </row>
    <row r="31" spans="1:12" ht="15.6" x14ac:dyDescent="0.3">
      <c r="A31" s="2" t="s">
        <v>24</v>
      </c>
      <c r="B31" s="8">
        <v>15</v>
      </c>
      <c r="C31" s="8"/>
      <c r="D31" s="9">
        <v>175149422.45999998</v>
      </c>
      <c r="E31" s="10"/>
      <c r="F31" s="9">
        <v>114204217.56</v>
      </c>
      <c r="G31" s="10"/>
      <c r="H31" s="11" t="e">
        <f>D31-#REF!</f>
        <v>#REF!</v>
      </c>
      <c r="I31" s="11" t="e">
        <f>F31-#REF!</f>
        <v>#REF!</v>
      </c>
      <c r="J31" s="21"/>
      <c r="K31" s="21"/>
      <c r="L31" s="21"/>
    </row>
    <row r="32" spans="1:12" ht="15.6" x14ac:dyDescent="0.3">
      <c r="A32" s="2" t="s">
        <v>25</v>
      </c>
      <c r="B32" s="8"/>
      <c r="C32" s="8"/>
      <c r="D32" s="178">
        <v>0</v>
      </c>
      <c r="E32" s="10"/>
      <c r="F32" s="9">
        <v>528146.84</v>
      </c>
      <c r="G32" s="10"/>
      <c r="H32" s="11" t="e">
        <f>D32-#REF!</f>
        <v>#REF!</v>
      </c>
      <c r="I32" s="11" t="e">
        <f>F32-#REF!</f>
        <v>#REF!</v>
      </c>
      <c r="J32" s="21"/>
      <c r="K32" s="21"/>
      <c r="L32" s="21"/>
    </row>
    <row r="33" spans="1:12" ht="15.6" x14ac:dyDescent="0.3">
      <c r="A33" s="13" t="s">
        <v>26</v>
      </c>
      <c r="B33" s="8">
        <v>16</v>
      </c>
      <c r="C33" s="8"/>
      <c r="D33" s="26">
        <v>265397623.58000001</v>
      </c>
      <c r="E33" s="26"/>
      <c r="F33" s="10">
        <v>19610913.260000009</v>
      </c>
      <c r="G33" s="10"/>
      <c r="H33" s="11" t="e">
        <f>D33-#REF!</f>
        <v>#REF!</v>
      </c>
      <c r="I33" s="11" t="e">
        <f>F33-#REF!</f>
        <v>#REF!</v>
      </c>
      <c r="J33" s="21"/>
      <c r="K33" s="21"/>
      <c r="L33" s="21"/>
    </row>
    <row r="34" spans="1:12" ht="15.6" x14ac:dyDescent="0.3">
      <c r="A34" s="13" t="s">
        <v>27</v>
      </c>
      <c r="B34" s="8">
        <v>17</v>
      </c>
      <c r="C34" s="8"/>
      <c r="D34" s="25">
        <v>26964250.600000001</v>
      </c>
      <c r="E34" s="26"/>
      <c r="F34" s="15">
        <v>73845618.879999995</v>
      </c>
      <c r="G34" s="10"/>
      <c r="H34" s="11" t="e">
        <f>D34-#REF!</f>
        <v>#REF!</v>
      </c>
      <c r="I34" s="11" t="e">
        <f>F34-#REF!</f>
        <v>#REF!</v>
      </c>
      <c r="J34" s="21"/>
      <c r="K34" s="21"/>
      <c r="L34" s="21"/>
    </row>
    <row r="35" spans="1:12" ht="15.6" x14ac:dyDescent="0.3">
      <c r="A35" s="5" t="s">
        <v>28</v>
      </c>
      <c r="B35" s="16"/>
      <c r="C35" s="8"/>
      <c r="D35" s="143">
        <f>SUM(D28:D34)</f>
        <v>1004893993.9000001</v>
      </c>
      <c r="E35" s="72"/>
      <c r="F35" s="17">
        <f>SUM(F28:F34)</f>
        <v>906845944.99000001</v>
      </c>
      <c r="G35" s="18"/>
      <c r="H35" s="11" t="e">
        <f>D35-#REF!</f>
        <v>#REF!</v>
      </c>
      <c r="I35" s="19"/>
      <c r="J35" s="20"/>
      <c r="K35" s="21"/>
      <c r="L35" s="20"/>
    </row>
    <row r="36" spans="1:12" ht="15.6" x14ac:dyDescent="0.3">
      <c r="A36" s="2"/>
      <c r="B36" s="8"/>
      <c r="C36" s="8"/>
      <c r="D36" s="81"/>
      <c r="E36" s="26"/>
      <c r="F36" s="9"/>
      <c r="G36" s="10"/>
      <c r="I36" s="19"/>
      <c r="J36" s="20"/>
      <c r="K36" s="21"/>
      <c r="L36" s="21"/>
    </row>
    <row r="37" spans="1:12" ht="16.2" x14ac:dyDescent="0.3">
      <c r="A37" s="6" t="s">
        <v>29</v>
      </c>
      <c r="B37" s="8"/>
      <c r="C37" s="8"/>
      <c r="D37" s="81"/>
      <c r="E37" s="26"/>
      <c r="F37" s="9"/>
      <c r="G37" s="10"/>
      <c r="J37" s="21"/>
      <c r="K37" s="21"/>
      <c r="L37" s="21"/>
    </row>
    <row r="38" spans="1:12" ht="15.6" x14ac:dyDescent="0.3">
      <c r="A38" s="2" t="s">
        <v>21</v>
      </c>
      <c r="B38" s="8">
        <v>12</v>
      </c>
      <c r="C38" s="8"/>
      <c r="D38" s="81">
        <v>586050843.98000002</v>
      </c>
      <c r="E38" s="26"/>
      <c r="F38" s="9">
        <v>247594941.56</v>
      </c>
      <c r="G38" s="10"/>
      <c r="H38" s="11" t="e">
        <f>D38-#REF!</f>
        <v>#REF!</v>
      </c>
      <c r="I38" s="11" t="e">
        <f>F38-#REF!</f>
        <v>#REF!</v>
      </c>
      <c r="J38" s="21"/>
      <c r="K38" s="39"/>
      <c r="L38" s="21"/>
    </row>
    <row r="39" spans="1:12" ht="15.6" x14ac:dyDescent="0.3">
      <c r="A39" s="13" t="s">
        <v>26</v>
      </c>
      <c r="B39" s="8"/>
      <c r="C39" s="8"/>
      <c r="D39" s="25">
        <v>15168795.65</v>
      </c>
      <c r="E39" s="26"/>
      <c r="F39" s="15">
        <v>1572985.96</v>
      </c>
      <c r="G39" s="10"/>
      <c r="H39" s="11" t="e">
        <f>D39-#REF!</f>
        <v>#REF!</v>
      </c>
      <c r="I39" s="11" t="e">
        <f>F39-#REF!</f>
        <v>#REF!</v>
      </c>
      <c r="J39" s="21"/>
      <c r="K39" s="21"/>
      <c r="L39" s="21"/>
    </row>
    <row r="40" spans="1:12" ht="15.6" x14ac:dyDescent="0.3">
      <c r="A40" s="5" t="s">
        <v>30</v>
      </c>
      <c r="B40" s="8"/>
      <c r="C40" s="8"/>
      <c r="D40" s="17">
        <f>SUM(D38:D39)</f>
        <v>601219639.63</v>
      </c>
      <c r="E40" s="18"/>
      <c r="F40" s="17">
        <f>SUM(F38:F39)</f>
        <v>249167927.52000001</v>
      </c>
      <c r="G40" s="18"/>
      <c r="H40" s="11" t="e">
        <f>D40-#REF!</f>
        <v>#REF!</v>
      </c>
      <c r="I40" s="19" t="e">
        <f>F40-#REF!</f>
        <v>#REF!</v>
      </c>
      <c r="J40" s="20"/>
      <c r="K40" s="39"/>
      <c r="L40" s="21"/>
    </row>
    <row r="41" spans="1:12" ht="15.6" x14ac:dyDescent="0.3">
      <c r="A41" s="5" t="s">
        <v>31</v>
      </c>
      <c r="B41" s="8"/>
      <c r="C41" s="8"/>
      <c r="D41" s="40">
        <f>D35+D40</f>
        <v>1606113633.5300002</v>
      </c>
      <c r="E41" s="18"/>
      <c r="F41" s="40">
        <f>F35+F40</f>
        <v>1156013872.51</v>
      </c>
      <c r="G41" s="18"/>
      <c r="H41" s="11" t="e">
        <f>D41-#REF!</f>
        <v>#REF!</v>
      </c>
      <c r="I41" s="19" t="e">
        <f>F41-#REF!</f>
        <v>#REF!</v>
      </c>
      <c r="J41" s="20"/>
      <c r="K41" s="20"/>
      <c r="L41" s="20"/>
    </row>
    <row r="42" spans="1:12" ht="15.6" x14ac:dyDescent="0.3">
      <c r="A42" s="5"/>
      <c r="B42" s="196"/>
      <c r="C42" s="8"/>
      <c r="D42" s="41"/>
      <c r="E42" s="42"/>
      <c r="F42" s="41"/>
      <c r="G42" s="42"/>
      <c r="I42" s="19"/>
      <c r="J42" s="21"/>
      <c r="K42" s="21"/>
      <c r="L42" s="21"/>
    </row>
    <row r="43" spans="1:12" ht="15.6" x14ac:dyDescent="0.3">
      <c r="A43" s="5" t="s">
        <v>32</v>
      </c>
      <c r="B43" s="196"/>
      <c r="C43" s="8"/>
      <c r="D43" s="41"/>
      <c r="E43" s="42"/>
      <c r="F43" s="41"/>
      <c r="G43" s="42"/>
      <c r="I43" s="19"/>
      <c r="J43" s="20"/>
      <c r="L43" s="21"/>
    </row>
    <row r="44" spans="1:12" ht="15.6" x14ac:dyDescent="0.3">
      <c r="A44" s="47" t="s">
        <v>33</v>
      </c>
      <c r="B44" s="8">
        <v>29</v>
      </c>
      <c r="C44" s="8"/>
      <c r="D44" s="40">
        <f>SCNAE!D19</f>
        <v>3570728349.8199987</v>
      </c>
      <c r="E44" s="18"/>
      <c r="F44" s="40">
        <v>3027056416.3899994</v>
      </c>
      <c r="G44" s="18"/>
      <c r="H44" s="11" t="e">
        <f>D44-#REF!</f>
        <v>#REF!</v>
      </c>
      <c r="I44" s="19" t="e">
        <f>F44-#REF!</f>
        <v>#REF!</v>
      </c>
      <c r="J44" s="20"/>
      <c r="K44" s="20"/>
      <c r="L44" s="21"/>
    </row>
    <row r="45" spans="1:12" ht="15.75" customHeight="1" thickBot="1" x14ac:dyDescent="0.35">
      <c r="A45" s="36" t="s">
        <v>34</v>
      </c>
      <c r="B45" s="43"/>
      <c r="C45" s="43"/>
      <c r="D45" s="44">
        <f>D44+D41</f>
        <v>5176841983.3499985</v>
      </c>
      <c r="E45" s="18"/>
      <c r="F45" s="44">
        <f>F44+F41</f>
        <v>4183070288.8999996</v>
      </c>
      <c r="G45" s="18"/>
      <c r="H45" s="11" t="e">
        <f>D45-#REF!</f>
        <v>#REF!</v>
      </c>
      <c r="I45" s="19" t="e">
        <f>F45-#REF!</f>
        <v>#REF!</v>
      </c>
      <c r="J45" s="20"/>
      <c r="K45" s="20"/>
      <c r="L45" s="20"/>
    </row>
    <row r="46" spans="1:12" ht="16.2" thickTop="1" x14ac:dyDescent="0.3">
      <c r="A46" s="45"/>
      <c r="B46" s="45"/>
      <c r="C46" s="45"/>
      <c r="D46" s="45"/>
      <c r="E46" s="45"/>
      <c r="F46" s="45"/>
      <c r="G46" s="45"/>
      <c r="J46" s="21"/>
      <c r="K46" s="21"/>
      <c r="L46" s="21"/>
    </row>
    <row r="47" spans="1:12" ht="15.6" x14ac:dyDescent="0.3">
      <c r="A47" s="197" t="s">
        <v>35</v>
      </c>
      <c r="B47" s="197"/>
      <c r="C47" s="197"/>
      <c r="D47" s="197"/>
      <c r="E47" s="197"/>
      <c r="F47" s="197"/>
      <c r="G47" s="197"/>
      <c r="J47" s="21"/>
      <c r="K47" s="21"/>
      <c r="L47" s="21"/>
    </row>
    <row r="48" spans="1:12" x14ac:dyDescent="0.3">
      <c r="J48" s="21"/>
      <c r="K48" s="21"/>
      <c r="L48" s="21"/>
    </row>
    <row r="49" spans="2:12" x14ac:dyDescent="0.3">
      <c r="D49" s="144"/>
      <c r="E49" s="144"/>
      <c r="F49" s="134"/>
      <c r="G49" s="46"/>
      <c r="H49" s="46"/>
      <c r="I49" s="46"/>
      <c r="J49" s="21"/>
      <c r="K49" s="21"/>
      <c r="L49" s="21"/>
    </row>
    <row r="50" spans="2:12" ht="15.6" x14ac:dyDescent="0.3">
      <c r="B50" s="162"/>
      <c r="D50" s="19"/>
      <c r="E50" s="19"/>
      <c r="F50" s="19"/>
      <c r="G50" s="19"/>
      <c r="J50" s="21"/>
      <c r="K50" s="21"/>
      <c r="L50" s="21"/>
    </row>
    <row r="51" spans="2:12" x14ac:dyDescent="0.3">
      <c r="D51" s="19"/>
      <c r="E51" s="19"/>
      <c r="F51" s="19"/>
      <c r="G51" s="19"/>
      <c r="J51" s="21"/>
      <c r="K51" s="21"/>
      <c r="L51" s="21"/>
    </row>
    <row r="52" spans="2:12" x14ac:dyDescent="0.3">
      <c r="D52" s="19"/>
      <c r="E52" s="19"/>
      <c r="F52" s="19"/>
      <c r="G52" s="19"/>
      <c r="J52" s="21"/>
      <c r="K52" s="21"/>
      <c r="L52" s="21"/>
    </row>
    <row r="53" spans="2:12" x14ac:dyDescent="0.3">
      <c r="D53" s="19"/>
      <c r="E53" s="19"/>
      <c r="F53" s="19"/>
      <c r="G53" s="19"/>
      <c r="J53" s="21"/>
      <c r="K53" s="21"/>
      <c r="L53" s="21"/>
    </row>
    <row r="54" spans="2:12" x14ac:dyDescent="0.3">
      <c r="D54" s="19"/>
      <c r="E54" s="19"/>
      <c r="F54" s="19"/>
      <c r="G54" s="19"/>
    </row>
    <row r="55" spans="2:12" x14ac:dyDescent="0.3">
      <c r="D55" s="19"/>
      <c r="E55" s="19"/>
      <c r="F55" s="19"/>
      <c r="G55" s="19"/>
    </row>
    <row r="56" spans="2:12" x14ac:dyDescent="0.3">
      <c r="D56" s="19"/>
      <c r="E56" s="19"/>
      <c r="F56" s="19"/>
      <c r="G56" s="19"/>
    </row>
    <row r="57" spans="2:12" x14ac:dyDescent="0.3">
      <c r="D57" s="19"/>
      <c r="E57" s="19"/>
      <c r="F57" s="19"/>
      <c r="G57" s="19"/>
    </row>
  </sheetData>
  <sheetProtection algorithmName="SHA-512" hashValue="zvKh5LqJOwNPpJkn7Ymoj2KOczvOQKIB8t+FNqGDZiDnVk3rVyTm8PfaFVwAKwTEl3XmhhlRvQlolIvEL76p/A==" saltValue="0aHNXUUjL3WUHuhxCXEq2w==" spinCount="100000" sheet="1" objects="1" scenarios="1" selectLockedCells="1" selectUnlockedCells="1"/>
  <mergeCells count="9">
    <mergeCell ref="A7:G7"/>
    <mergeCell ref="B42:B43"/>
    <mergeCell ref="A47:G47"/>
    <mergeCell ref="A1:G1"/>
    <mergeCell ref="A2:G2"/>
    <mergeCell ref="A3:G3"/>
    <mergeCell ref="A4:G4"/>
    <mergeCell ref="A5:G5"/>
    <mergeCell ref="A6:G6"/>
  </mergeCells>
  <pageMargins left="1.4960629921259843" right="0.98425196850393704" top="0.98425196850393704" bottom="0.98425196850393704" header="0.51181102362204722" footer="0.51181102362204722"/>
  <pageSetup scale="83" orientation="portrait" horizontalDpi="360" verticalDpi="360" r:id="rId1"/>
  <headerFooter scaleWithDoc="0">
    <oddFooter>&amp;C&amp;"Times New Roman,Regular"&amp;12 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0"/>
  <sheetViews>
    <sheetView showGridLines="0" zoomScaleNormal="100" zoomScaleSheetLayoutView="90" workbookViewId="0">
      <selection sqref="A1:F1"/>
    </sheetView>
  </sheetViews>
  <sheetFormatPr defaultRowHeight="14.4" x14ac:dyDescent="0.3"/>
  <cols>
    <col min="1" max="1" width="35.6640625" customWidth="1"/>
    <col min="2" max="2" width="7.109375" customWidth="1"/>
    <col min="3" max="3" width="3.6640625" customWidth="1"/>
    <col min="4" max="4" width="20.6640625" style="69" customWidth="1"/>
    <col min="5" max="5" width="3.6640625" style="53" customWidth="1"/>
    <col min="6" max="6" width="20.6640625" style="69" customWidth="1"/>
    <col min="7" max="7" width="14.33203125" hidden="1" customWidth="1"/>
    <col min="8" max="8" width="16.88671875" hidden="1" customWidth="1"/>
    <col min="9" max="9" width="19.109375" hidden="1" customWidth="1"/>
    <col min="10" max="10" width="17" bestFit="1" customWidth="1"/>
    <col min="11" max="11" width="16.88671875" bestFit="1" customWidth="1"/>
    <col min="12" max="12" width="16.33203125" bestFit="1" customWidth="1"/>
  </cols>
  <sheetData>
    <row r="1" spans="1:12" ht="17.399999999999999" x14ac:dyDescent="0.3">
      <c r="A1" s="198" t="s">
        <v>0</v>
      </c>
      <c r="B1" s="198"/>
      <c r="C1" s="198"/>
      <c r="D1" s="198"/>
      <c r="E1" s="198"/>
      <c r="F1" s="198"/>
    </row>
    <row r="2" spans="1:12" ht="17.399999999999999" x14ac:dyDescent="0.3">
      <c r="A2" s="199" t="s">
        <v>1</v>
      </c>
      <c r="B2" s="199"/>
      <c r="C2" s="199"/>
      <c r="D2" s="199"/>
      <c r="E2" s="199"/>
      <c r="F2" s="199"/>
    </row>
    <row r="3" spans="1:12" ht="17.399999999999999" x14ac:dyDescent="0.3">
      <c r="A3" s="199" t="s">
        <v>36</v>
      </c>
      <c r="B3" s="199"/>
      <c r="C3" s="199"/>
      <c r="D3" s="199"/>
      <c r="E3" s="199"/>
      <c r="F3" s="199"/>
    </row>
    <row r="4" spans="1:12" ht="17.399999999999999" x14ac:dyDescent="0.3">
      <c r="A4" s="199" t="s">
        <v>3</v>
      </c>
      <c r="B4" s="199"/>
      <c r="C4" s="199"/>
      <c r="D4" s="199"/>
      <c r="E4" s="199"/>
      <c r="F4" s="199"/>
    </row>
    <row r="5" spans="1:12" ht="18" x14ac:dyDescent="0.3">
      <c r="A5" s="200" t="s">
        <v>147</v>
      </c>
      <c r="B5" s="200"/>
      <c r="C5" s="200"/>
      <c r="D5" s="200"/>
      <c r="E5" s="200"/>
      <c r="F5" s="200"/>
    </row>
    <row r="6" spans="1:12" ht="18" x14ac:dyDescent="0.3">
      <c r="A6" s="200" t="s">
        <v>146</v>
      </c>
      <c r="B6" s="200"/>
      <c r="C6" s="200"/>
      <c r="D6" s="200"/>
      <c r="E6" s="200"/>
      <c r="F6" s="200"/>
    </row>
    <row r="7" spans="1:12" ht="18" x14ac:dyDescent="0.3">
      <c r="A7" s="195" t="s">
        <v>4</v>
      </c>
      <c r="B7" s="195"/>
      <c r="C7" s="195"/>
      <c r="D7" s="195"/>
      <c r="E7" s="195"/>
      <c r="F7" s="195"/>
    </row>
    <row r="9" spans="1:12" ht="15.75" customHeight="1" x14ac:dyDescent="0.3">
      <c r="A9" s="2"/>
      <c r="B9" s="3" t="s">
        <v>37</v>
      </c>
      <c r="C9" s="4"/>
      <c r="D9" s="3">
        <v>2022</v>
      </c>
      <c r="E9" s="4"/>
      <c r="F9" s="3">
        <v>2021</v>
      </c>
    </row>
    <row r="10" spans="1:12" ht="15.6" x14ac:dyDescent="0.3">
      <c r="A10" s="5" t="s">
        <v>38</v>
      </c>
      <c r="B10" s="2"/>
      <c r="C10" s="2"/>
      <c r="D10" s="9"/>
      <c r="E10" s="10"/>
      <c r="F10" s="9"/>
    </row>
    <row r="11" spans="1:12" ht="15.6" x14ac:dyDescent="0.3">
      <c r="A11" s="47" t="s">
        <v>152</v>
      </c>
      <c r="B11" s="14">
        <v>18</v>
      </c>
      <c r="C11" s="8"/>
      <c r="D11" s="145">
        <v>315477910.50999993</v>
      </c>
      <c r="E11" s="146"/>
      <c r="F11" s="81">
        <v>294710675.38</v>
      </c>
      <c r="G11" s="11" t="e">
        <f>D11-#REF!</f>
        <v>#REF!</v>
      </c>
      <c r="I11" s="11" t="e">
        <f>F11-#REF!</f>
        <v>#REF!</v>
      </c>
    </row>
    <row r="12" spans="1:12" ht="31.2" x14ac:dyDescent="0.3">
      <c r="A12" s="47" t="s">
        <v>39</v>
      </c>
      <c r="B12" s="14">
        <v>18</v>
      </c>
      <c r="C12" s="8"/>
      <c r="D12" s="145">
        <v>1248221550</v>
      </c>
      <c r="E12" s="146"/>
      <c r="F12" s="81">
        <v>889216030</v>
      </c>
      <c r="G12" s="11" t="e">
        <f>D12-#REF!</f>
        <v>#REF!</v>
      </c>
      <c r="I12" s="11" t="e">
        <f>F12-#REF!</f>
        <v>#REF!</v>
      </c>
    </row>
    <row r="13" spans="1:12" ht="15.6" x14ac:dyDescent="0.3">
      <c r="A13" s="47" t="s">
        <v>153</v>
      </c>
      <c r="B13" s="14"/>
      <c r="C13" s="8"/>
      <c r="D13" s="178">
        <v>0</v>
      </c>
      <c r="E13" s="174"/>
      <c r="F13" s="81">
        <v>72609</v>
      </c>
      <c r="G13" s="11" t="e">
        <f>D13-#REF!</f>
        <v>#REF!</v>
      </c>
      <c r="I13" s="48" t="e">
        <f>F13-#REF!</f>
        <v>#REF!</v>
      </c>
      <c r="K13" s="137"/>
    </row>
    <row r="14" spans="1:12" ht="15.6" x14ac:dyDescent="0.3">
      <c r="A14" s="47" t="s">
        <v>154</v>
      </c>
      <c r="B14" s="14">
        <v>19</v>
      </c>
      <c r="C14" s="8"/>
      <c r="D14" s="146">
        <v>167594243.80000001</v>
      </c>
      <c r="E14" s="146"/>
      <c r="F14" s="26">
        <v>143469416.88999999</v>
      </c>
      <c r="G14" s="11" t="e">
        <f>D14-#REF!</f>
        <v>#REF!</v>
      </c>
      <c r="I14" s="11" t="e">
        <f>F14-#REF!</f>
        <v>#REF!</v>
      </c>
      <c r="J14" s="50"/>
      <c r="K14" s="136"/>
    </row>
    <row r="15" spans="1:12" ht="15.6" x14ac:dyDescent="0.3">
      <c r="A15" s="47" t="s">
        <v>155</v>
      </c>
      <c r="B15" s="14">
        <v>21</v>
      </c>
      <c r="C15" s="14"/>
      <c r="D15" s="147">
        <v>84539859.239999995</v>
      </c>
      <c r="E15" s="147"/>
      <c r="F15" s="26">
        <v>4548753.62</v>
      </c>
      <c r="G15" s="11" t="e">
        <f>D15-#REF!</f>
        <v>#REF!</v>
      </c>
      <c r="H15" s="19"/>
      <c r="I15" s="51" t="e">
        <f>F15-#REF!</f>
        <v>#REF!</v>
      </c>
      <c r="J15" s="52"/>
      <c r="K15" s="53"/>
    </row>
    <row r="16" spans="1:12" ht="15.6" x14ac:dyDescent="0.3">
      <c r="A16" s="5" t="s">
        <v>40</v>
      </c>
      <c r="B16" s="54"/>
      <c r="C16" s="8"/>
      <c r="D16" s="148">
        <f>SUM(D11:D15)</f>
        <v>1815833563.55</v>
      </c>
      <c r="E16" s="175"/>
      <c r="F16" s="143">
        <f>SUM(F11:F15)</f>
        <v>1332017484.8899999</v>
      </c>
      <c r="H16" s="19"/>
      <c r="I16" s="56"/>
      <c r="J16" s="52"/>
      <c r="K16" s="53"/>
      <c r="L16" s="53"/>
    </row>
    <row r="17" spans="1:12" ht="15.6" x14ac:dyDescent="0.3">
      <c r="A17" s="5"/>
      <c r="B17" s="54"/>
      <c r="C17" s="8"/>
      <c r="D17" s="145"/>
      <c r="E17" s="146"/>
      <c r="F17" s="81"/>
      <c r="I17" s="57"/>
      <c r="J17" s="58"/>
      <c r="K17" s="11"/>
      <c r="L17" s="11"/>
    </row>
    <row r="18" spans="1:12" ht="15.6" x14ac:dyDescent="0.3">
      <c r="A18" s="5" t="s">
        <v>41</v>
      </c>
      <c r="B18" s="54"/>
      <c r="C18" s="8"/>
      <c r="D18" s="145"/>
      <c r="E18" s="146"/>
      <c r="F18" s="81"/>
      <c r="I18" s="59"/>
      <c r="J18" s="52"/>
      <c r="K18" s="53"/>
    </row>
    <row r="19" spans="1:12" ht="15.6" x14ac:dyDescent="0.3">
      <c r="A19" s="47" t="s">
        <v>113</v>
      </c>
      <c r="B19" s="14">
        <v>23</v>
      </c>
      <c r="C19" s="8"/>
      <c r="D19" s="145">
        <v>464425296.26999992</v>
      </c>
      <c r="E19" s="146"/>
      <c r="F19" s="81">
        <v>384095632.81999999</v>
      </c>
      <c r="G19" s="11" t="e">
        <f>D19-#REF!</f>
        <v>#REF!</v>
      </c>
      <c r="I19" s="60" t="e">
        <f>F19-#REF!</f>
        <v>#REF!</v>
      </c>
      <c r="J19" s="52"/>
      <c r="K19" s="138"/>
    </row>
    <row r="20" spans="1:12" ht="31.2" x14ac:dyDescent="0.3">
      <c r="A20" s="47" t="s">
        <v>42</v>
      </c>
      <c r="B20" s="14" t="s">
        <v>148</v>
      </c>
      <c r="C20" s="8"/>
      <c r="D20" s="145">
        <f>527078077.37+2647.87</f>
        <v>527080725.24000001</v>
      </c>
      <c r="E20" s="146"/>
      <c r="F20" s="81">
        <v>492373303.15999997</v>
      </c>
      <c r="G20" s="11" t="e">
        <f>D20-#REF!</f>
        <v>#REF!</v>
      </c>
      <c r="I20" s="61" t="e">
        <f>F20-#REF!</f>
        <v>#REF!</v>
      </c>
      <c r="J20" s="53"/>
      <c r="K20" s="53"/>
    </row>
    <row r="21" spans="1:12" ht="15.6" x14ac:dyDescent="0.3">
      <c r="A21" s="47" t="s">
        <v>156</v>
      </c>
      <c r="B21" s="14">
        <v>27</v>
      </c>
      <c r="C21" s="8"/>
      <c r="D21" s="145">
        <v>123923101.2343749</v>
      </c>
      <c r="E21" s="146"/>
      <c r="F21" s="81">
        <v>120777478.39</v>
      </c>
      <c r="G21" s="11" t="e">
        <f>D21-#REF!</f>
        <v>#REF!</v>
      </c>
      <c r="I21" s="51" t="e">
        <f>F21-#REF!</f>
        <v>#REF!</v>
      </c>
      <c r="J21" s="50"/>
      <c r="K21" s="62"/>
    </row>
    <row r="22" spans="1:12" ht="15.6" x14ac:dyDescent="0.3">
      <c r="A22" s="47" t="s">
        <v>157</v>
      </c>
      <c r="B22" s="14">
        <v>25</v>
      </c>
      <c r="C22" s="8"/>
      <c r="D22" s="83">
        <v>21498605.43</v>
      </c>
      <c r="E22" s="146"/>
      <c r="F22" s="25">
        <v>10687840.5</v>
      </c>
      <c r="G22" s="11" t="e">
        <f>D22-#REF!</f>
        <v>#REF!</v>
      </c>
      <c r="I22" s="57" t="e">
        <f>F22-#REF!</f>
        <v>#REF!</v>
      </c>
      <c r="J22" s="63"/>
    </row>
    <row r="23" spans="1:12" ht="15.6" x14ac:dyDescent="0.3">
      <c r="A23" s="5" t="s">
        <v>43</v>
      </c>
      <c r="B23" s="54"/>
      <c r="C23" s="8"/>
      <c r="D23" s="148">
        <f>SUM(D19:D22)</f>
        <v>1136927728.1743751</v>
      </c>
      <c r="E23" s="175"/>
      <c r="F23" s="143">
        <f>SUM(F19:F22)</f>
        <v>1007934254.87</v>
      </c>
      <c r="G23" s="11" t="e">
        <f>D23-#REF!</f>
        <v>#REF!</v>
      </c>
      <c r="H23" s="19"/>
      <c r="I23" s="57" t="e">
        <f>F23-#REF!</f>
        <v>#REF!</v>
      </c>
      <c r="J23" s="63"/>
    </row>
    <row r="24" spans="1:12" ht="15.6" x14ac:dyDescent="0.3">
      <c r="A24" s="2"/>
      <c r="B24" s="54"/>
      <c r="C24" s="8"/>
      <c r="D24" s="145"/>
      <c r="E24" s="146"/>
      <c r="F24" s="81"/>
      <c r="I24" s="19"/>
      <c r="J24" s="19"/>
    </row>
    <row r="25" spans="1:12" ht="31.2" x14ac:dyDescent="0.3">
      <c r="A25" s="36" t="s">
        <v>44</v>
      </c>
      <c r="B25" s="54"/>
      <c r="C25" s="8"/>
      <c r="D25" s="175">
        <f>D16-D23</f>
        <v>678905835.3756249</v>
      </c>
      <c r="E25" s="175"/>
      <c r="F25" s="72">
        <f>F16-F23</f>
        <v>324083230.01999986</v>
      </c>
      <c r="G25" s="11" t="e">
        <f>D25-#REF!</f>
        <v>#REF!</v>
      </c>
      <c r="H25" s="19"/>
      <c r="I25" s="11" t="e">
        <f>F25-#REF!</f>
        <v>#REF!</v>
      </c>
    </row>
    <row r="26" spans="1:12" ht="15.6" x14ac:dyDescent="0.3">
      <c r="A26" s="180" t="s">
        <v>158</v>
      </c>
      <c r="B26" s="54"/>
      <c r="C26" s="8"/>
      <c r="D26" s="145"/>
      <c r="E26" s="146"/>
      <c r="F26" s="81"/>
    </row>
    <row r="27" spans="1:12" ht="31.2" x14ac:dyDescent="0.3">
      <c r="A27" s="47" t="s">
        <v>45</v>
      </c>
      <c r="B27" s="14">
        <v>20</v>
      </c>
      <c r="C27" s="8"/>
      <c r="D27" s="150">
        <v>10612957.539999999</v>
      </c>
      <c r="E27" s="147"/>
      <c r="F27" s="151">
        <v>153047594.00999999</v>
      </c>
      <c r="G27" s="152" t="e">
        <f>D27-#REF!</f>
        <v>#REF!</v>
      </c>
      <c r="H27" s="153"/>
      <c r="I27" s="152" t="e">
        <f>F27-#REF!</f>
        <v>#REF!</v>
      </c>
      <c r="J27" s="153"/>
    </row>
    <row r="28" spans="1:12" ht="31.2" x14ac:dyDescent="0.3">
      <c r="A28" s="47" t="s">
        <v>159</v>
      </c>
      <c r="B28" s="14">
        <v>24</v>
      </c>
      <c r="C28" s="8"/>
      <c r="D28" s="149">
        <v>-21104847.27</v>
      </c>
      <c r="E28" s="149"/>
      <c r="F28" s="26">
        <v>-55694875.469999999</v>
      </c>
      <c r="G28" s="11" t="e">
        <f>D28-#REF!</f>
        <v>#REF!</v>
      </c>
      <c r="I28" s="10" t="e">
        <f>F28+#REF!</f>
        <v>#REF!</v>
      </c>
      <c r="J28" s="10"/>
      <c r="K28" s="137"/>
    </row>
    <row r="29" spans="1:12" ht="15.6" x14ac:dyDescent="0.3">
      <c r="A29" s="47" t="s">
        <v>160</v>
      </c>
      <c r="B29" s="14">
        <v>22</v>
      </c>
      <c r="C29" s="8"/>
      <c r="D29" s="83">
        <v>2218956.2500000005</v>
      </c>
      <c r="E29" s="146"/>
      <c r="F29" s="25">
        <v>1643931.51</v>
      </c>
      <c r="G29" s="11" t="e">
        <f>D29-#REF!</f>
        <v>#REF!</v>
      </c>
      <c r="I29" s="10" t="e">
        <f>F29-#REF!</f>
        <v>#REF!</v>
      </c>
      <c r="J29" s="10"/>
    </row>
    <row r="30" spans="1:12" ht="16.2" thickBot="1" x14ac:dyDescent="0.35">
      <c r="A30" s="5" t="s">
        <v>46</v>
      </c>
      <c r="B30" s="64"/>
      <c r="C30" s="64"/>
      <c r="D30" s="65">
        <f>SUM(D25:D29)</f>
        <v>670632901.89562488</v>
      </c>
      <c r="E30" s="84"/>
      <c r="F30" s="66">
        <f>SUM(F25:F29)</f>
        <v>423079880.06999981</v>
      </c>
      <c r="G30" s="11" t="e">
        <f>D30-#REF!</f>
        <v>#REF!</v>
      </c>
      <c r="H30" s="19"/>
      <c r="I30" s="19" t="e">
        <f>F30-#REF!</f>
        <v>#REF!</v>
      </c>
      <c r="J30" s="19"/>
    </row>
    <row r="31" spans="1:12" ht="16.2" thickTop="1" x14ac:dyDescent="0.3">
      <c r="A31" s="45"/>
      <c r="B31" s="45"/>
      <c r="C31" s="45"/>
      <c r="D31" s="67"/>
      <c r="E31" s="67"/>
      <c r="F31" s="67"/>
      <c r="H31" s="19"/>
      <c r="I31" s="19"/>
      <c r="J31" s="19"/>
    </row>
    <row r="32" spans="1:12" ht="15.6" x14ac:dyDescent="0.3">
      <c r="A32" s="197" t="s">
        <v>35</v>
      </c>
      <c r="B32" s="197"/>
      <c r="C32" s="197"/>
      <c r="D32" s="197"/>
      <c r="E32" s="197"/>
      <c r="F32" s="197"/>
      <c r="I32" s="68"/>
    </row>
    <row r="34" spans="2:10" ht="15.6" x14ac:dyDescent="0.3">
      <c r="B34" s="162"/>
    </row>
    <row r="35" spans="2:10" x14ac:dyDescent="0.3">
      <c r="D35" s="70"/>
      <c r="E35" s="176"/>
      <c r="F35" s="71"/>
      <c r="G35" s="46"/>
      <c r="H35" s="46"/>
      <c r="I35" s="46"/>
      <c r="J35" s="46"/>
    </row>
    <row r="36" spans="2:10" x14ac:dyDescent="0.3">
      <c r="D36" s="70"/>
      <c r="E36" s="176"/>
      <c r="F36" s="71"/>
      <c r="G36" s="46"/>
      <c r="H36" s="46"/>
      <c r="I36" s="46"/>
      <c r="J36" s="46"/>
    </row>
    <row r="37" spans="2:10" x14ac:dyDescent="0.3">
      <c r="D37" s="70"/>
      <c r="E37" s="176"/>
      <c r="F37" s="71"/>
      <c r="G37" s="46"/>
      <c r="H37" s="46"/>
      <c r="I37" s="46"/>
      <c r="J37" s="46"/>
    </row>
    <row r="38" spans="2:10" x14ac:dyDescent="0.3">
      <c r="D38" s="70"/>
      <c r="E38" s="176"/>
      <c r="F38" s="71"/>
      <c r="G38" s="46"/>
      <c r="H38" s="46"/>
      <c r="I38" s="46"/>
      <c r="J38" s="46"/>
    </row>
    <row r="39" spans="2:10" x14ac:dyDescent="0.3">
      <c r="D39" s="71"/>
      <c r="E39" s="86"/>
      <c r="F39" s="71"/>
      <c r="G39" s="46"/>
      <c r="H39" s="46"/>
      <c r="I39" s="46"/>
      <c r="J39" s="46"/>
    </row>
    <row r="40" spans="2:10" x14ac:dyDescent="0.3">
      <c r="D40" s="71"/>
      <c r="E40" s="86"/>
      <c r="F40" s="71"/>
      <c r="G40" s="46"/>
      <c r="H40" s="46"/>
      <c r="I40" s="46"/>
      <c r="J40" s="46"/>
    </row>
  </sheetData>
  <sheetProtection algorithmName="SHA-512" hashValue="Bety4JEBXnJDMEykoA4bG0iI3JeJA/aI+cmutfqBFuTphNeVz65HK3Nn7qEfZIYyn2YU3r8bVYNUf/LN5dn8OA==" saltValue="Yv49u17AGGypKvVekx0yMA==" spinCount="100000" sheet="1" objects="1" scenarios="1" selectLockedCells="1" selectUnlockedCells="1"/>
  <mergeCells count="8">
    <mergeCell ref="A7:F7"/>
    <mergeCell ref="A32:F32"/>
    <mergeCell ref="A1:F1"/>
    <mergeCell ref="A2:F2"/>
    <mergeCell ref="A3:F3"/>
    <mergeCell ref="A4:F4"/>
    <mergeCell ref="A5:F5"/>
    <mergeCell ref="A6:F6"/>
  </mergeCells>
  <pageMargins left="1.4960629921259843" right="0.98425196850393704" top="0.98425196850393704" bottom="0.98425196850393704" header="0.51181102362204722" footer="0.51181102362204722"/>
  <pageSetup scale="83" orientation="portrait" r:id="rId1"/>
  <headerFooter scaleWithDoc="0">
    <oddFooter xml:space="preserve">&amp;C&amp;"Times New Roman,Regular"&amp;12 7
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9"/>
  <sheetViews>
    <sheetView showGridLines="0" zoomScaleNormal="100" zoomScaleSheetLayoutView="90" workbookViewId="0">
      <selection sqref="A1:F1"/>
    </sheetView>
  </sheetViews>
  <sheetFormatPr defaultRowHeight="14.4" x14ac:dyDescent="0.3"/>
  <cols>
    <col min="1" max="1" width="35.6640625" customWidth="1"/>
    <col min="2" max="2" width="7" customWidth="1"/>
    <col min="3" max="3" width="3.6640625" customWidth="1"/>
    <col min="4" max="4" width="20.6640625" style="69" customWidth="1"/>
    <col min="5" max="5" width="3.6640625" style="53" customWidth="1"/>
    <col min="6" max="6" width="20.6640625" style="69" customWidth="1"/>
    <col min="7" max="7" width="15.33203125" bestFit="1" customWidth="1"/>
    <col min="8" max="9" width="16.88671875" hidden="1" customWidth="1"/>
  </cols>
  <sheetData>
    <row r="1" spans="1:9" ht="17.399999999999999" x14ac:dyDescent="0.3">
      <c r="A1" s="198" t="s">
        <v>0</v>
      </c>
      <c r="B1" s="198"/>
      <c r="C1" s="198"/>
      <c r="D1" s="198"/>
      <c r="E1" s="198"/>
      <c r="F1" s="198"/>
    </row>
    <row r="2" spans="1:9" ht="17.399999999999999" x14ac:dyDescent="0.3">
      <c r="A2" s="199" t="s">
        <v>1</v>
      </c>
      <c r="B2" s="199"/>
      <c r="C2" s="199"/>
      <c r="D2" s="199"/>
      <c r="E2" s="199"/>
      <c r="F2" s="199"/>
    </row>
    <row r="3" spans="1:9" ht="17.399999999999999" x14ac:dyDescent="0.3">
      <c r="A3" s="199" t="s">
        <v>47</v>
      </c>
      <c r="B3" s="199"/>
      <c r="C3" s="199"/>
      <c r="D3" s="199"/>
      <c r="E3" s="199"/>
      <c r="F3" s="199"/>
    </row>
    <row r="4" spans="1:9" ht="17.399999999999999" x14ac:dyDescent="0.3">
      <c r="A4" s="199" t="s">
        <v>3</v>
      </c>
      <c r="B4" s="199"/>
      <c r="C4" s="199"/>
      <c r="D4" s="199"/>
      <c r="E4" s="199"/>
      <c r="F4" s="199"/>
    </row>
    <row r="5" spans="1:9" ht="18" x14ac:dyDescent="0.3">
      <c r="A5" s="200" t="s">
        <v>147</v>
      </c>
      <c r="B5" s="200"/>
      <c r="C5" s="200"/>
      <c r="D5" s="200"/>
      <c r="E5" s="200"/>
      <c r="F5" s="200"/>
    </row>
    <row r="6" spans="1:9" ht="15.75" customHeight="1" x14ac:dyDescent="0.3">
      <c r="A6" s="200" t="s">
        <v>146</v>
      </c>
      <c r="B6" s="200"/>
      <c r="C6" s="200"/>
      <c r="D6" s="200"/>
      <c r="E6" s="200"/>
      <c r="F6" s="200"/>
    </row>
    <row r="7" spans="1:9" ht="18" x14ac:dyDescent="0.3">
      <c r="A7" s="195" t="s">
        <v>4</v>
      </c>
      <c r="B7" s="195"/>
      <c r="C7" s="195"/>
      <c r="D7" s="195"/>
      <c r="E7" s="195"/>
      <c r="F7" s="195"/>
    </row>
    <row r="8" spans="1:9" x14ac:dyDescent="0.3">
      <c r="D8" s="53"/>
      <c r="F8" s="53"/>
    </row>
    <row r="9" spans="1:9" ht="15.75" customHeight="1" x14ac:dyDescent="0.3">
      <c r="A9" s="4"/>
      <c r="B9" s="3" t="s">
        <v>37</v>
      </c>
      <c r="C9" s="8"/>
      <c r="D9" s="3">
        <v>2022</v>
      </c>
      <c r="E9" s="4"/>
      <c r="F9" s="3">
        <v>2021</v>
      </c>
    </row>
    <row r="10" spans="1:9" ht="15.6" x14ac:dyDescent="0.3">
      <c r="A10" s="36" t="s">
        <v>48</v>
      </c>
      <c r="B10" s="8"/>
      <c r="C10" s="8"/>
      <c r="D10" s="9">
        <f>F19</f>
        <v>3027056416.3899994</v>
      </c>
      <c r="E10" s="10"/>
      <c r="F10" s="9">
        <v>2949632210.3099999</v>
      </c>
      <c r="H10" s="11" t="e">
        <f>D10-#REF!</f>
        <v>#REF!</v>
      </c>
      <c r="I10" s="11" t="e">
        <f>F10-#REF!</f>
        <v>#REF!</v>
      </c>
    </row>
    <row r="11" spans="1:9" ht="15.6" x14ac:dyDescent="0.3">
      <c r="A11" s="180" t="s">
        <v>49</v>
      </c>
      <c r="B11" s="8"/>
      <c r="C11" s="8"/>
      <c r="D11" s="9"/>
      <c r="E11" s="10"/>
      <c r="F11" s="9"/>
    </row>
    <row r="12" spans="1:9" ht="15.6" x14ac:dyDescent="0.3">
      <c r="A12" s="47" t="s">
        <v>50</v>
      </c>
      <c r="B12" s="8"/>
      <c r="C12" s="8"/>
      <c r="D12" s="179">
        <v>0</v>
      </c>
      <c r="E12" s="73"/>
      <c r="F12" s="179">
        <v>0</v>
      </c>
      <c r="I12" s="48" t="e">
        <f>F12-#REF!</f>
        <v>#REF!</v>
      </c>
    </row>
    <row r="13" spans="1:9" ht="15.6" x14ac:dyDescent="0.3">
      <c r="A13" s="47" t="s">
        <v>51</v>
      </c>
      <c r="B13" s="8">
        <v>28</v>
      </c>
      <c r="C13" s="8"/>
      <c r="D13" s="15">
        <v>-126960968.46562509</v>
      </c>
      <c r="E13" s="10"/>
      <c r="F13" s="15">
        <v>-345655673.99000001</v>
      </c>
      <c r="G13" s="11"/>
      <c r="H13" s="19" t="e">
        <f>D13-#REF!</f>
        <v>#REF!</v>
      </c>
      <c r="I13" s="19" t="e">
        <f>F13-#REF!</f>
        <v>#REF!</v>
      </c>
    </row>
    <row r="14" spans="1:9" ht="15.6" x14ac:dyDescent="0.3">
      <c r="A14" s="36" t="s">
        <v>52</v>
      </c>
      <c r="B14" s="4"/>
      <c r="C14" s="4"/>
      <c r="D14" s="18">
        <f>SUM(D10:D13)</f>
        <v>2900095447.9243741</v>
      </c>
      <c r="E14" s="18"/>
      <c r="F14" s="72">
        <f>F10+F12+F13</f>
        <v>2603976536.3199997</v>
      </c>
      <c r="H14" s="19" t="e">
        <f>D14-#REF!</f>
        <v>#REF!</v>
      </c>
      <c r="I14" s="19" t="e">
        <f>F14-#REF!</f>
        <v>#REF!</v>
      </c>
    </row>
    <row r="15" spans="1:9" ht="15.6" x14ac:dyDescent="0.3">
      <c r="A15" s="180" t="s">
        <v>158</v>
      </c>
      <c r="B15" s="73"/>
      <c r="C15" s="73"/>
      <c r="D15" s="73"/>
      <c r="E15" s="73"/>
      <c r="F15" s="64"/>
    </row>
    <row r="16" spans="1:9" ht="31.2" x14ac:dyDescent="0.3">
      <c r="A16" s="47" t="s">
        <v>161</v>
      </c>
      <c r="B16" s="73"/>
      <c r="C16" s="73"/>
      <c r="D16" s="179">
        <v>0</v>
      </c>
      <c r="E16" s="73"/>
      <c r="F16" s="179">
        <v>0</v>
      </c>
    </row>
    <row r="17" spans="1:10" ht="15.6" x14ac:dyDescent="0.3">
      <c r="A17" s="47" t="s">
        <v>53</v>
      </c>
      <c r="B17" s="8"/>
      <c r="C17" s="8"/>
      <c r="D17" s="15">
        <f>SFPER!D30</f>
        <v>670632901.89562488</v>
      </c>
      <c r="E17" s="10"/>
      <c r="F17" s="15">
        <f>SFPER!F30</f>
        <v>423079880.06999981</v>
      </c>
      <c r="H17" s="11" t="e">
        <f>D17-#REF!</f>
        <v>#REF!</v>
      </c>
      <c r="I17" s="11" t="e">
        <f>F17-#REF!</f>
        <v>#REF!</v>
      </c>
    </row>
    <row r="18" spans="1:10" ht="15.6" x14ac:dyDescent="0.3">
      <c r="A18" s="74" t="s">
        <v>54</v>
      </c>
      <c r="B18" s="8"/>
      <c r="C18" s="8"/>
      <c r="D18" s="75">
        <f>D17</f>
        <v>670632901.89562488</v>
      </c>
      <c r="E18" s="177"/>
      <c r="F18" s="75">
        <f>F17</f>
        <v>423079880.06999981</v>
      </c>
      <c r="H18" s="19"/>
      <c r="I18" s="19"/>
    </row>
    <row r="19" spans="1:10" ht="16.2" thickBot="1" x14ac:dyDescent="0.35">
      <c r="A19" s="36" t="s">
        <v>150</v>
      </c>
      <c r="B19" s="4"/>
      <c r="C19" s="4"/>
      <c r="D19" s="31">
        <f>D14+D18</f>
        <v>3570728349.8199987</v>
      </c>
      <c r="E19" s="18"/>
      <c r="F19" s="31">
        <f>F14+F17</f>
        <v>3027056416.3899994</v>
      </c>
      <c r="G19" s="11"/>
      <c r="H19" s="19"/>
      <c r="I19" s="19"/>
    </row>
    <row r="20" spans="1:10" ht="16.2" thickTop="1" x14ac:dyDescent="0.3">
      <c r="A20" s="45"/>
      <c r="B20" s="45"/>
      <c r="C20" s="45"/>
      <c r="D20" s="163"/>
      <c r="E20" s="163"/>
      <c r="F20" s="163"/>
      <c r="H20" s="19"/>
      <c r="J20" s="19"/>
    </row>
    <row r="21" spans="1:10" ht="15.6" x14ac:dyDescent="0.3">
      <c r="A21" s="197" t="s">
        <v>35</v>
      </c>
      <c r="B21" s="197"/>
      <c r="C21" s="197"/>
      <c r="D21" s="197"/>
      <c r="E21" s="197"/>
      <c r="F21" s="197"/>
    </row>
    <row r="23" spans="1:10" ht="15.6" x14ac:dyDescent="0.3">
      <c r="B23" s="162"/>
    </row>
    <row r="28" spans="1:10" x14ac:dyDescent="0.3">
      <c r="B28" s="46"/>
      <c r="C28" s="46"/>
      <c r="D28" s="71"/>
      <c r="E28" s="86"/>
      <c r="F28" s="71"/>
    </row>
    <row r="29" spans="1:10" x14ac:dyDescent="0.3">
      <c r="B29" s="46"/>
      <c r="C29" s="46"/>
      <c r="D29" s="71"/>
      <c r="E29" s="86"/>
      <c r="F29" s="71"/>
    </row>
  </sheetData>
  <sheetProtection algorithmName="SHA-512" hashValue="nit8lZwvLUFz1DgMksIdgBglO7R9hXpzuwaSLuMlZXcoB8Bqc19amezKeLZucGkk5/RPzo2SFHKg4FcxE1iOyA==" saltValue="Mkm9gWcCweOGY7Gg4y0Bsw==" spinCount="100000" sheet="1" objects="1" scenarios="1" selectLockedCells="1" selectUnlockedCells="1"/>
  <mergeCells count="8">
    <mergeCell ref="A7:F7"/>
    <mergeCell ref="A21:F21"/>
    <mergeCell ref="A1:F1"/>
    <mergeCell ref="A2:F2"/>
    <mergeCell ref="A3:F3"/>
    <mergeCell ref="A4:F4"/>
    <mergeCell ref="A5:F5"/>
    <mergeCell ref="A6:F6"/>
  </mergeCells>
  <pageMargins left="1.4960629921259843" right="0.98425196850393704" top="0.98425196850393704" bottom="0.98425196850393704" header="0.51181102362204722" footer="0.51181102362204722"/>
  <pageSetup scale="84" orientation="portrait" r:id="rId1"/>
  <headerFooter scaleWithDoc="0">
    <oddFooter xml:space="preserve">&amp;C&amp;"Times New Roman,Regular"&amp;12 8
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1"/>
  <sheetViews>
    <sheetView showGridLines="0" zoomScaleNormal="100" zoomScaleSheetLayoutView="90" workbookViewId="0">
      <selection sqref="A1:F1"/>
    </sheetView>
  </sheetViews>
  <sheetFormatPr defaultRowHeight="14.4" x14ac:dyDescent="0.3"/>
  <cols>
    <col min="1" max="1" width="41.5546875" customWidth="1"/>
    <col min="2" max="2" width="7.33203125" customWidth="1"/>
    <col min="3" max="3" width="3.6640625" customWidth="1"/>
    <col min="4" max="4" width="19.44140625" style="69" bestFit="1" customWidth="1"/>
    <col min="5" max="5" width="3.6640625" style="53" customWidth="1"/>
    <col min="6" max="6" width="18.6640625" style="69" customWidth="1"/>
    <col min="8" max="8" width="17.6640625" bestFit="1" customWidth="1"/>
    <col min="9" max="9" width="16.88671875" bestFit="1" customWidth="1"/>
  </cols>
  <sheetData>
    <row r="1" spans="1:6" ht="17.399999999999999" x14ac:dyDescent="0.3">
      <c r="A1" s="198" t="s">
        <v>0</v>
      </c>
      <c r="B1" s="198"/>
      <c r="C1" s="198"/>
      <c r="D1" s="198"/>
      <c r="E1" s="198"/>
      <c r="F1" s="198"/>
    </row>
    <row r="2" spans="1:6" ht="17.399999999999999" x14ac:dyDescent="0.3">
      <c r="A2" s="199" t="s">
        <v>1</v>
      </c>
      <c r="B2" s="199"/>
      <c r="C2" s="199"/>
      <c r="D2" s="199"/>
      <c r="E2" s="199"/>
      <c r="F2" s="199"/>
    </row>
    <row r="3" spans="1:6" ht="17.399999999999999" x14ac:dyDescent="0.3">
      <c r="A3" s="199" t="s">
        <v>55</v>
      </c>
      <c r="B3" s="199"/>
      <c r="C3" s="199"/>
      <c r="D3" s="199"/>
      <c r="E3" s="199"/>
      <c r="F3" s="199"/>
    </row>
    <row r="4" spans="1:6" ht="17.399999999999999" x14ac:dyDescent="0.3">
      <c r="A4" s="199" t="s">
        <v>3</v>
      </c>
      <c r="B4" s="199"/>
      <c r="C4" s="199"/>
      <c r="D4" s="199"/>
      <c r="E4" s="199"/>
      <c r="F4" s="199"/>
    </row>
    <row r="5" spans="1:6" ht="18" x14ac:dyDescent="0.3">
      <c r="A5" s="200" t="s">
        <v>147</v>
      </c>
      <c r="B5" s="200"/>
      <c r="C5" s="200"/>
      <c r="D5" s="200"/>
      <c r="E5" s="200"/>
      <c r="F5" s="200"/>
    </row>
    <row r="6" spans="1:6" ht="18" x14ac:dyDescent="0.3">
      <c r="A6" s="200" t="s">
        <v>146</v>
      </c>
      <c r="B6" s="200"/>
      <c r="C6" s="200"/>
      <c r="D6" s="200"/>
      <c r="E6" s="200"/>
      <c r="F6" s="200"/>
    </row>
    <row r="7" spans="1:6" ht="18" x14ac:dyDescent="0.3">
      <c r="A7" s="195" t="s">
        <v>4</v>
      </c>
      <c r="B7" s="195"/>
      <c r="C7" s="195"/>
      <c r="D7" s="195"/>
      <c r="E7" s="195"/>
      <c r="F7" s="195"/>
    </row>
    <row r="9" spans="1:6" ht="15.6" x14ac:dyDescent="0.3">
      <c r="A9" s="2"/>
      <c r="B9" s="76" t="s">
        <v>37</v>
      </c>
      <c r="C9" s="5"/>
      <c r="D9" s="3">
        <v>2022</v>
      </c>
      <c r="E9" s="4"/>
      <c r="F9" s="3">
        <v>2021</v>
      </c>
    </row>
    <row r="10" spans="1:6" ht="15.6" x14ac:dyDescent="0.3">
      <c r="A10" s="5" t="s">
        <v>56</v>
      </c>
      <c r="B10" s="2"/>
      <c r="C10" s="2"/>
      <c r="D10" s="2"/>
      <c r="E10" s="2"/>
      <c r="F10" s="2"/>
    </row>
    <row r="11" spans="1:6" ht="16.2" x14ac:dyDescent="0.3">
      <c r="A11" s="183" t="s">
        <v>57</v>
      </c>
      <c r="B11" s="8"/>
      <c r="C11" s="8"/>
      <c r="D11" s="78"/>
      <c r="E11" s="79"/>
      <c r="F11" s="78"/>
    </row>
    <row r="12" spans="1:6" ht="15.6" x14ac:dyDescent="0.3">
      <c r="A12" s="47" t="s">
        <v>163</v>
      </c>
      <c r="B12" s="8"/>
      <c r="C12" s="8"/>
      <c r="D12" s="116">
        <v>398152682.96000004</v>
      </c>
      <c r="E12" s="10"/>
      <c r="F12" s="9">
        <v>297273079.70999992</v>
      </c>
    </row>
    <row r="13" spans="1:6" ht="15.6" x14ac:dyDescent="0.3">
      <c r="A13" s="47" t="s">
        <v>164</v>
      </c>
      <c r="B13" s="8"/>
      <c r="C13" s="8"/>
      <c r="D13" s="116">
        <v>1248221550</v>
      </c>
      <c r="E13" s="10"/>
      <c r="F13" s="9">
        <v>889216030</v>
      </c>
    </row>
    <row r="14" spans="1:6" ht="15.6" x14ac:dyDescent="0.3">
      <c r="A14" s="47" t="s">
        <v>165</v>
      </c>
      <c r="B14" s="8"/>
      <c r="C14" s="8"/>
      <c r="D14" s="116">
        <v>63908116.440000005</v>
      </c>
      <c r="E14" s="10"/>
      <c r="F14" s="9">
        <v>105712748.59</v>
      </c>
    </row>
    <row r="15" spans="1:6" ht="15.6" x14ac:dyDescent="0.3">
      <c r="A15" s="47" t="s">
        <v>166</v>
      </c>
      <c r="B15" s="8"/>
      <c r="C15" s="8"/>
      <c r="D15" s="116">
        <v>723892.41999999993</v>
      </c>
      <c r="E15" s="10"/>
      <c r="F15" s="9">
        <v>385197.81999999995</v>
      </c>
    </row>
    <row r="16" spans="1:6" ht="15.6" x14ac:dyDescent="0.3">
      <c r="A16" s="47" t="s">
        <v>167</v>
      </c>
      <c r="B16" s="8"/>
      <c r="C16" s="8"/>
      <c r="D16" s="154">
        <v>434253082.73000002</v>
      </c>
      <c r="E16" s="10"/>
      <c r="F16" s="15">
        <v>1231086154.3199999</v>
      </c>
    </row>
    <row r="17" spans="1:9" ht="15.6" x14ac:dyDescent="0.3">
      <c r="A17" s="182" t="s">
        <v>168</v>
      </c>
      <c r="B17" s="8"/>
      <c r="C17" s="8"/>
      <c r="D17" s="156">
        <f>+SUM(D12:D16)</f>
        <v>2145259324.5500002</v>
      </c>
      <c r="E17" s="18"/>
      <c r="F17" s="17">
        <f>+SUM(F12:F16)</f>
        <v>2523673210.4399996</v>
      </c>
      <c r="H17" s="19"/>
      <c r="I17" s="19"/>
    </row>
    <row r="18" spans="1:9" ht="16.2" x14ac:dyDescent="0.3">
      <c r="A18" s="183" t="s">
        <v>58</v>
      </c>
      <c r="B18" s="8"/>
      <c r="C18" s="8"/>
      <c r="D18" s="116"/>
      <c r="E18" s="10"/>
      <c r="F18" s="9"/>
      <c r="H18" s="19"/>
      <c r="I18" s="19"/>
    </row>
    <row r="19" spans="1:9" ht="15.6" x14ac:dyDescent="0.3">
      <c r="A19" s="47" t="s">
        <v>59</v>
      </c>
      <c r="B19" s="8"/>
      <c r="C19" s="8"/>
      <c r="D19" s="117">
        <v>290276322.34999996</v>
      </c>
      <c r="E19" s="10"/>
      <c r="F19" s="9">
        <v>335308658.82999998</v>
      </c>
    </row>
    <row r="20" spans="1:9" ht="15.6" x14ac:dyDescent="0.3">
      <c r="A20" s="47" t="s">
        <v>60</v>
      </c>
      <c r="B20" s="8"/>
      <c r="C20" s="8"/>
      <c r="D20" s="116">
        <v>107005799.10800001</v>
      </c>
      <c r="E20" s="10"/>
      <c r="F20" s="9">
        <v>181936847.52000001</v>
      </c>
    </row>
    <row r="21" spans="1:9" ht="15.6" x14ac:dyDescent="0.3">
      <c r="A21" s="47" t="s">
        <v>61</v>
      </c>
      <c r="B21" s="8"/>
      <c r="C21" s="8"/>
      <c r="D21" s="116">
        <v>530779906.25999999</v>
      </c>
      <c r="E21" s="10"/>
      <c r="F21" s="9">
        <v>258193603.06799999</v>
      </c>
    </row>
    <row r="22" spans="1:9" ht="15.6" x14ac:dyDescent="0.3">
      <c r="A22" s="47" t="s">
        <v>169</v>
      </c>
      <c r="B22" s="8"/>
      <c r="C22" s="8"/>
      <c r="D22" s="116">
        <v>20139327.800000001</v>
      </c>
      <c r="E22" s="10"/>
      <c r="F22" s="9">
        <v>10419963.130000001</v>
      </c>
    </row>
    <row r="23" spans="1:9" ht="15.6" x14ac:dyDescent="0.3">
      <c r="A23" s="47" t="s">
        <v>170</v>
      </c>
      <c r="B23" s="8"/>
      <c r="C23" s="8"/>
      <c r="D23" s="155">
        <v>959457535.76999998</v>
      </c>
      <c r="E23" s="10"/>
      <c r="F23" s="15">
        <v>981665595.76999998</v>
      </c>
    </row>
    <row r="24" spans="1:9" ht="15.6" x14ac:dyDescent="0.3">
      <c r="A24" s="182" t="s">
        <v>171</v>
      </c>
      <c r="B24" s="8"/>
      <c r="C24" s="8"/>
      <c r="D24" s="139">
        <f>+SUM(D19:D23)</f>
        <v>1907658891.2879999</v>
      </c>
      <c r="E24" s="18"/>
      <c r="F24" s="80">
        <f>+SUM(F19:F23)</f>
        <v>1767524668.3179998</v>
      </c>
      <c r="H24" s="19"/>
      <c r="I24" s="19"/>
    </row>
    <row r="25" spans="1:9" ht="15.6" x14ac:dyDescent="0.3">
      <c r="A25" s="36" t="s">
        <v>62</v>
      </c>
      <c r="B25" s="8"/>
      <c r="C25" s="8"/>
      <c r="D25" s="156">
        <f>D17-D24</f>
        <v>237600433.26200032</v>
      </c>
      <c r="E25" s="18"/>
      <c r="F25" s="17">
        <f>F17-F24</f>
        <v>756148542.12199974</v>
      </c>
      <c r="H25" s="19"/>
      <c r="I25" s="19"/>
    </row>
    <row r="26" spans="1:9" ht="15.6" x14ac:dyDescent="0.3">
      <c r="A26" s="36"/>
      <c r="B26" s="8"/>
      <c r="C26" s="8"/>
      <c r="D26" s="140"/>
      <c r="E26" s="18"/>
      <c r="F26" s="18"/>
      <c r="H26" s="19"/>
      <c r="I26" s="19"/>
    </row>
    <row r="27" spans="1:9" ht="15.6" x14ac:dyDescent="0.3">
      <c r="A27" s="82" t="s">
        <v>63</v>
      </c>
      <c r="B27" s="8"/>
      <c r="C27" s="8"/>
      <c r="D27" s="116"/>
      <c r="E27" s="10"/>
      <c r="F27" s="9"/>
      <c r="H27" s="19"/>
      <c r="I27" s="19"/>
    </row>
    <row r="28" spans="1:9" ht="16.2" x14ac:dyDescent="0.3">
      <c r="A28" s="183" t="s">
        <v>64</v>
      </c>
      <c r="B28" s="8"/>
      <c r="C28" s="8"/>
      <c r="D28" s="116"/>
      <c r="E28" s="10"/>
      <c r="F28" s="9"/>
    </row>
    <row r="29" spans="1:9" ht="15.6" x14ac:dyDescent="0.3">
      <c r="A29" s="47" t="s">
        <v>172</v>
      </c>
      <c r="B29" s="8"/>
      <c r="C29" s="8"/>
      <c r="D29" s="154">
        <v>11519.46</v>
      </c>
      <c r="E29" s="10"/>
      <c r="F29" s="173">
        <v>0</v>
      </c>
    </row>
    <row r="30" spans="1:9" ht="15.6" x14ac:dyDescent="0.3">
      <c r="A30" s="182" t="s">
        <v>168</v>
      </c>
      <c r="B30" s="8"/>
      <c r="C30" s="8"/>
      <c r="D30" s="156">
        <f>+D29</f>
        <v>11519.46</v>
      </c>
      <c r="E30" s="18"/>
      <c r="F30" s="55">
        <f>+F29</f>
        <v>0</v>
      </c>
    </row>
    <row r="31" spans="1:9" ht="16.2" x14ac:dyDescent="0.3">
      <c r="A31" s="183" t="s">
        <v>58</v>
      </c>
      <c r="B31" s="8"/>
      <c r="C31" s="8"/>
      <c r="D31" s="116"/>
      <c r="E31" s="10"/>
      <c r="F31" s="9"/>
    </row>
    <row r="32" spans="1:9" ht="15.6" x14ac:dyDescent="0.3">
      <c r="A32" s="47" t="s">
        <v>65</v>
      </c>
      <c r="B32" s="8"/>
      <c r="C32" s="8"/>
      <c r="D32" s="154">
        <v>460803164.59999996</v>
      </c>
      <c r="E32" s="10"/>
      <c r="F32" s="15">
        <v>538127189.44000006</v>
      </c>
    </row>
    <row r="33" spans="1:6" ht="15.6" x14ac:dyDescent="0.3">
      <c r="A33" s="182" t="s">
        <v>171</v>
      </c>
      <c r="B33" s="8"/>
      <c r="C33" s="8"/>
      <c r="D33" s="156">
        <f>+D32</f>
        <v>460803164.59999996</v>
      </c>
      <c r="E33" s="18"/>
      <c r="F33" s="55">
        <f>+F32</f>
        <v>538127189.44000006</v>
      </c>
    </row>
    <row r="34" spans="1:6" ht="15.6" x14ac:dyDescent="0.3">
      <c r="A34" s="36" t="s">
        <v>66</v>
      </c>
      <c r="B34" s="8"/>
      <c r="C34" s="8"/>
      <c r="D34" s="181">
        <f>+D30-D33</f>
        <v>-460791645.13999999</v>
      </c>
      <c r="E34" s="140"/>
      <c r="F34" s="181">
        <f>+F30-F33</f>
        <v>-538127189.44000006</v>
      </c>
    </row>
    <row r="35" spans="1:6" ht="15.6" x14ac:dyDescent="0.3">
      <c r="A35" s="36"/>
      <c r="B35" s="8"/>
      <c r="C35" s="8"/>
      <c r="D35" s="141"/>
      <c r="E35" s="140"/>
      <c r="F35" s="141"/>
    </row>
    <row r="36" spans="1:6" ht="15.6" x14ac:dyDescent="0.3">
      <c r="A36" s="82" t="s">
        <v>67</v>
      </c>
      <c r="B36" s="8"/>
      <c r="C36" s="8"/>
      <c r="D36" s="116"/>
      <c r="E36" s="142"/>
      <c r="F36" s="116"/>
    </row>
    <row r="37" spans="1:6" ht="16.2" x14ac:dyDescent="0.3">
      <c r="A37" s="183" t="s">
        <v>57</v>
      </c>
      <c r="B37" s="8"/>
      <c r="C37" s="8"/>
      <c r="D37" s="116"/>
      <c r="E37" s="10"/>
      <c r="F37" s="9"/>
    </row>
    <row r="38" spans="1:6" ht="15.6" x14ac:dyDescent="0.3">
      <c r="A38" s="47" t="s">
        <v>68</v>
      </c>
      <c r="B38" s="8"/>
      <c r="C38" s="8"/>
      <c r="D38" s="116">
        <v>401068580.09000003</v>
      </c>
      <c r="E38" s="10"/>
      <c r="F38" s="9">
        <v>9564783</v>
      </c>
    </row>
    <row r="39" spans="1:6" ht="15.6" x14ac:dyDescent="0.3">
      <c r="A39" s="182" t="s">
        <v>168</v>
      </c>
      <c r="B39" s="8"/>
      <c r="C39" s="8"/>
      <c r="D39" s="156">
        <f>+D38</f>
        <v>401068580.09000003</v>
      </c>
      <c r="E39" s="10"/>
      <c r="F39" s="55">
        <f>+F38</f>
        <v>9564783</v>
      </c>
    </row>
    <row r="40" spans="1:6" ht="16.2" x14ac:dyDescent="0.3">
      <c r="A40" s="183" t="s">
        <v>58</v>
      </c>
      <c r="B40" s="8"/>
      <c r="C40" s="8"/>
      <c r="D40" s="116"/>
      <c r="E40" s="10"/>
      <c r="F40" s="9"/>
    </row>
    <row r="41" spans="1:6" ht="15.6" x14ac:dyDescent="0.3">
      <c r="A41" s="47" t="s">
        <v>69</v>
      </c>
      <c r="B41" s="8"/>
      <c r="C41" s="8"/>
      <c r="D41" s="155">
        <v>32681550.449999999</v>
      </c>
      <c r="E41" s="10"/>
      <c r="F41" s="15">
        <v>26694020.510000002</v>
      </c>
    </row>
    <row r="42" spans="1:6" ht="15.6" x14ac:dyDescent="0.3">
      <c r="A42" s="182" t="s">
        <v>171</v>
      </c>
      <c r="B42" s="8"/>
      <c r="C42" s="8"/>
      <c r="D42" s="156">
        <f>+D41</f>
        <v>32681550.449999999</v>
      </c>
      <c r="E42" s="10"/>
      <c r="F42" s="55">
        <f>+F41</f>
        <v>26694020.510000002</v>
      </c>
    </row>
    <row r="43" spans="1:6" ht="15.6" x14ac:dyDescent="0.3">
      <c r="A43" s="36" t="s">
        <v>173</v>
      </c>
      <c r="B43" s="8"/>
      <c r="C43" s="8"/>
      <c r="D43" s="55">
        <f>D39-D42</f>
        <v>368387029.64000005</v>
      </c>
      <c r="E43" s="18"/>
      <c r="F43" s="156">
        <f>F39-F42</f>
        <v>-17129237.510000002</v>
      </c>
    </row>
    <row r="44" spans="1:6" ht="15.6" x14ac:dyDescent="0.3">
      <c r="A44" s="36"/>
      <c r="B44" s="8"/>
      <c r="C44" s="8"/>
      <c r="D44" s="184"/>
      <c r="E44" s="18"/>
      <c r="F44" s="184"/>
    </row>
    <row r="45" spans="1:6" ht="15.6" x14ac:dyDescent="0.3">
      <c r="A45" s="201" t="s">
        <v>70</v>
      </c>
      <c r="B45" s="201"/>
      <c r="C45" s="5"/>
      <c r="D45" s="84"/>
      <c r="E45" s="85"/>
      <c r="F45" s="85"/>
    </row>
    <row r="46" spans="1:6" ht="15.6" x14ac:dyDescent="0.3">
      <c r="A46" s="201" t="s">
        <v>162</v>
      </c>
      <c r="B46" s="201"/>
      <c r="C46" s="5"/>
      <c r="D46" s="84">
        <f>D25+D34+D43</f>
        <v>145195817.76200038</v>
      </c>
      <c r="E46" s="84"/>
      <c r="F46" s="84">
        <f>F25+F34+F43</f>
        <v>200892115.17199969</v>
      </c>
    </row>
    <row r="47" spans="1:6" ht="16.2" x14ac:dyDescent="0.3">
      <c r="A47" s="77" t="s">
        <v>174</v>
      </c>
      <c r="B47" s="4"/>
      <c r="C47" s="4"/>
    </row>
    <row r="48" spans="1:6" ht="15.6" x14ac:dyDescent="0.3">
      <c r="A48" s="47" t="s">
        <v>175</v>
      </c>
      <c r="B48" s="4"/>
      <c r="C48" s="4"/>
      <c r="D48" s="192">
        <f>F49</f>
        <v>1355081258.0919995</v>
      </c>
      <c r="E48" s="49"/>
      <c r="F48" s="192">
        <v>1154189142.9199998</v>
      </c>
    </row>
    <row r="49" spans="1:10" ht="16.2" thickBot="1" x14ac:dyDescent="0.35">
      <c r="A49" s="36" t="s">
        <v>71</v>
      </c>
      <c r="B49" s="8">
        <v>4</v>
      </c>
      <c r="C49" s="8"/>
      <c r="D49" s="44">
        <f>SUM(D46:D48)</f>
        <v>1500277075.8539999</v>
      </c>
      <c r="E49" s="18"/>
      <c r="F49" s="44">
        <f>SUM(F46:F48)</f>
        <v>1355081258.0919995</v>
      </c>
      <c r="H49" s="11"/>
      <c r="I49" s="164"/>
      <c r="J49" t="s">
        <v>72</v>
      </c>
    </row>
    <row r="50" spans="1:10" ht="16.2" thickTop="1" x14ac:dyDescent="0.3">
      <c r="A50" s="45"/>
      <c r="B50" s="45"/>
      <c r="C50" s="45"/>
    </row>
    <row r="51" spans="1:10" ht="15.6" x14ac:dyDescent="0.3">
      <c r="A51" s="197" t="s">
        <v>35</v>
      </c>
      <c r="B51" s="197"/>
      <c r="C51" s="197"/>
      <c r="D51" s="197"/>
      <c r="E51" s="197"/>
      <c r="F51" s="197"/>
      <c r="H51" s="19"/>
      <c r="J51" s="19"/>
    </row>
    <row r="52" spans="1:10" x14ac:dyDescent="0.3">
      <c r="D52" s="71"/>
      <c r="E52" s="86"/>
      <c r="F52" s="71"/>
    </row>
    <row r="53" spans="1:10" ht="15.6" x14ac:dyDescent="0.3">
      <c r="D53" s="87"/>
      <c r="E53" s="88"/>
      <c r="F53" s="87"/>
    </row>
    <row r="54" spans="1:10" x14ac:dyDescent="0.3">
      <c r="D54" s="71"/>
      <c r="E54" s="86"/>
      <c r="F54" s="71"/>
    </row>
    <row r="55" spans="1:10" s="170" customFormat="1" x14ac:dyDescent="0.3">
      <c r="D55" s="171">
        <f>D49-SFPO!D12</f>
        <v>3.9999485015869141E-3</v>
      </c>
      <c r="E55" s="172"/>
      <c r="F55" s="171">
        <f>F49-SFPO!F12</f>
        <v>1.9996166229248047E-3</v>
      </c>
    </row>
    <row r="57" spans="1:10" x14ac:dyDescent="0.3">
      <c r="D57" s="89"/>
      <c r="E57" s="62"/>
      <c r="F57" s="89"/>
    </row>
    <row r="58" spans="1:10" x14ac:dyDescent="0.3">
      <c r="D58" s="89"/>
      <c r="E58" s="62"/>
      <c r="F58" s="89"/>
    </row>
    <row r="61" spans="1:10" x14ac:dyDescent="0.3">
      <c r="D61" s="89"/>
      <c r="E61" s="62"/>
      <c r="F61" s="89"/>
    </row>
  </sheetData>
  <sheetProtection algorithmName="SHA-512" hashValue="tEXUYaZ/iduHE1mktpKT3RPvX53AEJpZFkVJz8LA+53La8WemQdL3SoyT9ld2Pp4DPbkdFYNN7I+08cTPHn4rg==" saltValue="UDJ21K23Hx6vYJB1asaxkw==" spinCount="100000" sheet="1" objects="1" scenarios="1" selectLockedCells="1" selectUnlockedCells="1"/>
  <mergeCells count="10">
    <mergeCell ref="A7:F7"/>
    <mergeCell ref="A45:B45"/>
    <mergeCell ref="A46:B46"/>
    <mergeCell ref="A51:F51"/>
    <mergeCell ref="A1:F1"/>
    <mergeCell ref="A2:F2"/>
    <mergeCell ref="A3:F3"/>
    <mergeCell ref="A4:F4"/>
    <mergeCell ref="A5:F5"/>
    <mergeCell ref="A6:F6"/>
  </mergeCells>
  <pageMargins left="1.4960629921259843" right="0.98425196850393704" top="0.98425196850393704" bottom="0.98425196850393704" header="0.51181102362204722" footer="0.51181102362204722"/>
  <pageSetup scale="79" orientation="portrait" r:id="rId1"/>
  <headerFooter scaleWithDoc="0">
    <oddFooter>&amp;C&amp;"Times New Roman,Regular"&amp;12 9</oddFooter>
  </headerFooter>
  <rowBreaks count="1" manualBreakCount="1">
    <brk id="44" max="5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26"/>
  <sheetViews>
    <sheetView zoomScaleNormal="100" zoomScaleSheetLayoutView="70" workbookViewId="0">
      <selection sqref="A1:P1"/>
    </sheetView>
  </sheetViews>
  <sheetFormatPr defaultColWidth="9.109375" defaultRowHeight="13.8" x14ac:dyDescent="0.25"/>
  <cols>
    <col min="1" max="4" width="2.6640625" style="90" customWidth="1"/>
    <col min="5" max="5" width="39.6640625" style="90" customWidth="1"/>
    <col min="6" max="6" width="6.33203125" style="90" bestFit="1" customWidth="1"/>
    <col min="7" max="7" width="1.33203125" style="90" customWidth="1"/>
    <col min="8" max="8" width="20.109375" style="90" customWidth="1"/>
    <col min="9" max="9" width="1.33203125" style="90" customWidth="1"/>
    <col min="10" max="10" width="20.109375" style="90" customWidth="1"/>
    <col min="11" max="11" width="1.33203125" style="90" customWidth="1"/>
    <col min="12" max="12" width="20.109375" style="90" customWidth="1"/>
    <col min="13" max="13" width="1.33203125" style="90" customWidth="1"/>
    <col min="14" max="14" width="20.109375" style="90" customWidth="1"/>
    <col min="15" max="15" width="1.33203125" style="90" customWidth="1"/>
    <col min="16" max="16" width="64.21875" style="90" customWidth="1"/>
    <col min="17" max="17" width="3.44140625" style="90" customWidth="1"/>
    <col min="18" max="16384" width="9.109375" style="90"/>
  </cols>
  <sheetData>
    <row r="1" spans="1:16" ht="17.399999999999999" x14ac:dyDescent="0.25">
      <c r="A1" s="199" t="s">
        <v>73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 ht="17.399999999999999" x14ac:dyDescent="0.25">
      <c r="A2" s="199" t="s">
        <v>1</v>
      </c>
      <c r="B2" s="199"/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</row>
    <row r="3" spans="1:16" ht="17.399999999999999" x14ac:dyDescent="0.25">
      <c r="A3" s="199" t="s">
        <v>74</v>
      </c>
      <c r="B3" s="199"/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199"/>
      <c r="N3" s="199"/>
      <c r="O3" s="199"/>
      <c r="P3" s="199"/>
    </row>
    <row r="4" spans="1:16" ht="18" x14ac:dyDescent="0.25">
      <c r="A4" s="200" t="s">
        <v>147</v>
      </c>
      <c r="B4" s="200"/>
      <c r="C4" s="200"/>
      <c r="D4" s="200"/>
      <c r="E4" s="200"/>
      <c r="F4" s="200"/>
      <c r="G4" s="200"/>
      <c r="H4" s="200"/>
      <c r="I4" s="200"/>
      <c r="J4" s="200"/>
      <c r="K4" s="200"/>
      <c r="L4" s="200"/>
      <c r="M4" s="200"/>
      <c r="N4" s="200"/>
      <c r="O4" s="200"/>
      <c r="P4" s="200"/>
    </row>
    <row r="5" spans="1:16" ht="18" x14ac:dyDescent="0.25">
      <c r="A5" s="195" t="s">
        <v>4</v>
      </c>
      <c r="B5" s="195"/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</row>
    <row r="7" spans="1:16" ht="15.6" x14ac:dyDescent="0.3">
      <c r="A7" s="205" t="s">
        <v>75</v>
      </c>
      <c r="B7" s="205"/>
      <c r="C7" s="205"/>
      <c r="D7" s="205"/>
      <c r="E7" s="205"/>
      <c r="F7" s="205" t="s">
        <v>5</v>
      </c>
      <c r="G7" s="208" t="s">
        <v>76</v>
      </c>
      <c r="H7" s="208"/>
      <c r="I7" s="208"/>
      <c r="J7" s="208"/>
      <c r="K7" s="208" t="s">
        <v>77</v>
      </c>
      <c r="L7" s="208"/>
      <c r="M7" s="91"/>
      <c r="N7" s="169"/>
      <c r="O7" s="169"/>
      <c r="P7" s="169" t="s">
        <v>77</v>
      </c>
    </row>
    <row r="8" spans="1:16" ht="15.6" x14ac:dyDescent="0.3">
      <c r="A8" s="206"/>
      <c r="B8" s="206"/>
      <c r="C8" s="206"/>
      <c r="D8" s="206"/>
      <c r="E8" s="206"/>
      <c r="F8" s="206"/>
      <c r="G8" s="203" t="s">
        <v>78</v>
      </c>
      <c r="H8" s="203"/>
      <c r="I8" s="203"/>
      <c r="J8" s="203"/>
      <c r="K8" s="202" t="s">
        <v>79</v>
      </c>
      <c r="L8" s="202"/>
      <c r="M8" s="92"/>
      <c r="N8" s="167" t="s">
        <v>80</v>
      </c>
      <c r="O8" s="167"/>
      <c r="P8" s="167" t="s">
        <v>81</v>
      </c>
    </row>
    <row r="9" spans="1:16" ht="15.6" x14ac:dyDescent="0.3">
      <c r="A9" s="207"/>
      <c r="B9" s="207"/>
      <c r="C9" s="207"/>
      <c r="D9" s="207"/>
      <c r="E9" s="207"/>
      <c r="F9" s="207"/>
      <c r="G9" s="93"/>
      <c r="H9" s="168" t="s">
        <v>82</v>
      </c>
      <c r="I9" s="168"/>
      <c r="J9" s="168" t="s">
        <v>83</v>
      </c>
      <c r="K9" s="203" t="s">
        <v>81</v>
      </c>
      <c r="L9" s="203"/>
      <c r="M9" s="93"/>
      <c r="N9" s="168" t="s">
        <v>78</v>
      </c>
      <c r="O9" s="168"/>
      <c r="P9" s="168" t="s">
        <v>84</v>
      </c>
    </row>
    <row r="10" spans="1:16" ht="15.6" x14ac:dyDescent="0.3">
      <c r="A10" s="94"/>
      <c r="B10" s="94"/>
      <c r="C10" s="94"/>
      <c r="D10" s="94"/>
      <c r="E10" s="94"/>
      <c r="F10" s="162">
        <v>30</v>
      </c>
      <c r="G10" s="94"/>
      <c r="H10" s="94"/>
      <c r="I10" s="94"/>
      <c r="J10" s="94"/>
      <c r="K10" s="94"/>
      <c r="L10" s="94"/>
      <c r="M10" s="94"/>
      <c r="N10" s="94"/>
      <c r="O10" s="94"/>
      <c r="P10" s="94"/>
    </row>
    <row r="11" spans="1:16" ht="15.6" x14ac:dyDescent="0.3">
      <c r="A11" s="92" t="s">
        <v>85</v>
      </c>
      <c r="B11" s="94"/>
      <c r="C11" s="94"/>
      <c r="D11" s="2"/>
      <c r="E11" s="2"/>
      <c r="F11" s="2"/>
      <c r="G11" s="94"/>
      <c r="H11" s="94"/>
      <c r="I11" s="94"/>
      <c r="J11" s="94"/>
      <c r="K11" s="94"/>
      <c r="L11" s="94"/>
      <c r="M11" s="94"/>
      <c r="N11" s="94"/>
      <c r="O11" s="94"/>
      <c r="P11" s="95"/>
    </row>
    <row r="12" spans="1:16" ht="15.6" x14ac:dyDescent="0.3">
      <c r="A12" s="94"/>
      <c r="B12" s="94" t="s">
        <v>86</v>
      </c>
      <c r="C12" s="94"/>
      <c r="D12" s="94"/>
      <c r="E12" s="94"/>
      <c r="F12" s="94"/>
      <c r="G12" s="94"/>
      <c r="H12" s="94"/>
      <c r="I12" s="94"/>
      <c r="J12" s="94"/>
      <c r="K12" s="94"/>
      <c r="L12" s="94"/>
      <c r="M12" s="94"/>
      <c r="N12" s="94"/>
      <c r="O12" s="94"/>
      <c r="P12" s="95"/>
    </row>
    <row r="13" spans="1:16" ht="15.6" x14ac:dyDescent="0.3">
      <c r="A13" s="94"/>
      <c r="B13" s="94"/>
      <c r="C13" s="94" t="s">
        <v>87</v>
      </c>
      <c r="D13" s="94"/>
      <c r="E13" s="94"/>
      <c r="F13" s="94"/>
      <c r="G13" s="94"/>
      <c r="H13" s="96"/>
      <c r="I13" s="94"/>
      <c r="J13" s="94"/>
      <c r="K13" s="94"/>
      <c r="L13" s="94"/>
      <c r="M13" s="94"/>
      <c r="N13" s="94"/>
      <c r="O13" s="94"/>
      <c r="P13" s="95"/>
    </row>
    <row r="14" spans="1:16" ht="15.6" x14ac:dyDescent="0.3">
      <c r="A14" s="92"/>
      <c r="B14" s="92"/>
      <c r="C14" s="92"/>
      <c r="D14" s="94" t="s">
        <v>88</v>
      </c>
      <c r="E14" s="94"/>
      <c r="F14" s="94"/>
      <c r="G14" s="94"/>
      <c r="H14" s="159">
        <v>105650000</v>
      </c>
      <c r="I14" s="97"/>
      <c r="J14" s="159">
        <v>105650000</v>
      </c>
      <c r="K14" s="97"/>
      <c r="L14" s="98">
        <f>H14-J14</f>
        <v>0</v>
      </c>
      <c r="M14" s="97"/>
      <c r="N14" s="159">
        <v>117559822.89</v>
      </c>
      <c r="O14" s="97"/>
      <c r="P14" s="99">
        <f>J14-N14</f>
        <v>-11909822.890000001</v>
      </c>
    </row>
    <row r="15" spans="1:16" ht="15.6" x14ac:dyDescent="0.3">
      <c r="A15" s="92"/>
      <c r="B15" s="92"/>
      <c r="C15" s="92"/>
      <c r="D15" s="94" t="s">
        <v>89</v>
      </c>
      <c r="E15" s="94"/>
      <c r="F15" s="94"/>
      <c r="G15" s="94"/>
      <c r="H15" s="159">
        <v>167912000</v>
      </c>
      <c r="I15" s="97"/>
      <c r="J15" s="159">
        <v>167912000</v>
      </c>
      <c r="K15" s="97"/>
      <c r="L15" s="98">
        <f>H15-J15</f>
        <v>0</v>
      </c>
      <c r="M15" s="97"/>
      <c r="N15" s="159">
        <v>193138220.41</v>
      </c>
      <c r="O15" s="97"/>
      <c r="P15" s="99">
        <f>J15-N15</f>
        <v>-25226220.409999996</v>
      </c>
    </row>
    <row r="16" spans="1:16" ht="15.6" x14ac:dyDescent="0.3">
      <c r="A16" s="92"/>
      <c r="B16" s="92"/>
      <c r="C16" s="92"/>
      <c r="D16" s="94" t="s">
        <v>90</v>
      </c>
      <c r="E16" s="94"/>
      <c r="F16" s="94"/>
      <c r="G16" s="94"/>
      <c r="H16" s="160"/>
      <c r="I16" s="100"/>
      <c r="J16" s="160"/>
      <c r="K16" s="101"/>
      <c r="L16" s="102">
        <f>H16-J16</f>
        <v>0</v>
      </c>
      <c r="M16" s="101"/>
      <c r="N16" s="160">
        <v>10252040.630000001</v>
      </c>
      <c r="O16" s="100"/>
      <c r="P16" s="103">
        <f>J16-N16</f>
        <v>-10252040.630000001</v>
      </c>
    </row>
    <row r="17" spans="1:16" ht="15.6" x14ac:dyDescent="0.3">
      <c r="A17" s="92"/>
      <c r="B17" s="92"/>
      <c r="C17" s="94" t="s">
        <v>91</v>
      </c>
      <c r="D17" s="94"/>
      <c r="E17" s="94"/>
      <c r="F17" s="94"/>
      <c r="G17" s="94"/>
      <c r="H17" s="104">
        <f>SUM(H14:H16)</f>
        <v>273562000</v>
      </c>
      <c r="I17" s="105"/>
      <c r="J17" s="106">
        <f>SUM(J14:J16)</f>
        <v>273562000</v>
      </c>
      <c r="K17" s="107"/>
      <c r="L17" s="106">
        <f>SUM(L14:L16)</f>
        <v>0</v>
      </c>
      <c r="M17" s="107"/>
      <c r="N17" s="108">
        <f>SUM(N14:N16)</f>
        <v>320950083.93000001</v>
      </c>
      <c r="O17" s="105"/>
      <c r="P17" s="109">
        <f>SUM(P14:P16)</f>
        <v>-47388083.93</v>
      </c>
    </row>
    <row r="18" spans="1:16" ht="15.6" x14ac:dyDescent="0.3">
      <c r="A18" s="92"/>
      <c r="B18" s="92"/>
      <c r="C18" s="94" t="s">
        <v>92</v>
      </c>
      <c r="D18" s="94"/>
      <c r="E18" s="94"/>
      <c r="F18" s="94"/>
      <c r="G18" s="94"/>
      <c r="H18" s="97"/>
      <c r="I18" s="97"/>
      <c r="J18" s="161"/>
      <c r="K18" s="161"/>
      <c r="L18" s="161"/>
      <c r="M18" s="161"/>
      <c r="N18" s="161"/>
      <c r="O18" s="97"/>
      <c r="P18" s="97"/>
    </row>
    <row r="19" spans="1:16" ht="15.6" x14ac:dyDescent="0.3">
      <c r="A19" s="92"/>
      <c r="B19" s="92"/>
      <c r="C19" s="92"/>
      <c r="D19" s="94" t="s">
        <v>93</v>
      </c>
      <c r="E19" s="94"/>
      <c r="F19" s="94"/>
      <c r="G19" s="94"/>
      <c r="H19" s="159">
        <v>50867175</v>
      </c>
      <c r="I19" s="97"/>
      <c r="J19" s="159">
        <v>51462805</v>
      </c>
      <c r="K19" s="161"/>
      <c r="L19" s="110">
        <f>H19-J19</f>
        <v>-595630</v>
      </c>
      <c r="M19" s="161"/>
      <c r="N19" s="159">
        <v>53643786.969999999</v>
      </c>
      <c r="O19" s="97"/>
      <c r="P19" s="99">
        <f>J19-N19</f>
        <v>-2180981.9699999988</v>
      </c>
    </row>
    <row r="20" spans="1:16" ht="15.6" x14ac:dyDescent="0.3">
      <c r="A20" s="92"/>
      <c r="B20" s="92"/>
      <c r="C20" s="92"/>
      <c r="D20" s="94" t="s">
        <v>94</v>
      </c>
      <c r="E20" s="94"/>
      <c r="F20" s="94"/>
      <c r="G20" s="94"/>
      <c r="H20" s="159">
        <v>89839352.5</v>
      </c>
      <c r="I20" s="97"/>
      <c r="J20" s="159">
        <v>90089352.5</v>
      </c>
      <c r="K20" s="161"/>
      <c r="L20" s="110">
        <f>H20-J20</f>
        <v>-250000</v>
      </c>
      <c r="M20" s="161"/>
      <c r="N20" s="159">
        <v>86239968.709999993</v>
      </c>
      <c r="O20" s="97"/>
      <c r="P20" s="99">
        <f>J20-N20</f>
        <v>3849383.7900000066</v>
      </c>
    </row>
    <row r="21" spans="1:16" ht="15.6" x14ac:dyDescent="0.3">
      <c r="A21" s="92"/>
      <c r="B21" s="92"/>
      <c r="C21" s="92"/>
      <c r="D21" s="94" t="s">
        <v>95</v>
      </c>
      <c r="E21" s="94"/>
      <c r="F21" s="94"/>
      <c r="G21" s="94"/>
      <c r="H21" s="160">
        <v>436442772.85000002</v>
      </c>
      <c r="I21" s="100"/>
      <c r="J21" s="160">
        <v>586742850.16999996</v>
      </c>
      <c r="K21" s="101"/>
      <c r="L21" s="102">
        <f>H21-J21</f>
        <v>-150300077.31999993</v>
      </c>
      <c r="M21" s="101"/>
      <c r="N21" s="160">
        <v>587523506.71000004</v>
      </c>
      <c r="O21" s="100"/>
      <c r="P21" s="103">
        <f>J21-N21</f>
        <v>-780656.54000008106</v>
      </c>
    </row>
    <row r="22" spans="1:16" ht="15.6" x14ac:dyDescent="0.3">
      <c r="A22" s="92"/>
      <c r="B22" s="92"/>
      <c r="C22" s="94" t="s">
        <v>96</v>
      </c>
      <c r="D22" s="94"/>
      <c r="E22" s="94"/>
      <c r="F22" s="94"/>
      <c r="G22" s="94"/>
      <c r="H22" s="104">
        <f>SUM(H19:H21)</f>
        <v>577149300.35000002</v>
      </c>
      <c r="I22" s="105"/>
      <c r="J22" s="108">
        <f>SUM(J19:J21)</f>
        <v>728295007.66999996</v>
      </c>
      <c r="K22" s="107"/>
      <c r="L22" s="106">
        <f>SUM(L19:L21)</f>
        <v>-151145707.31999993</v>
      </c>
      <c r="M22" s="107"/>
      <c r="N22" s="108">
        <f>SUM(N19:N21)</f>
        <v>727407262.3900001</v>
      </c>
      <c r="O22" s="105"/>
      <c r="P22" s="109">
        <f>SUM(P19:P21)</f>
        <v>887745.27999992669</v>
      </c>
    </row>
    <row r="23" spans="1:16" ht="15.6" x14ac:dyDescent="0.3">
      <c r="A23" s="92"/>
      <c r="B23" s="94" t="s">
        <v>97</v>
      </c>
      <c r="C23" s="92"/>
      <c r="D23" s="94"/>
      <c r="E23" s="94"/>
      <c r="F23" s="94"/>
      <c r="G23" s="94"/>
      <c r="H23" s="97"/>
      <c r="I23" s="97"/>
      <c r="J23" s="161"/>
      <c r="K23" s="161"/>
      <c r="L23" s="161"/>
      <c r="M23" s="161"/>
      <c r="N23" s="161"/>
      <c r="O23" s="97"/>
      <c r="P23" s="97"/>
    </row>
    <row r="24" spans="1:16" ht="15.6" x14ac:dyDescent="0.3">
      <c r="A24" s="92"/>
      <c r="B24" s="92"/>
      <c r="C24" s="94" t="s">
        <v>176</v>
      </c>
      <c r="D24" s="94"/>
      <c r="E24" s="94"/>
      <c r="F24" s="94"/>
      <c r="G24" s="94"/>
      <c r="H24" s="111">
        <v>889216030</v>
      </c>
      <c r="I24" s="97"/>
      <c r="J24" s="111">
        <v>1248221550</v>
      </c>
      <c r="K24" s="161"/>
      <c r="L24" s="112">
        <f>H24-J24</f>
        <v>-359005520</v>
      </c>
      <c r="M24" s="161"/>
      <c r="N24" s="113">
        <v>1248221550</v>
      </c>
      <c r="O24" s="97"/>
      <c r="P24" s="99">
        <f>J24-N24</f>
        <v>0</v>
      </c>
    </row>
    <row r="25" spans="1:16" ht="15.6" x14ac:dyDescent="0.3">
      <c r="A25" s="92"/>
      <c r="B25" s="92"/>
      <c r="C25" s="94" t="s">
        <v>98</v>
      </c>
      <c r="D25" s="94"/>
      <c r="E25" s="94"/>
      <c r="F25" s="94"/>
      <c r="G25" s="94"/>
      <c r="H25" s="111"/>
      <c r="I25" s="97"/>
      <c r="J25" s="111"/>
      <c r="K25" s="161"/>
      <c r="L25" s="112"/>
      <c r="M25" s="161"/>
      <c r="N25" s="113"/>
      <c r="O25" s="97"/>
      <c r="P25" s="99"/>
    </row>
    <row r="26" spans="1:16" ht="15.6" x14ac:dyDescent="0.3">
      <c r="A26" s="92"/>
      <c r="B26" s="92"/>
      <c r="C26" s="94"/>
      <c r="D26" s="94" t="s">
        <v>99</v>
      </c>
      <c r="E26" s="94"/>
      <c r="F26" s="94"/>
      <c r="G26" s="94"/>
      <c r="H26" s="113">
        <v>1000000</v>
      </c>
      <c r="I26" s="97"/>
      <c r="J26" s="113">
        <v>1000000</v>
      </c>
      <c r="K26" s="161"/>
      <c r="L26" s="161">
        <f>H26-J26</f>
        <v>0</v>
      </c>
      <c r="M26" s="161"/>
      <c r="N26" s="113">
        <v>1523631.25</v>
      </c>
      <c r="O26" s="97"/>
      <c r="P26" s="99">
        <f>J26-N26</f>
        <v>-523631.25</v>
      </c>
    </row>
    <row r="27" spans="1:16" ht="15.6" x14ac:dyDescent="0.3">
      <c r="A27" s="92"/>
      <c r="B27" s="92"/>
      <c r="C27" s="94" t="s">
        <v>100</v>
      </c>
      <c r="D27" s="94"/>
      <c r="E27" s="94"/>
      <c r="F27" s="94"/>
      <c r="G27" s="114"/>
      <c r="H27" s="97"/>
      <c r="I27" s="97"/>
      <c r="J27" s="97"/>
      <c r="K27" s="161"/>
      <c r="L27" s="161"/>
      <c r="M27" s="161"/>
      <c r="N27" s="97"/>
      <c r="O27" s="97"/>
      <c r="P27" s="97"/>
    </row>
    <row r="28" spans="1:16" ht="15.6" x14ac:dyDescent="0.3">
      <c r="A28" s="92"/>
      <c r="B28" s="92"/>
      <c r="C28" s="94"/>
      <c r="D28" s="94" t="s">
        <v>101</v>
      </c>
      <c r="E28" s="94"/>
      <c r="F28" s="94"/>
      <c r="G28" s="114"/>
      <c r="H28" s="161"/>
      <c r="I28" s="97"/>
      <c r="J28" s="161"/>
      <c r="K28" s="161"/>
      <c r="L28" s="161">
        <v>0</v>
      </c>
      <c r="M28" s="161"/>
      <c r="N28" s="161"/>
      <c r="O28" s="97"/>
      <c r="P28" s="99">
        <f>J28-N28</f>
        <v>0</v>
      </c>
    </row>
    <row r="29" spans="1:16" ht="15.6" x14ac:dyDescent="0.3">
      <c r="A29" s="94"/>
      <c r="B29" s="94"/>
      <c r="C29" s="94"/>
      <c r="D29" s="94" t="s">
        <v>102</v>
      </c>
      <c r="E29" s="94"/>
      <c r="F29" s="94"/>
      <c r="G29" s="94"/>
      <c r="H29" s="98"/>
      <c r="I29" s="97"/>
      <c r="J29" s="98"/>
      <c r="K29" s="161"/>
      <c r="L29" s="110">
        <f>H29-J29</f>
        <v>0</v>
      </c>
      <c r="M29" s="161"/>
      <c r="N29" s="99"/>
      <c r="O29" s="97"/>
      <c r="P29" s="99">
        <f>J29-N29</f>
        <v>0</v>
      </c>
    </row>
    <row r="30" spans="1:16" ht="15.6" x14ac:dyDescent="0.3">
      <c r="A30" s="94"/>
      <c r="B30" s="94"/>
      <c r="C30" s="94" t="s">
        <v>142</v>
      </c>
      <c r="D30" s="94"/>
      <c r="E30" s="94"/>
      <c r="F30" s="94"/>
      <c r="G30" s="114"/>
      <c r="H30" s="97"/>
      <c r="I30" s="97"/>
      <c r="J30" s="161"/>
      <c r="K30" s="161"/>
      <c r="L30" s="161"/>
      <c r="M30" s="161"/>
      <c r="N30" s="161"/>
      <c r="O30" s="97"/>
      <c r="P30" s="99"/>
    </row>
    <row r="31" spans="1:16" ht="15.6" x14ac:dyDescent="0.3">
      <c r="A31" s="94"/>
      <c r="B31" s="94"/>
      <c r="C31" s="94"/>
      <c r="D31" s="94" t="s">
        <v>103</v>
      </c>
      <c r="E31" s="94"/>
      <c r="F31" s="94"/>
      <c r="G31" s="94"/>
      <c r="H31" s="98"/>
      <c r="I31" s="97"/>
      <c r="J31" s="98"/>
      <c r="K31" s="161"/>
      <c r="L31" s="110">
        <f>H31-J31</f>
        <v>0</v>
      </c>
      <c r="M31" s="161"/>
      <c r="N31" s="99"/>
      <c r="O31" s="97"/>
      <c r="P31" s="99">
        <f>J31-N31</f>
        <v>0</v>
      </c>
    </row>
    <row r="32" spans="1:16" ht="15.6" x14ac:dyDescent="0.3">
      <c r="A32" s="94"/>
      <c r="B32" s="94"/>
      <c r="C32" s="94"/>
      <c r="D32" s="94" t="s">
        <v>104</v>
      </c>
      <c r="E32" s="94"/>
      <c r="F32" s="94"/>
      <c r="G32" s="94"/>
      <c r="H32" s="98">
        <v>2800000</v>
      </c>
      <c r="I32" s="97"/>
      <c r="J32" s="98">
        <v>10612957.539999999</v>
      </c>
      <c r="K32" s="161"/>
      <c r="L32" s="110">
        <f>H32-J32</f>
        <v>-7812957.5399999991</v>
      </c>
      <c r="M32" s="161"/>
      <c r="N32" s="99">
        <v>10612957.539999999</v>
      </c>
      <c r="O32" s="97"/>
      <c r="P32" s="99">
        <f>J32-N32</f>
        <v>0</v>
      </c>
    </row>
    <row r="33" spans="1:16" ht="15.6" x14ac:dyDescent="0.3">
      <c r="A33" s="94"/>
      <c r="B33" s="94"/>
      <c r="C33" s="94" t="s">
        <v>143</v>
      </c>
      <c r="D33" s="94"/>
      <c r="E33" s="94"/>
      <c r="F33" s="94"/>
      <c r="G33" s="94"/>
      <c r="H33" s="161"/>
      <c r="I33" s="97"/>
      <c r="J33" s="161"/>
      <c r="K33" s="161"/>
      <c r="L33" s="110">
        <f>H33-J33</f>
        <v>0</v>
      </c>
      <c r="M33" s="161"/>
      <c r="N33" s="161"/>
      <c r="O33" s="97"/>
      <c r="P33" s="99">
        <f>J33-N33</f>
        <v>0</v>
      </c>
    </row>
    <row r="34" spans="1:16" ht="15.6" x14ac:dyDescent="0.3">
      <c r="A34" s="94"/>
      <c r="B34" s="94"/>
      <c r="C34" s="94" t="s">
        <v>144</v>
      </c>
      <c r="D34" s="94"/>
      <c r="E34" s="94"/>
      <c r="F34" s="94"/>
      <c r="G34" s="114"/>
      <c r="H34" s="97"/>
      <c r="I34" s="97"/>
      <c r="J34" s="97"/>
      <c r="K34" s="161"/>
      <c r="L34" s="161"/>
      <c r="M34" s="161"/>
      <c r="N34" s="97"/>
      <c r="O34" s="97"/>
      <c r="P34" s="99"/>
    </row>
    <row r="35" spans="1:16" ht="15.6" x14ac:dyDescent="0.3">
      <c r="A35" s="94"/>
      <c r="B35" s="94"/>
      <c r="C35" s="94"/>
      <c r="D35" s="94" t="s">
        <v>105</v>
      </c>
      <c r="E35" s="94"/>
      <c r="F35" s="94"/>
      <c r="G35" s="94"/>
      <c r="H35" s="98"/>
      <c r="I35" s="97"/>
      <c r="J35" s="98"/>
      <c r="K35" s="161"/>
      <c r="L35" s="110">
        <f>H35-J35</f>
        <v>0</v>
      </c>
      <c r="M35" s="161"/>
      <c r="N35" s="99"/>
      <c r="O35" s="97"/>
      <c r="P35" s="99">
        <f t="shared" ref="P35:P38" si="0">J35-N35</f>
        <v>0</v>
      </c>
    </row>
    <row r="36" spans="1:16" ht="15.6" x14ac:dyDescent="0.3">
      <c r="A36" s="94"/>
      <c r="B36" s="94"/>
      <c r="C36" s="94"/>
      <c r="D36" s="94" t="s">
        <v>106</v>
      </c>
      <c r="E36" s="94"/>
      <c r="F36" s="94"/>
      <c r="G36" s="94"/>
      <c r="H36" s="98"/>
      <c r="I36" s="97"/>
      <c r="J36" s="98"/>
      <c r="K36" s="161"/>
      <c r="L36" s="110">
        <f>H36-J36</f>
        <v>0</v>
      </c>
      <c r="M36" s="161"/>
      <c r="N36" s="99"/>
      <c r="O36" s="97"/>
      <c r="P36" s="99">
        <f t="shared" si="0"/>
        <v>0</v>
      </c>
    </row>
    <row r="37" spans="1:16" ht="15.6" x14ac:dyDescent="0.3">
      <c r="A37" s="94"/>
      <c r="B37" s="94"/>
      <c r="C37" s="94"/>
      <c r="D37" s="94" t="s">
        <v>107</v>
      </c>
      <c r="E37" s="94"/>
      <c r="F37" s="94"/>
      <c r="G37" s="94"/>
      <c r="H37" s="98"/>
      <c r="I37" s="97"/>
      <c r="J37" s="98"/>
      <c r="K37" s="161"/>
      <c r="L37" s="110">
        <f>H37-J37</f>
        <v>0</v>
      </c>
      <c r="M37" s="161"/>
      <c r="N37" s="99"/>
      <c r="O37" s="97"/>
      <c r="P37" s="99">
        <f t="shared" si="0"/>
        <v>0</v>
      </c>
    </row>
    <row r="38" spans="1:16" ht="15.6" x14ac:dyDescent="0.3">
      <c r="A38" s="94"/>
      <c r="B38" s="94" t="s">
        <v>108</v>
      </c>
      <c r="C38" s="94"/>
      <c r="D38" s="94"/>
      <c r="E38" s="94"/>
      <c r="F38" s="94"/>
      <c r="G38" s="94"/>
      <c r="H38" s="161">
        <v>393480157.12</v>
      </c>
      <c r="I38" s="97"/>
      <c r="J38" s="161">
        <v>393480157.12</v>
      </c>
      <c r="K38" s="161"/>
      <c r="L38" s="110">
        <f>H38-J38</f>
        <v>0</v>
      </c>
      <c r="M38" s="161"/>
      <c r="N38" s="161">
        <v>393480157.12</v>
      </c>
      <c r="O38" s="97"/>
      <c r="P38" s="99">
        <f t="shared" si="0"/>
        <v>0</v>
      </c>
    </row>
    <row r="39" spans="1:16" ht="15.6" x14ac:dyDescent="0.3">
      <c r="A39" s="92" t="s">
        <v>109</v>
      </c>
      <c r="B39" s="94"/>
      <c r="C39" s="94"/>
      <c r="D39" s="94"/>
      <c r="E39" s="94"/>
      <c r="F39" s="94"/>
      <c r="G39" s="94"/>
      <c r="H39" s="190">
        <f>H17+H22+H24+H26+H28+H29+H38+H33+H32</f>
        <v>2137207487.4699998</v>
      </c>
      <c r="I39" s="122"/>
      <c r="J39" s="190">
        <f>J17+J22+J24+J26+J28+J29+J38+J33+J32</f>
        <v>2655171672.3299999</v>
      </c>
      <c r="K39" s="191"/>
      <c r="L39" s="190">
        <f>L17+L22+L24+L26+L28+L29+L38+L33+L32</f>
        <v>-517964184.85999995</v>
      </c>
      <c r="M39" s="191"/>
      <c r="N39" s="190">
        <f>N17+N22+N24+N26+N28+N29+N38+N33+N32</f>
        <v>2702195642.23</v>
      </c>
      <c r="O39" s="123"/>
      <c r="P39" s="190">
        <f>P17+P22+P24+P26+P28+P29+P38+P33+P32</f>
        <v>-47023969.900000073</v>
      </c>
    </row>
    <row r="40" spans="1:16" ht="15.6" x14ac:dyDescent="0.3">
      <c r="A40" s="92"/>
      <c r="B40" s="94"/>
      <c r="C40" s="94"/>
      <c r="D40" s="94"/>
      <c r="E40" s="94"/>
      <c r="F40" s="94"/>
      <c r="G40" s="94"/>
      <c r="H40" s="185"/>
      <c r="I40" s="186"/>
      <c r="J40" s="185"/>
      <c r="K40" s="187"/>
      <c r="L40" s="185"/>
      <c r="M40" s="187"/>
      <c r="N40" s="185"/>
      <c r="O40" s="188"/>
      <c r="P40" s="185"/>
    </row>
    <row r="41" spans="1:16" ht="15.6" x14ac:dyDescent="0.3">
      <c r="A41" s="92" t="s">
        <v>110</v>
      </c>
      <c r="B41" s="94"/>
      <c r="C41" s="94"/>
      <c r="D41" s="94"/>
      <c r="E41" s="94"/>
      <c r="F41" s="94"/>
      <c r="G41" s="94"/>
      <c r="H41" s="97"/>
      <c r="I41" s="97"/>
      <c r="J41" s="161"/>
      <c r="K41" s="161"/>
      <c r="L41" s="161"/>
      <c r="M41" s="161"/>
      <c r="N41" s="161"/>
      <c r="O41" s="97"/>
      <c r="P41" s="97"/>
    </row>
    <row r="42" spans="1:16" ht="15.6" x14ac:dyDescent="0.3">
      <c r="A42" s="92" t="s">
        <v>111</v>
      </c>
      <c r="B42" s="94"/>
      <c r="C42" s="94"/>
      <c r="D42" s="94"/>
      <c r="E42" s="94"/>
      <c r="F42" s="94"/>
      <c r="G42" s="94"/>
      <c r="H42" s="97"/>
      <c r="I42" s="97"/>
      <c r="J42" s="161"/>
      <c r="K42" s="161"/>
      <c r="L42" s="161"/>
      <c r="M42" s="161"/>
      <c r="N42" s="161"/>
      <c r="O42" s="97"/>
      <c r="P42" s="97"/>
    </row>
    <row r="43" spans="1:16" ht="15.6" x14ac:dyDescent="0.3">
      <c r="A43" s="94"/>
      <c r="B43" s="92" t="s">
        <v>112</v>
      </c>
      <c r="C43" s="94"/>
      <c r="D43" s="94"/>
      <c r="E43" s="94"/>
      <c r="F43" s="94"/>
      <c r="G43" s="94"/>
      <c r="H43" s="97"/>
      <c r="I43" s="97"/>
      <c r="J43" s="161"/>
      <c r="K43" s="161"/>
      <c r="L43" s="161"/>
      <c r="M43" s="161"/>
      <c r="N43" s="161"/>
      <c r="O43" s="97"/>
      <c r="P43" s="97"/>
    </row>
    <row r="44" spans="1:16" ht="15.6" x14ac:dyDescent="0.3">
      <c r="A44" s="94"/>
      <c r="B44" s="92"/>
      <c r="C44" s="94" t="s">
        <v>113</v>
      </c>
      <c r="D44" s="94"/>
      <c r="E44" s="94"/>
      <c r="F44" s="94"/>
      <c r="G44" s="94"/>
      <c r="H44" s="159">
        <v>305589107.97000003</v>
      </c>
      <c r="I44" s="98"/>
      <c r="J44" s="159">
        <v>287623368.13</v>
      </c>
      <c r="K44" s="161"/>
      <c r="L44" s="115">
        <v>17965739.84</v>
      </c>
      <c r="M44" s="161"/>
      <c r="N44" s="159">
        <v>245918410.31</v>
      </c>
      <c r="O44" s="97"/>
      <c r="P44" s="99">
        <f>J44-N44</f>
        <v>41704957.819999993</v>
      </c>
    </row>
    <row r="45" spans="1:16" ht="15.6" x14ac:dyDescent="0.3">
      <c r="A45" s="94"/>
      <c r="B45" s="92"/>
      <c r="C45" s="94" t="s">
        <v>114</v>
      </c>
      <c r="D45" s="94"/>
      <c r="E45" s="94"/>
      <c r="F45" s="94"/>
      <c r="G45" s="94"/>
      <c r="H45" s="159">
        <v>238957148.87</v>
      </c>
      <c r="I45" s="98"/>
      <c r="J45" s="159">
        <v>309638699.31999999</v>
      </c>
      <c r="K45" s="161"/>
      <c r="L45" s="115">
        <v>-70681550.450000003</v>
      </c>
      <c r="M45" s="161"/>
      <c r="N45" s="159">
        <v>276370279.31</v>
      </c>
      <c r="O45" s="97"/>
      <c r="P45" s="99">
        <f>J45-N45</f>
        <v>33268420.00999999</v>
      </c>
    </row>
    <row r="46" spans="1:16" ht="15.6" x14ac:dyDescent="0.3">
      <c r="A46" s="94"/>
      <c r="B46" s="92"/>
      <c r="C46" s="94" t="s">
        <v>115</v>
      </c>
      <c r="D46" s="94"/>
      <c r="E46" s="94"/>
      <c r="F46" s="94"/>
      <c r="G46" s="94"/>
      <c r="H46" s="159">
        <v>3380000</v>
      </c>
      <c r="I46" s="98"/>
      <c r="J46" s="159">
        <v>13381128</v>
      </c>
      <c r="K46" s="161"/>
      <c r="L46" s="115">
        <v>-10001128</v>
      </c>
      <c r="M46" s="161"/>
      <c r="N46" s="159">
        <v>7890975.5999999996</v>
      </c>
      <c r="O46" s="97"/>
      <c r="P46" s="99">
        <f>J46-N46</f>
        <v>5490152.4000000004</v>
      </c>
    </row>
    <row r="47" spans="1:16" ht="15.6" x14ac:dyDescent="0.3">
      <c r="A47" s="94"/>
      <c r="B47" s="92" t="s">
        <v>116</v>
      </c>
      <c r="C47" s="92"/>
      <c r="D47" s="94"/>
      <c r="E47" s="94"/>
      <c r="F47" s="94"/>
      <c r="G47" s="94"/>
      <c r="H47" s="98"/>
      <c r="I47" s="98"/>
      <c r="J47" s="98"/>
      <c r="K47" s="161"/>
      <c r="L47" s="161"/>
      <c r="M47" s="161"/>
      <c r="N47" s="98"/>
      <c r="O47" s="97"/>
      <c r="P47" s="97"/>
    </row>
    <row r="48" spans="1:16" ht="15.6" x14ac:dyDescent="0.3">
      <c r="A48" s="94"/>
      <c r="B48" s="94"/>
      <c r="C48" s="94" t="s">
        <v>113</v>
      </c>
      <c r="D48" s="94"/>
      <c r="E48" s="94"/>
      <c r="F48" s="94"/>
      <c r="G48" s="94"/>
      <c r="H48" s="159">
        <v>11460000</v>
      </c>
      <c r="I48" s="98"/>
      <c r="J48" s="159">
        <v>12150000</v>
      </c>
      <c r="K48" s="161"/>
      <c r="L48" s="115">
        <v>-690000</v>
      </c>
      <c r="M48" s="161"/>
      <c r="N48" s="159">
        <v>11563059.76</v>
      </c>
      <c r="O48" s="97"/>
      <c r="P48" s="99">
        <f>J48-N48</f>
        <v>586940.24000000022</v>
      </c>
    </row>
    <row r="49" spans="1:16" ht="15.6" x14ac:dyDescent="0.3">
      <c r="A49" s="94"/>
      <c r="B49" s="94"/>
      <c r="C49" s="94" t="s">
        <v>114</v>
      </c>
      <c r="D49" s="94"/>
      <c r="E49" s="94"/>
      <c r="F49" s="94"/>
      <c r="G49" s="94"/>
      <c r="H49" s="159">
        <v>4910000</v>
      </c>
      <c r="I49" s="98"/>
      <c r="J49" s="159">
        <v>10385763.539999999</v>
      </c>
      <c r="K49" s="97"/>
      <c r="L49" s="99">
        <v>-5475763.54</v>
      </c>
      <c r="M49" s="97"/>
      <c r="N49" s="159">
        <v>6996422.7999999998</v>
      </c>
      <c r="O49" s="97"/>
      <c r="P49" s="99">
        <f>J49-N49</f>
        <v>3389340.7399999993</v>
      </c>
    </row>
    <row r="50" spans="1:16" ht="15.6" x14ac:dyDescent="0.3">
      <c r="A50" s="94"/>
      <c r="B50" s="94"/>
      <c r="C50" s="94" t="s">
        <v>115</v>
      </c>
      <c r="D50" s="94"/>
      <c r="E50" s="94"/>
      <c r="F50" s="94"/>
      <c r="G50" s="94"/>
      <c r="H50" s="159">
        <v>41100000</v>
      </c>
      <c r="I50" s="98"/>
      <c r="J50" s="159">
        <v>50251720.890000001</v>
      </c>
      <c r="K50" s="97"/>
      <c r="L50" s="99">
        <v>-9151720.8900000006</v>
      </c>
      <c r="M50" s="97"/>
      <c r="N50" s="159">
        <v>24348632.73</v>
      </c>
      <c r="O50" s="97"/>
      <c r="P50" s="99">
        <f>J50-N50</f>
        <v>25903088.16</v>
      </c>
    </row>
    <row r="51" spans="1:16" ht="15.6" x14ac:dyDescent="0.3">
      <c r="A51" s="94"/>
      <c r="B51" s="92" t="s">
        <v>117</v>
      </c>
      <c r="C51" s="94"/>
      <c r="D51" s="94"/>
      <c r="E51" s="94"/>
      <c r="F51" s="94"/>
      <c r="G51" s="94"/>
      <c r="H51" s="98"/>
      <c r="I51" s="98"/>
      <c r="J51" s="98"/>
      <c r="K51" s="97"/>
      <c r="L51" s="97"/>
      <c r="M51" s="97"/>
      <c r="N51" s="98"/>
      <c r="O51" s="97"/>
      <c r="P51" s="97"/>
    </row>
    <row r="52" spans="1:16" ht="15.6" x14ac:dyDescent="0.3">
      <c r="A52" s="94"/>
      <c r="B52" s="94"/>
      <c r="C52" s="94" t="s">
        <v>113</v>
      </c>
      <c r="D52" s="94"/>
      <c r="E52" s="94"/>
      <c r="F52" s="94"/>
      <c r="G52" s="94"/>
      <c r="H52" s="159">
        <v>61817706.119999997</v>
      </c>
      <c r="I52" s="98"/>
      <c r="J52" s="159">
        <v>63620004.640000001</v>
      </c>
      <c r="K52" s="97"/>
      <c r="L52" s="99">
        <v>-1802298.52</v>
      </c>
      <c r="M52" s="97"/>
      <c r="N52" s="159">
        <v>55290153.140000001</v>
      </c>
      <c r="O52" s="97"/>
      <c r="P52" s="99">
        <f>J52-N52</f>
        <v>8329851.5</v>
      </c>
    </row>
    <row r="53" spans="1:16" ht="15.6" x14ac:dyDescent="0.3">
      <c r="A53" s="94"/>
      <c r="B53" s="94"/>
      <c r="C53" s="94" t="s">
        <v>114</v>
      </c>
      <c r="D53" s="94"/>
      <c r="E53" s="94"/>
      <c r="F53" s="94"/>
      <c r="G53" s="94"/>
      <c r="H53" s="159">
        <v>34188783.729999997</v>
      </c>
      <c r="I53" s="98"/>
      <c r="J53" s="159">
        <v>41596950.43</v>
      </c>
      <c r="K53" s="97"/>
      <c r="L53" s="99">
        <v>-7408166.7000000002</v>
      </c>
      <c r="M53" s="97"/>
      <c r="N53" s="159">
        <v>37156085.619999997</v>
      </c>
      <c r="O53" s="97"/>
      <c r="P53" s="99">
        <f>J53-N53</f>
        <v>4440864.8100000024</v>
      </c>
    </row>
    <row r="54" spans="1:16" ht="15.6" x14ac:dyDescent="0.3">
      <c r="A54" s="94"/>
      <c r="B54" s="94"/>
      <c r="C54" s="94" t="s">
        <v>115</v>
      </c>
      <c r="D54" s="94"/>
      <c r="E54" s="94"/>
      <c r="F54" s="94"/>
      <c r="G54" s="94"/>
      <c r="H54" s="159"/>
      <c r="I54" s="98"/>
      <c r="J54" s="159">
        <v>860000</v>
      </c>
      <c r="K54" s="97"/>
      <c r="L54" s="99">
        <v>-860000</v>
      </c>
      <c r="M54" s="97"/>
      <c r="N54" s="159">
        <v>378086</v>
      </c>
      <c r="O54" s="97"/>
      <c r="P54" s="99">
        <f>J54-N54</f>
        <v>481914</v>
      </c>
    </row>
    <row r="55" spans="1:16" ht="15.6" x14ac:dyDescent="0.3">
      <c r="A55" s="94"/>
      <c r="B55" s="92" t="s">
        <v>118</v>
      </c>
      <c r="C55" s="92"/>
      <c r="D55" s="94"/>
      <c r="E55" s="94"/>
      <c r="F55" s="94"/>
      <c r="G55" s="94"/>
      <c r="H55" s="98"/>
      <c r="I55" s="98"/>
      <c r="J55" s="98"/>
      <c r="K55" s="97"/>
      <c r="L55" s="97"/>
      <c r="M55" s="97"/>
      <c r="N55" s="98"/>
      <c r="O55" s="97"/>
      <c r="P55" s="97"/>
    </row>
    <row r="56" spans="1:16" ht="15.6" x14ac:dyDescent="0.3">
      <c r="A56" s="94"/>
      <c r="B56" s="94"/>
      <c r="C56" s="94" t="s">
        <v>113</v>
      </c>
      <c r="D56" s="94"/>
      <c r="E56" s="94"/>
      <c r="F56" s="94"/>
      <c r="G56" s="94"/>
      <c r="H56" s="98"/>
      <c r="I56" s="98"/>
      <c r="J56" s="98"/>
      <c r="K56" s="97"/>
      <c r="L56" s="99">
        <f t="shared" ref="L56:L58" si="1">F56-J56</f>
        <v>0</v>
      </c>
      <c r="M56" s="97"/>
      <c r="N56" s="98"/>
      <c r="O56" s="97"/>
      <c r="P56" s="99">
        <f>J56-N56</f>
        <v>0</v>
      </c>
    </row>
    <row r="57" spans="1:16" ht="15.6" x14ac:dyDescent="0.3">
      <c r="A57" s="94"/>
      <c r="B57" s="94"/>
      <c r="C57" s="94" t="s">
        <v>114</v>
      </c>
      <c r="D57" s="94"/>
      <c r="E57" s="94"/>
      <c r="F57" s="94"/>
      <c r="G57" s="94"/>
      <c r="H57" s="98"/>
      <c r="I57" s="98"/>
      <c r="J57" s="98"/>
      <c r="K57" s="97"/>
      <c r="L57" s="99">
        <f t="shared" si="1"/>
        <v>0</v>
      </c>
      <c r="M57" s="97"/>
      <c r="N57" s="98"/>
      <c r="O57" s="97"/>
      <c r="P57" s="99">
        <f>J57-N57</f>
        <v>0</v>
      </c>
    </row>
    <row r="58" spans="1:16" ht="15.6" x14ac:dyDescent="0.3">
      <c r="A58" s="94"/>
      <c r="B58" s="94"/>
      <c r="C58" s="94" t="s">
        <v>115</v>
      </c>
      <c r="D58" s="94"/>
      <c r="E58" s="94"/>
      <c r="F58" s="94"/>
      <c r="G58" s="94"/>
      <c r="H58" s="98"/>
      <c r="I58" s="98"/>
      <c r="J58" s="98"/>
      <c r="K58" s="97"/>
      <c r="L58" s="99">
        <f t="shared" si="1"/>
        <v>0</v>
      </c>
      <c r="M58" s="97"/>
      <c r="N58" s="98"/>
      <c r="O58" s="97"/>
      <c r="P58" s="99">
        <f>J58-N58</f>
        <v>0</v>
      </c>
    </row>
    <row r="59" spans="1:16" ht="15.6" x14ac:dyDescent="0.3">
      <c r="A59" s="94"/>
      <c r="B59" s="92" t="s">
        <v>119</v>
      </c>
      <c r="C59" s="92"/>
      <c r="D59" s="94"/>
      <c r="E59" s="94"/>
      <c r="F59" s="94"/>
      <c r="G59" s="94"/>
      <c r="H59" s="98"/>
      <c r="I59" s="98"/>
      <c r="J59" s="98"/>
      <c r="K59" s="97"/>
      <c r="L59" s="97"/>
      <c r="M59" s="97"/>
      <c r="N59" s="98"/>
      <c r="O59" s="97"/>
      <c r="P59" s="97"/>
    </row>
    <row r="60" spans="1:16" ht="15.6" x14ac:dyDescent="0.3">
      <c r="A60" s="94"/>
      <c r="B60" s="94"/>
      <c r="C60" s="94" t="s">
        <v>113</v>
      </c>
      <c r="D60" s="94"/>
      <c r="E60" s="94"/>
      <c r="F60" s="94"/>
      <c r="G60" s="94"/>
      <c r="H60" s="98"/>
      <c r="I60" s="98"/>
      <c r="J60" s="98"/>
      <c r="K60" s="97"/>
      <c r="L60" s="99">
        <f t="shared" ref="L60:L62" si="2">F60-J60</f>
        <v>0</v>
      </c>
      <c r="M60" s="97"/>
      <c r="N60" s="98"/>
      <c r="O60" s="97"/>
      <c r="P60" s="99">
        <f>J60-N60</f>
        <v>0</v>
      </c>
    </row>
    <row r="61" spans="1:16" ht="15.6" x14ac:dyDescent="0.3">
      <c r="A61" s="94"/>
      <c r="B61" s="94"/>
      <c r="C61" s="94" t="s">
        <v>114</v>
      </c>
      <c r="D61" s="94"/>
      <c r="E61" s="94"/>
      <c r="F61" s="94"/>
      <c r="G61" s="94"/>
      <c r="H61" s="98"/>
      <c r="I61" s="98"/>
      <c r="J61" s="98"/>
      <c r="K61" s="97"/>
      <c r="L61" s="99">
        <f t="shared" si="2"/>
        <v>0</v>
      </c>
      <c r="M61" s="97"/>
      <c r="N61" s="98"/>
      <c r="O61" s="97"/>
      <c r="P61" s="99">
        <f>J61-N61</f>
        <v>0</v>
      </c>
    </row>
    <row r="62" spans="1:16" ht="15.6" x14ac:dyDescent="0.3">
      <c r="A62" s="94"/>
      <c r="B62" s="94"/>
      <c r="C62" s="94" t="s">
        <v>115</v>
      </c>
      <c r="D62" s="94"/>
      <c r="E62" s="94"/>
      <c r="F62" s="94"/>
      <c r="G62" s="94"/>
      <c r="H62" s="98"/>
      <c r="I62" s="98"/>
      <c r="J62" s="98"/>
      <c r="K62" s="97"/>
      <c r="L62" s="99">
        <f t="shared" si="2"/>
        <v>0</v>
      </c>
      <c r="M62" s="97"/>
      <c r="N62" s="98"/>
      <c r="O62" s="97"/>
      <c r="P62" s="99">
        <f>J62-N62</f>
        <v>0</v>
      </c>
    </row>
    <row r="63" spans="1:16" ht="15.6" x14ac:dyDescent="0.3">
      <c r="A63" s="94"/>
      <c r="B63" s="92" t="s">
        <v>120</v>
      </c>
      <c r="C63" s="94"/>
      <c r="D63" s="94"/>
      <c r="E63" s="94"/>
      <c r="F63" s="94"/>
      <c r="G63" s="94"/>
      <c r="H63" s="98"/>
      <c r="I63" s="98"/>
      <c r="J63" s="98"/>
      <c r="K63" s="97"/>
      <c r="L63" s="97"/>
      <c r="M63" s="97"/>
      <c r="N63" s="98"/>
      <c r="O63" s="97"/>
      <c r="P63" s="97"/>
    </row>
    <row r="64" spans="1:16" ht="15.6" x14ac:dyDescent="0.3">
      <c r="A64" s="94"/>
      <c r="B64" s="94"/>
      <c r="C64" s="94" t="s">
        <v>113</v>
      </c>
      <c r="D64" s="94"/>
      <c r="E64" s="94"/>
      <c r="F64" s="94"/>
      <c r="G64" s="94"/>
      <c r="H64" s="159">
        <v>18968433.440000001</v>
      </c>
      <c r="I64" s="98"/>
      <c r="J64" s="159">
        <v>19297565.539999999</v>
      </c>
      <c r="K64" s="97"/>
      <c r="L64" s="99">
        <v>-329132.09999999998</v>
      </c>
      <c r="M64" s="97"/>
      <c r="N64" s="159">
        <v>15477806.609999999</v>
      </c>
      <c r="O64" s="97"/>
      <c r="P64" s="99">
        <f>J64-N64</f>
        <v>3819758.9299999997</v>
      </c>
    </row>
    <row r="65" spans="1:16" ht="15.6" x14ac:dyDescent="0.3">
      <c r="A65" s="94"/>
      <c r="B65" s="94"/>
      <c r="C65" s="94" t="s">
        <v>114</v>
      </c>
      <c r="D65" s="94"/>
      <c r="E65" s="94"/>
      <c r="F65" s="94"/>
      <c r="G65" s="94"/>
      <c r="H65" s="159">
        <v>28194366.23</v>
      </c>
      <c r="I65" s="98"/>
      <c r="J65" s="159">
        <v>37264485.399999999</v>
      </c>
      <c r="K65" s="97"/>
      <c r="L65" s="99">
        <v>-9070119.1699999999</v>
      </c>
      <c r="M65" s="97"/>
      <c r="N65" s="159">
        <v>35394636.149999999</v>
      </c>
      <c r="O65" s="97"/>
      <c r="P65" s="99">
        <f>J65-N65</f>
        <v>1869849.25</v>
      </c>
    </row>
    <row r="66" spans="1:16" ht="15.6" x14ac:dyDescent="0.3">
      <c r="A66" s="94"/>
      <c r="B66" s="94"/>
      <c r="C66" s="94" t="s">
        <v>115</v>
      </c>
      <c r="D66" s="94"/>
      <c r="E66" s="94"/>
      <c r="F66" s="94"/>
      <c r="G66" s="94"/>
      <c r="H66" s="165"/>
      <c r="I66" s="166"/>
      <c r="J66" s="165"/>
      <c r="K66" s="166"/>
      <c r="L66" s="99">
        <f>F66-J66</f>
        <v>0</v>
      </c>
      <c r="M66" s="97"/>
      <c r="N66" s="158"/>
      <c r="O66" s="97"/>
      <c r="P66" s="99">
        <f>J66-N66</f>
        <v>0</v>
      </c>
    </row>
    <row r="67" spans="1:16" ht="15.6" x14ac:dyDescent="0.3">
      <c r="A67" s="94"/>
      <c r="B67" s="92" t="s">
        <v>121</v>
      </c>
      <c r="C67" s="92"/>
      <c r="D67" s="94"/>
      <c r="E67" s="94"/>
      <c r="F67" s="94"/>
      <c r="G67" s="94"/>
      <c r="H67" s="98"/>
      <c r="I67" s="98"/>
      <c r="J67" s="98"/>
      <c r="K67" s="97"/>
      <c r="L67" s="97"/>
      <c r="M67" s="97"/>
      <c r="N67" s="98"/>
      <c r="O67" s="97"/>
      <c r="P67" s="97"/>
    </row>
    <row r="68" spans="1:16" ht="15.6" x14ac:dyDescent="0.3">
      <c r="A68" s="94"/>
      <c r="B68" s="94"/>
      <c r="C68" s="94" t="s">
        <v>113</v>
      </c>
      <c r="D68" s="94"/>
      <c r="E68" s="94"/>
      <c r="F68" s="94"/>
      <c r="G68" s="94"/>
      <c r="H68" s="159">
        <v>85005872.239999995</v>
      </c>
      <c r="I68" s="98"/>
      <c r="J68" s="159">
        <v>84404181.870000005</v>
      </c>
      <c r="K68" s="97"/>
      <c r="L68" s="99">
        <v>601690.37</v>
      </c>
      <c r="M68" s="97"/>
      <c r="N68" s="159">
        <v>70228950.909999996</v>
      </c>
      <c r="O68" s="97"/>
      <c r="P68" s="99">
        <f>J68-N68</f>
        <v>14175230.960000008</v>
      </c>
    </row>
    <row r="69" spans="1:16" ht="15.6" x14ac:dyDescent="0.3">
      <c r="A69" s="94"/>
      <c r="B69" s="94"/>
      <c r="C69" s="94" t="s">
        <v>114</v>
      </c>
      <c r="D69" s="94"/>
      <c r="E69" s="94"/>
      <c r="F69" s="94"/>
      <c r="G69" s="94"/>
      <c r="H69" s="159">
        <v>138340090.44999999</v>
      </c>
      <c r="I69" s="98"/>
      <c r="J69" s="159">
        <v>199877895.00999999</v>
      </c>
      <c r="K69" s="97"/>
      <c r="L69" s="99">
        <v>-61537804.560000002</v>
      </c>
      <c r="M69" s="97"/>
      <c r="N69" s="159">
        <v>159612222.77000001</v>
      </c>
      <c r="O69" s="97"/>
      <c r="P69" s="99">
        <f>J69-N69</f>
        <v>40265672.23999998</v>
      </c>
    </row>
    <row r="70" spans="1:16" ht="15.6" x14ac:dyDescent="0.3">
      <c r="A70" s="94"/>
      <c r="B70" s="94"/>
      <c r="C70" s="94" t="s">
        <v>115</v>
      </c>
      <c r="D70" s="94"/>
      <c r="E70" s="94"/>
      <c r="F70" s="94"/>
      <c r="G70" s="94"/>
      <c r="H70" s="159">
        <v>5485000</v>
      </c>
      <c r="I70" s="98"/>
      <c r="J70" s="159">
        <v>177775000</v>
      </c>
      <c r="K70" s="97"/>
      <c r="L70" s="99">
        <v>-172290000</v>
      </c>
      <c r="M70" s="97"/>
      <c r="N70" s="159">
        <v>3247275.35</v>
      </c>
      <c r="O70" s="97"/>
      <c r="P70" s="99">
        <f>J70-N70</f>
        <v>174527724.65000001</v>
      </c>
    </row>
    <row r="71" spans="1:16" ht="15.6" x14ac:dyDescent="0.3">
      <c r="A71" s="94"/>
      <c r="B71" s="92" t="s">
        <v>122</v>
      </c>
      <c r="C71" s="118"/>
      <c r="D71" s="119"/>
      <c r="E71" s="119"/>
      <c r="F71" s="120"/>
      <c r="G71" s="94"/>
      <c r="H71" s="98"/>
      <c r="I71" s="98"/>
      <c r="J71" s="98"/>
      <c r="K71" s="97"/>
      <c r="L71" s="97"/>
      <c r="M71" s="97"/>
      <c r="N71" s="98"/>
      <c r="O71" s="97"/>
      <c r="P71" s="97"/>
    </row>
    <row r="72" spans="1:16" ht="15.6" x14ac:dyDescent="0.3">
      <c r="A72" s="94"/>
      <c r="B72" s="94"/>
      <c r="C72" s="94" t="s">
        <v>123</v>
      </c>
      <c r="D72" s="94"/>
      <c r="E72" s="94"/>
      <c r="F72" s="94"/>
      <c r="G72" s="94"/>
      <c r="H72" s="98"/>
      <c r="I72" s="98"/>
      <c r="J72" s="98"/>
      <c r="K72" s="97"/>
      <c r="L72" s="97"/>
      <c r="M72" s="97"/>
      <c r="N72" s="98"/>
      <c r="O72" s="97"/>
      <c r="P72" s="99"/>
    </row>
    <row r="73" spans="1:16" ht="15.6" x14ac:dyDescent="0.3">
      <c r="A73" s="94"/>
      <c r="B73" s="94"/>
      <c r="C73" s="94"/>
      <c r="D73" s="94" t="s">
        <v>124</v>
      </c>
      <c r="E73" s="94"/>
      <c r="F73" s="94"/>
      <c r="G73" s="94"/>
      <c r="H73" s="98"/>
      <c r="I73" s="98"/>
      <c r="J73" s="98"/>
      <c r="K73" s="97"/>
      <c r="L73" s="99">
        <f>F73-J73</f>
        <v>0</v>
      </c>
      <c r="M73" s="97"/>
      <c r="N73" s="98"/>
      <c r="O73" s="97"/>
      <c r="P73" s="99">
        <f>J73-N73</f>
        <v>0</v>
      </c>
    </row>
    <row r="74" spans="1:16" ht="15.6" x14ac:dyDescent="0.3">
      <c r="A74" s="94"/>
      <c r="B74" s="94"/>
      <c r="C74" s="94" t="s">
        <v>123</v>
      </c>
      <c r="D74" s="94"/>
      <c r="E74" s="94"/>
      <c r="F74" s="94"/>
      <c r="G74" s="94"/>
      <c r="H74" s="159"/>
      <c r="I74" s="98"/>
      <c r="J74" s="159"/>
      <c r="K74" s="97"/>
      <c r="L74" s="99"/>
      <c r="M74" s="97"/>
      <c r="N74" s="159"/>
      <c r="O74" s="97"/>
      <c r="P74" s="99"/>
    </row>
    <row r="75" spans="1:16" ht="15.6" x14ac:dyDescent="0.3">
      <c r="A75" s="94"/>
      <c r="B75" s="94"/>
      <c r="C75" s="94"/>
      <c r="D75" s="94" t="s">
        <v>124</v>
      </c>
      <c r="E75" s="94"/>
      <c r="F75" s="94"/>
      <c r="G75" s="94"/>
      <c r="H75" s="159">
        <v>66409428.560000002</v>
      </c>
      <c r="I75" s="98"/>
      <c r="J75" s="159">
        <v>72702013.069999993</v>
      </c>
      <c r="K75" s="97"/>
      <c r="L75" s="99">
        <v>-6292584.5099999998</v>
      </c>
      <c r="M75" s="97"/>
      <c r="N75" s="159">
        <v>21498605.43</v>
      </c>
      <c r="O75" s="97"/>
      <c r="P75" s="99">
        <f>J75-N75</f>
        <v>51203407.639999993</v>
      </c>
    </row>
    <row r="76" spans="1:16" ht="15.6" x14ac:dyDescent="0.3">
      <c r="A76" s="94"/>
      <c r="B76" s="94"/>
      <c r="C76" s="94"/>
      <c r="D76" s="94" t="s">
        <v>125</v>
      </c>
      <c r="E76" s="94"/>
      <c r="F76" s="94"/>
      <c r="G76" s="94"/>
      <c r="H76" s="159"/>
      <c r="I76" s="98"/>
      <c r="J76" s="159"/>
      <c r="K76" s="97"/>
      <c r="L76" s="99">
        <f>F76-J76</f>
        <v>0</v>
      </c>
      <c r="M76" s="97"/>
      <c r="N76" s="159">
        <v>32681550.449999999</v>
      </c>
      <c r="O76" s="97"/>
      <c r="P76" s="99">
        <f>J76-N76</f>
        <v>-32681550.449999999</v>
      </c>
    </row>
    <row r="77" spans="1:16" ht="15.6" x14ac:dyDescent="0.3">
      <c r="A77" s="94"/>
      <c r="B77" s="94"/>
      <c r="C77" s="94" t="s">
        <v>126</v>
      </c>
      <c r="D77" s="94"/>
      <c r="E77" s="94"/>
      <c r="F77" s="94"/>
      <c r="G77" s="94"/>
      <c r="H77" s="98"/>
      <c r="I77" s="98"/>
      <c r="J77" s="98"/>
      <c r="K77" s="97"/>
      <c r="L77" s="97"/>
      <c r="M77" s="97"/>
      <c r="N77" s="98"/>
      <c r="O77" s="97"/>
      <c r="P77" s="97"/>
    </row>
    <row r="78" spans="1:16" ht="15.6" x14ac:dyDescent="0.3">
      <c r="A78" s="94"/>
      <c r="B78" s="94"/>
      <c r="C78" s="94"/>
      <c r="D78" s="94" t="s">
        <v>114</v>
      </c>
      <c r="E78" s="94"/>
      <c r="F78" s="94"/>
      <c r="G78" s="94"/>
      <c r="H78" s="159">
        <v>25727698.079999998</v>
      </c>
      <c r="I78" s="98"/>
      <c r="J78" s="159">
        <v>32228847.43</v>
      </c>
      <c r="K78" s="97"/>
      <c r="L78" s="99">
        <v>-6501149.3499999996</v>
      </c>
      <c r="M78" s="97"/>
      <c r="N78" s="159">
        <v>28653191.710000001</v>
      </c>
      <c r="O78" s="97"/>
      <c r="P78" s="99">
        <f>J78-N78</f>
        <v>3575655.7199999988</v>
      </c>
    </row>
    <row r="79" spans="1:16" ht="15.6" x14ac:dyDescent="0.3">
      <c r="A79" s="94"/>
      <c r="B79" s="94"/>
      <c r="C79" s="94"/>
      <c r="D79" s="94" t="s">
        <v>115</v>
      </c>
      <c r="E79" s="94"/>
      <c r="F79" s="94"/>
      <c r="G79" s="94"/>
      <c r="H79" s="159">
        <v>32697962.18</v>
      </c>
      <c r="I79" s="98"/>
      <c r="J79" s="159">
        <v>44400000</v>
      </c>
      <c r="K79" s="97"/>
      <c r="L79" s="99">
        <v>-11702037.82</v>
      </c>
      <c r="M79" s="97"/>
      <c r="N79" s="159">
        <v>2560247.4500000002</v>
      </c>
      <c r="O79" s="97"/>
      <c r="P79" s="99">
        <f>J79-N79</f>
        <v>41839752.549999997</v>
      </c>
    </row>
    <row r="80" spans="1:16" ht="15.6" x14ac:dyDescent="0.3">
      <c r="A80" s="94"/>
      <c r="B80" s="94"/>
      <c r="C80" s="94" t="s">
        <v>127</v>
      </c>
      <c r="D80" s="94"/>
      <c r="E80" s="94"/>
      <c r="F80" s="94"/>
      <c r="G80" s="94"/>
      <c r="H80" s="98"/>
      <c r="I80" s="98"/>
      <c r="J80" s="98"/>
      <c r="K80" s="97"/>
      <c r="L80" s="97"/>
      <c r="M80" s="97"/>
      <c r="N80" s="98"/>
      <c r="O80" s="97"/>
      <c r="P80" s="99"/>
    </row>
    <row r="81" spans="1:16" ht="15.6" x14ac:dyDescent="0.3">
      <c r="A81" s="94"/>
      <c r="B81" s="94"/>
      <c r="C81" s="94"/>
      <c r="D81" s="94" t="s">
        <v>114</v>
      </c>
      <c r="E81" s="94"/>
      <c r="F81" s="94"/>
      <c r="G81" s="94"/>
      <c r="H81" s="159"/>
      <c r="I81" s="98"/>
      <c r="J81" s="159"/>
      <c r="K81" s="97"/>
      <c r="L81" s="99"/>
      <c r="M81" s="97"/>
      <c r="N81" s="159"/>
      <c r="O81" s="97"/>
      <c r="P81" s="99">
        <f>J81-N81</f>
        <v>0</v>
      </c>
    </row>
    <row r="82" spans="1:16" ht="15.6" x14ac:dyDescent="0.3">
      <c r="A82" s="94"/>
      <c r="B82" s="94"/>
      <c r="C82" s="94"/>
      <c r="D82" s="94" t="s">
        <v>115</v>
      </c>
      <c r="E82" s="94"/>
      <c r="F82" s="94"/>
      <c r="G82" s="94"/>
      <c r="H82" s="159">
        <v>178100000</v>
      </c>
      <c r="I82" s="98"/>
      <c r="J82" s="159">
        <v>257100000</v>
      </c>
      <c r="K82" s="97"/>
      <c r="L82" s="99">
        <v>-79000000</v>
      </c>
      <c r="M82" s="97"/>
      <c r="N82" s="159">
        <v>65684752.890000001</v>
      </c>
      <c r="O82" s="97"/>
      <c r="P82" s="99">
        <f>J82-N82</f>
        <v>191415247.11000001</v>
      </c>
    </row>
    <row r="83" spans="1:16" ht="15.6" x14ac:dyDescent="0.3">
      <c r="A83" s="94"/>
      <c r="B83" s="94"/>
      <c r="C83" s="94" t="s">
        <v>128</v>
      </c>
      <c r="D83" s="94"/>
      <c r="E83" s="94"/>
      <c r="F83" s="94"/>
      <c r="G83" s="94"/>
      <c r="H83" s="98"/>
      <c r="I83" s="98"/>
      <c r="J83" s="98"/>
      <c r="K83" s="97"/>
      <c r="L83" s="97"/>
      <c r="M83" s="97"/>
      <c r="N83" s="98"/>
      <c r="O83" s="97"/>
      <c r="P83" s="99"/>
    </row>
    <row r="84" spans="1:16" ht="15.6" x14ac:dyDescent="0.3">
      <c r="A84" s="94"/>
      <c r="B84" s="94"/>
      <c r="C84" s="94"/>
      <c r="D84" s="94" t="s">
        <v>114</v>
      </c>
      <c r="E84" s="94"/>
      <c r="F84" s="94"/>
      <c r="G84" s="94"/>
      <c r="H84" s="98"/>
      <c r="I84" s="98"/>
      <c r="J84" s="98"/>
      <c r="K84" s="97"/>
      <c r="L84" s="99">
        <f t="shared" ref="L84:L88" si="3">F84-J84</f>
        <v>0</v>
      </c>
      <c r="M84" s="97"/>
      <c r="N84" s="98"/>
      <c r="O84" s="97"/>
      <c r="P84" s="99">
        <f>J84-N84</f>
        <v>0</v>
      </c>
    </row>
    <row r="85" spans="1:16" ht="15.6" x14ac:dyDescent="0.3">
      <c r="A85" s="94"/>
      <c r="B85" s="94"/>
      <c r="C85" s="94"/>
      <c r="D85" s="94" t="s">
        <v>115</v>
      </c>
      <c r="E85" s="94"/>
      <c r="F85" s="94"/>
      <c r="G85" s="94"/>
      <c r="H85" s="98"/>
      <c r="I85" s="98"/>
      <c r="J85" s="98"/>
      <c r="K85" s="97"/>
      <c r="L85" s="99">
        <f t="shared" si="3"/>
        <v>0</v>
      </c>
      <c r="M85" s="97"/>
      <c r="N85" s="98"/>
      <c r="O85" s="97"/>
      <c r="P85" s="99">
        <f>J85-N85</f>
        <v>0</v>
      </c>
    </row>
    <row r="86" spans="1:16" ht="15.6" x14ac:dyDescent="0.3">
      <c r="A86" s="94"/>
      <c r="B86" s="94"/>
      <c r="C86" s="94" t="s">
        <v>129</v>
      </c>
      <c r="D86" s="94"/>
      <c r="E86" s="94"/>
      <c r="F86" s="94"/>
      <c r="G86" s="94"/>
      <c r="H86" s="98"/>
      <c r="I86" s="98"/>
      <c r="J86" s="98"/>
      <c r="K86" s="97"/>
      <c r="L86" s="99"/>
      <c r="M86" s="97"/>
      <c r="N86" s="98"/>
      <c r="O86" s="97"/>
      <c r="P86" s="99"/>
    </row>
    <row r="87" spans="1:16" ht="15.6" x14ac:dyDescent="0.3">
      <c r="A87" s="94"/>
      <c r="B87" s="94"/>
      <c r="C87" s="94"/>
      <c r="D87" s="94" t="s">
        <v>114</v>
      </c>
      <c r="E87" s="94"/>
      <c r="F87" s="94"/>
      <c r="G87" s="94"/>
      <c r="H87" s="159"/>
      <c r="I87" s="98"/>
      <c r="J87" s="159"/>
      <c r="K87" s="97"/>
      <c r="L87" s="99">
        <f t="shared" si="3"/>
        <v>0</v>
      </c>
      <c r="M87" s="97"/>
      <c r="N87" s="159"/>
      <c r="O87" s="97"/>
      <c r="P87" s="99">
        <f>J87-N87</f>
        <v>0</v>
      </c>
    </row>
    <row r="88" spans="1:16" ht="15.6" x14ac:dyDescent="0.3">
      <c r="A88" s="94"/>
      <c r="B88" s="94"/>
      <c r="C88" s="94"/>
      <c r="D88" s="94" t="s">
        <v>115</v>
      </c>
      <c r="E88" s="94"/>
      <c r="F88" s="94"/>
      <c r="G88" s="94"/>
      <c r="H88" s="159"/>
      <c r="I88" s="98"/>
      <c r="J88" s="159"/>
      <c r="K88" s="97"/>
      <c r="L88" s="99">
        <f t="shared" si="3"/>
        <v>0</v>
      </c>
      <c r="M88" s="97"/>
      <c r="N88" s="159"/>
      <c r="O88" s="97"/>
      <c r="P88" s="99">
        <f>J88-N88</f>
        <v>0</v>
      </c>
    </row>
    <row r="89" spans="1:16" ht="15.6" x14ac:dyDescent="0.3">
      <c r="A89" s="94"/>
      <c r="B89" s="94"/>
      <c r="C89" s="94" t="s">
        <v>130</v>
      </c>
      <c r="D89" s="94"/>
      <c r="E89" s="94"/>
      <c r="F89" s="94"/>
      <c r="G89" s="94"/>
      <c r="H89" s="98"/>
      <c r="I89" s="98"/>
      <c r="J89" s="98"/>
      <c r="K89" s="97"/>
      <c r="L89" s="97"/>
      <c r="M89" s="97"/>
      <c r="N89" s="98"/>
      <c r="O89" s="97"/>
      <c r="P89" s="99"/>
    </row>
    <row r="90" spans="1:16" ht="15.6" x14ac:dyDescent="0.3">
      <c r="A90" s="94"/>
      <c r="B90" s="94"/>
      <c r="C90" s="94"/>
      <c r="D90" s="94" t="s">
        <v>131</v>
      </c>
      <c r="E90" s="94"/>
      <c r="F90" s="94"/>
      <c r="G90" s="94"/>
      <c r="H90" s="159">
        <v>2800000</v>
      </c>
      <c r="I90" s="98"/>
      <c r="J90" s="159">
        <v>2800000</v>
      </c>
      <c r="K90" s="97"/>
      <c r="L90" s="189">
        <v>0</v>
      </c>
      <c r="M90" s="97"/>
      <c r="N90" s="159">
        <v>2640000</v>
      </c>
      <c r="O90" s="97"/>
      <c r="P90" s="99">
        <f t="shared" ref="P90:P95" si="4">J90-N90</f>
        <v>160000</v>
      </c>
    </row>
    <row r="91" spans="1:16" ht="15.6" x14ac:dyDescent="0.3">
      <c r="A91" s="94"/>
      <c r="B91" s="94"/>
      <c r="C91" s="94"/>
      <c r="D91" s="94" t="s">
        <v>132</v>
      </c>
      <c r="E91" s="94"/>
      <c r="F91" s="94"/>
      <c r="G91" s="94"/>
      <c r="H91" s="159">
        <v>6040000</v>
      </c>
      <c r="I91" s="98"/>
      <c r="J91" s="159">
        <v>28340000</v>
      </c>
      <c r="K91" s="97"/>
      <c r="L91" s="99">
        <v>-22300000</v>
      </c>
      <c r="M91" s="97"/>
      <c r="N91" s="159">
        <v>28290000</v>
      </c>
      <c r="O91" s="97"/>
      <c r="P91" s="99">
        <f t="shared" si="4"/>
        <v>50000</v>
      </c>
    </row>
    <row r="92" spans="1:16" ht="15.6" x14ac:dyDescent="0.3">
      <c r="A92" s="94"/>
      <c r="B92" s="94"/>
      <c r="C92" s="94"/>
      <c r="D92" s="94" t="s">
        <v>133</v>
      </c>
      <c r="E92" s="94"/>
      <c r="F92" s="94"/>
      <c r="G92" s="94"/>
      <c r="H92" s="159">
        <v>643442.51</v>
      </c>
      <c r="I92" s="98"/>
      <c r="J92" s="159">
        <v>643442.51</v>
      </c>
      <c r="K92" s="97"/>
      <c r="L92" s="189">
        <v>0</v>
      </c>
      <c r="M92" s="97"/>
      <c r="N92" s="159">
        <v>643440</v>
      </c>
      <c r="O92" s="97"/>
      <c r="P92" s="99">
        <f t="shared" si="4"/>
        <v>2.5100000000093132</v>
      </c>
    </row>
    <row r="93" spans="1:16" ht="15.6" x14ac:dyDescent="0.3">
      <c r="A93" s="94"/>
      <c r="B93" s="94"/>
      <c r="C93" s="94"/>
      <c r="D93" s="94" t="s">
        <v>134</v>
      </c>
      <c r="E93" s="94"/>
      <c r="F93" s="94"/>
      <c r="G93" s="94"/>
      <c r="H93" s="159">
        <v>1553368</v>
      </c>
      <c r="I93" s="98"/>
      <c r="J93" s="159">
        <v>71643578.840000004</v>
      </c>
      <c r="K93" s="97"/>
      <c r="L93" s="99">
        <v>-70090210.840000004</v>
      </c>
      <c r="M93" s="97"/>
      <c r="N93" s="159">
        <v>68349995.120000005</v>
      </c>
      <c r="O93" s="97"/>
      <c r="P93" s="99">
        <f t="shared" si="4"/>
        <v>3293583.7199999988</v>
      </c>
    </row>
    <row r="94" spans="1:16" ht="15.6" x14ac:dyDescent="0.3">
      <c r="A94" s="94"/>
      <c r="B94" s="94"/>
      <c r="C94" s="94"/>
      <c r="D94" s="94" t="s">
        <v>135</v>
      </c>
      <c r="E94" s="94"/>
      <c r="F94" s="94"/>
      <c r="G94" s="94"/>
      <c r="H94" s="159">
        <v>2800000</v>
      </c>
      <c r="I94" s="98"/>
      <c r="J94" s="159">
        <v>12267599.41</v>
      </c>
      <c r="K94" s="97"/>
      <c r="L94" s="99">
        <v>-9467599.4100000001</v>
      </c>
      <c r="M94" s="97"/>
      <c r="N94" s="159">
        <v>10612957.539999999</v>
      </c>
      <c r="O94" s="97"/>
      <c r="P94" s="99">
        <f t="shared" si="4"/>
        <v>1654641.870000001</v>
      </c>
    </row>
    <row r="95" spans="1:16" ht="15.6" x14ac:dyDescent="0.3">
      <c r="A95" s="94"/>
      <c r="B95" s="94"/>
      <c r="C95" s="94"/>
      <c r="D95" s="94" t="s">
        <v>136</v>
      </c>
      <c r="E95" s="94"/>
      <c r="F95" s="94"/>
      <c r="G95" s="94"/>
      <c r="H95" s="97"/>
      <c r="I95" s="98"/>
      <c r="J95" s="97"/>
      <c r="K95" s="97"/>
      <c r="L95" s="99">
        <f t="shared" ref="L95" si="5">H95-J95</f>
        <v>0</v>
      </c>
      <c r="M95" s="97"/>
      <c r="N95" s="97"/>
      <c r="O95" s="97"/>
      <c r="P95" s="99">
        <f t="shared" si="4"/>
        <v>0</v>
      </c>
    </row>
    <row r="96" spans="1:16" ht="15.6" x14ac:dyDescent="0.3">
      <c r="A96" s="94"/>
      <c r="B96" s="94"/>
      <c r="C96" s="92" t="s">
        <v>137</v>
      </c>
      <c r="D96" s="94"/>
      <c r="E96" s="94"/>
      <c r="F96" s="162"/>
      <c r="G96" s="94"/>
      <c r="H96" s="121">
        <f>SUM(H44:H95)</f>
        <v>1294168408.3800001</v>
      </c>
      <c r="I96" s="122"/>
      <c r="J96" s="121">
        <f>SUM(J44:J95)</f>
        <v>1830252244.03</v>
      </c>
      <c r="K96" s="122"/>
      <c r="L96" s="123">
        <f>SUM(L44:L95)</f>
        <v>-536083835.65000004</v>
      </c>
      <c r="M96" s="122"/>
      <c r="N96" s="121">
        <f>SUM(N44:N95)</f>
        <v>1211487737.6500001</v>
      </c>
      <c r="O96" s="122"/>
      <c r="P96" s="123">
        <f>SUM(P44:P95)</f>
        <v>618764506.38</v>
      </c>
    </row>
    <row r="97" spans="1:16" ht="15.6" x14ac:dyDescent="0.3">
      <c r="A97" s="94"/>
      <c r="B97" s="94"/>
      <c r="C97" s="92"/>
      <c r="D97" s="94"/>
      <c r="E97" s="94"/>
      <c r="F97" s="162"/>
      <c r="G97" s="94"/>
      <c r="H97" s="193"/>
      <c r="I97" s="186"/>
      <c r="J97" s="193"/>
      <c r="K97" s="186"/>
      <c r="L97" s="188"/>
      <c r="M97" s="186"/>
      <c r="N97" s="193"/>
      <c r="O97" s="186"/>
      <c r="P97" s="188"/>
    </row>
    <row r="98" spans="1:16" ht="15.6" x14ac:dyDescent="0.3">
      <c r="A98" s="92" t="s">
        <v>138</v>
      </c>
      <c r="B98" s="94"/>
      <c r="D98" s="94"/>
      <c r="E98" s="94"/>
      <c r="F98" s="94"/>
      <c r="G98" s="94"/>
      <c r="H98" s="97"/>
      <c r="I98" s="97"/>
      <c r="J98" s="97"/>
      <c r="K98" s="97"/>
      <c r="L98" s="124"/>
      <c r="M98" s="97"/>
      <c r="N98" s="97"/>
      <c r="O98" s="97"/>
      <c r="P98" s="124"/>
    </row>
    <row r="99" spans="1:16" ht="15.6" x14ac:dyDescent="0.3">
      <c r="A99" s="94"/>
      <c r="B99" s="92" t="s">
        <v>112</v>
      </c>
      <c r="C99" s="94"/>
      <c r="D99" s="94"/>
      <c r="E99" s="94"/>
      <c r="F99" s="94"/>
      <c r="G99" s="94"/>
      <c r="H99" s="97"/>
      <c r="I99" s="97"/>
      <c r="J99" s="97"/>
      <c r="K99" s="97"/>
      <c r="L99" s="97"/>
      <c r="M99" s="97"/>
      <c r="N99" s="97"/>
      <c r="O99" s="97"/>
      <c r="P99" s="99"/>
    </row>
    <row r="100" spans="1:16" ht="15.6" x14ac:dyDescent="0.3">
      <c r="A100" s="94"/>
      <c r="B100" s="94"/>
      <c r="C100" s="94" t="s">
        <v>115</v>
      </c>
      <c r="D100" s="94"/>
      <c r="E100" s="94"/>
      <c r="F100" s="94"/>
      <c r="G100" s="94"/>
      <c r="H100" s="98">
        <v>22991434.830000002</v>
      </c>
      <c r="I100" s="98"/>
      <c r="J100" s="98">
        <v>22908098.310000002</v>
      </c>
      <c r="K100" s="97"/>
      <c r="L100" s="99">
        <f>H100-J100</f>
        <v>83336.519999999553</v>
      </c>
      <c r="M100" s="97"/>
      <c r="N100" s="98">
        <v>6210476.04</v>
      </c>
      <c r="O100" s="97"/>
      <c r="P100" s="99">
        <f>J100-N100</f>
        <v>16697622.270000003</v>
      </c>
    </row>
    <row r="101" spans="1:16" ht="15.6" x14ac:dyDescent="0.3">
      <c r="A101" s="94"/>
      <c r="B101" s="92" t="s">
        <v>116</v>
      </c>
      <c r="C101" s="94"/>
      <c r="D101" s="94"/>
      <c r="E101" s="94"/>
      <c r="F101" s="94"/>
      <c r="G101" s="94"/>
      <c r="H101" s="98"/>
      <c r="I101" s="98"/>
      <c r="J101" s="98"/>
      <c r="K101" s="97"/>
      <c r="L101" s="97"/>
      <c r="M101" s="97"/>
      <c r="N101" s="98"/>
      <c r="O101" s="97"/>
      <c r="P101" s="99"/>
    </row>
    <row r="102" spans="1:16" ht="15.6" x14ac:dyDescent="0.3">
      <c r="A102" s="94"/>
      <c r="B102" s="94"/>
      <c r="C102" s="94" t="s">
        <v>115</v>
      </c>
      <c r="D102" s="94"/>
      <c r="E102" s="94"/>
      <c r="F102" s="94"/>
      <c r="G102" s="94"/>
      <c r="H102" s="99">
        <v>40828817.030000001</v>
      </c>
      <c r="I102" s="98"/>
      <c r="J102" s="194">
        <v>36013053.490000002</v>
      </c>
      <c r="K102" s="97"/>
      <c r="L102" s="99">
        <f>H102-J102</f>
        <v>4815763.5399999991</v>
      </c>
      <c r="M102" s="97"/>
      <c r="N102" s="98">
        <v>30822174.300000001</v>
      </c>
      <c r="O102" s="97"/>
      <c r="P102" s="99">
        <f>J102-N102</f>
        <v>5190879.1900000013</v>
      </c>
    </row>
    <row r="103" spans="1:16" ht="15.6" x14ac:dyDescent="0.3">
      <c r="A103" s="94"/>
      <c r="B103" s="92" t="s">
        <v>117</v>
      </c>
      <c r="C103" s="94"/>
      <c r="D103" s="94"/>
      <c r="E103" s="94"/>
      <c r="F103" s="94"/>
      <c r="G103" s="94"/>
      <c r="H103" s="98"/>
      <c r="I103" s="98"/>
      <c r="J103" s="98"/>
      <c r="K103" s="97"/>
      <c r="L103" s="97"/>
      <c r="M103" s="97"/>
      <c r="N103" s="98"/>
      <c r="O103" s="97"/>
      <c r="P103" s="99"/>
    </row>
    <row r="104" spans="1:16" ht="15.6" x14ac:dyDescent="0.3">
      <c r="A104" s="94"/>
      <c r="B104" s="94"/>
      <c r="C104" s="94" t="s">
        <v>115</v>
      </c>
      <c r="D104" s="94"/>
      <c r="E104" s="94"/>
      <c r="F104" s="94"/>
      <c r="G104" s="94"/>
      <c r="H104" s="98">
        <v>200600</v>
      </c>
      <c r="I104" s="98"/>
      <c r="J104" s="98">
        <v>200600</v>
      </c>
      <c r="K104" s="97"/>
      <c r="L104" s="99">
        <f>H104-J104</f>
        <v>0</v>
      </c>
      <c r="M104" s="97"/>
      <c r="N104" s="98"/>
      <c r="O104" s="97"/>
      <c r="P104" s="99">
        <f>J104-N104</f>
        <v>200600</v>
      </c>
    </row>
    <row r="105" spans="1:16" ht="15.6" x14ac:dyDescent="0.3">
      <c r="A105" s="94"/>
      <c r="B105" s="92" t="s">
        <v>118</v>
      </c>
      <c r="C105" s="94"/>
      <c r="D105" s="94"/>
      <c r="E105" s="94"/>
      <c r="F105" s="94"/>
      <c r="G105" s="94"/>
      <c r="H105" s="98"/>
      <c r="I105" s="98"/>
      <c r="J105" s="98"/>
      <c r="K105" s="97"/>
      <c r="L105" s="97"/>
      <c r="M105" s="97"/>
      <c r="N105" s="98"/>
      <c r="O105" s="97"/>
      <c r="P105" s="99"/>
    </row>
    <row r="106" spans="1:16" ht="15.6" x14ac:dyDescent="0.3">
      <c r="A106" s="94"/>
      <c r="B106" s="92"/>
      <c r="C106" s="94" t="s">
        <v>115</v>
      </c>
      <c r="D106" s="94"/>
      <c r="E106" s="94"/>
      <c r="F106" s="94"/>
      <c r="G106" s="94"/>
      <c r="H106" s="98"/>
      <c r="I106" s="98"/>
      <c r="J106" s="98"/>
      <c r="K106" s="97"/>
      <c r="L106" s="99">
        <f>H106-J106</f>
        <v>0</v>
      </c>
      <c r="M106" s="97"/>
      <c r="N106" s="98"/>
      <c r="O106" s="97"/>
      <c r="P106" s="99">
        <f>J106-N106</f>
        <v>0</v>
      </c>
    </row>
    <row r="107" spans="1:16" ht="15.6" x14ac:dyDescent="0.3">
      <c r="A107" s="94"/>
      <c r="B107" s="92" t="s">
        <v>119</v>
      </c>
      <c r="C107" s="94"/>
      <c r="D107" s="94"/>
      <c r="E107" s="94"/>
      <c r="F107" s="94"/>
      <c r="G107" s="94"/>
      <c r="H107" s="98"/>
      <c r="I107" s="98"/>
      <c r="J107" s="98"/>
      <c r="K107" s="97"/>
      <c r="L107" s="97"/>
      <c r="M107" s="97"/>
      <c r="N107" s="98"/>
      <c r="O107" s="97"/>
      <c r="P107" s="99"/>
    </row>
    <row r="108" spans="1:16" ht="15.6" x14ac:dyDescent="0.3">
      <c r="A108" s="94"/>
      <c r="B108" s="92"/>
      <c r="C108" s="94" t="s">
        <v>115</v>
      </c>
      <c r="D108" s="94"/>
      <c r="E108" s="94"/>
      <c r="F108" s="94"/>
      <c r="G108" s="94"/>
      <c r="H108" s="98"/>
      <c r="I108" s="98"/>
      <c r="J108" s="98"/>
      <c r="K108" s="97"/>
      <c r="L108" s="99">
        <f>H108-J108</f>
        <v>0</v>
      </c>
      <c r="M108" s="97"/>
      <c r="N108" s="98"/>
      <c r="O108" s="97"/>
      <c r="P108" s="99">
        <f>J108-N108</f>
        <v>0</v>
      </c>
    </row>
    <row r="109" spans="1:16" ht="15.6" x14ac:dyDescent="0.3">
      <c r="A109" s="94"/>
      <c r="B109" s="92" t="s">
        <v>120</v>
      </c>
      <c r="C109" s="94"/>
      <c r="D109" s="94"/>
      <c r="E109" s="94"/>
      <c r="F109" s="94"/>
      <c r="G109" s="94"/>
      <c r="H109" s="98"/>
      <c r="I109" s="98"/>
      <c r="J109" s="98"/>
      <c r="K109" s="97"/>
      <c r="L109" s="97"/>
      <c r="M109" s="97"/>
      <c r="N109" s="98"/>
      <c r="O109" s="97"/>
      <c r="P109" s="99"/>
    </row>
    <row r="110" spans="1:16" ht="15.6" x14ac:dyDescent="0.3">
      <c r="A110" s="94"/>
      <c r="B110" s="92"/>
      <c r="C110" s="94" t="s">
        <v>115</v>
      </c>
      <c r="D110" s="94"/>
      <c r="E110" s="94"/>
      <c r="F110" s="94"/>
      <c r="G110" s="94"/>
      <c r="H110" s="98"/>
      <c r="I110" s="98"/>
      <c r="J110" s="98"/>
      <c r="K110" s="97"/>
      <c r="L110" s="99">
        <f>H110-J110</f>
        <v>0</v>
      </c>
      <c r="M110" s="97"/>
      <c r="N110" s="98"/>
      <c r="O110" s="97"/>
      <c r="P110" s="99">
        <f>J110-N110</f>
        <v>0</v>
      </c>
    </row>
    <row r="111" spans="1:16" ht="15.6" x14ac:dyDescent="0.3">
      <c r="A111" s="94"/>
      <c r="B111" s="92" t="s">
        <v>121</v>
      </c>
      <c r="C111" s="94"/>
      <c r="D111" s="94"/>
      <c r="E111" s="94"/>
      <c r="F111" s="94"/>
      <c r="G111" s="94"/>
      <c r="H111" s="98"/>
      <c r="I111" s="98"/>
      <c r="J111" s="98"/>
      <c r="K111" s="97"/>
      <c r="L111" s="97"/>
      <c r="M111" s="97"/>
      <c r="N111" s="98"/>
      <c r="O111" s="97"/>
      <c r="P111" s="99"/>
    </row>
    <row r="112" spans="1:16" ht="15.6" x14ac:dyDescent="0.3">
      <c r="A112" s="94"/>
      <c r="B112" s="92"/>
      <c r="C112" s="94" t="s">
        <v>115</v>
      </c>
      <c r="D112" s="94"/>
      <c r="E112" s="94"/>
      <c r="F112" s="94"/>
      <c r="G112" s="94"/>
      <c r="H112" s="98">
        <v>640793056.90999985</v>
      </c>
      <c r="I112" s="98"/>
      <c r="J112" s="98">
        <v>642020155.91999996</v>
      </c>
      <c r="K112" s="97"/>
      <c r="L112" s="99">
        <f>H112-J112</f>
        <v>-1227099.0100001097</v>
      </c>
      <c r="M112" s="97"/>
      <c r="N112" s="98">
        <v>338990477.26000005</v>
      </c>
      <c r="O112" s="97"/>
      <c r="P112" s="99">
        <f>J112-N112</f>
        <v>303029678.65999991</v>
      </c>
    </row>
    <row r="113" spans="1:16" ht="15.6" x14ac:dyDescent="0.3">
      <c r="A113" s="94"/>
      <c r="B113" s="92"/>
      <c r="C113" s="94"/>
      <c r="D113" s="94"/>
      <c r="E113" s="94"/>
      <c r="F113" s="94"/>
      <c r="G113" s="94"/>
      <c r="H113" s="98"/>
      <c r="I113" s="98"/>
      <c r="J113" s="98"/>
      <c r="K113" s="97"/>
      <c r="L113" s="99"/>
      <c r="M113" s="97"/>
      <c r="N113" s="98"/>
      <c r="O113" s="97"/>
      <c r="P113" s="99"/>
    </row>
    <row r="114" spans="1:16" ht="15.6" x14ac:dyDescent="0.3">
      <c r="A114" s="94"/>
      <c r="B114" s="92" t="s">
        <v>122</v>
      </c>
      <c r="C114" s="94"/>
      <c r="D114" s="94"/>
      <c r="E114" s="94"/>
      <c r="F114" s="94"/>
      <c r="G114" s="94"/>
      <c r="H114" s="98"/>
      <c r="I114" s="98"/>
      <c r="J114" s="98"/>
      <c r="K114" s="97"/>
      <c r="L114" s="97"/>
      <c r="M114" s="97"/>
      <c r="N114" s="98"/>
      <c r="O114" s="97"/>
      <c r="P114" s="99"/>
    </row>
    <row r="115" spans="1:16" ht="15.6" x14ac:dyDescent="0.3">
      <c r="A115" s="94"/>
      <c r="B115" s="92"/>
      <c r="C115" s="94" t="s">
        <v>115</v>
      </c>
      <c r="D115" s="94"/>
      <c r="E115" s="94"/>
      <c r="F115" s="94"/>
      <c r="G115" s="94"/>
      <c r="H115" s="125">
        <v>124088221.2</v>
      </c>
      <c r="I115" s="125"/>
      <c r="J115" s="125">
        <v>122352006.50999999</v>
      </c>
      <c r="K115" s="100"/>
      <c r="L115" s="99">
        <f>H115-J115</f>
        <v>1736214.6900000125</v>
      </c>
      <c r="M115" s="100"/>
      <c r="N115" s="125">
        <v>97487532.799999997</v>
      </c>
      <c r="O115" s="100"/>
      <c r="P115" s="103">
        <f>J115-N115</f>
        <v>24864473.709999993</v>
      </c>
    </row>
    <row r="116" spans="1:16" s="127" customFormat="1" ht="15.6" x14ac:dyDescent="0.3">
      <c r="A116" s="92"/>
      <c r="B116" s="92"/>
      <c r="C116" s="92" t="s">
        <v>139</v>
      </c>
      <c r="D116" s="92"/>
      <c r="E116" s="92"/>
      <c r="F116" s="92"/>
      <c r="G116" s="126"/>
      <c r="H116" s="121">
        <f>SUM(H98:H115)</f>
        <v>828902129.96999991</v>
      </c>
      <c r="I116" s="121"/>
      <c r="J116" s="121">
        <f>SUM(J98:J115)</f>
        <v>823493914.2299999</v>
      </c>
      <c r="K116" s="121"/>
      <c r="L116" s="121">
        <f>SUM(L98:L115)</f>
        <v>5408215.7399999015</v>
      </c>
      <c r="M116" s="121"/>
      <c r="N116" s="121">
        <f>SUM(N98:N115)</f>
        <v>473510660.40000004</v>
      </c>
      <c r="O116" s="121"/>
      <c r="P116" s="121">
        <f>SUM(P98:P115)</f>
        <v>349983253.82999986</v>
      </c>
    </row>
    <row r="117" spans="1:16" ht="15.6" x14ac:dyDescent="0.3">
      <c r="A117" s="92" t="s">
        <v>140</v>
      </c>
      <c r="B117" s="92"/>
      <c r="C117" s="94"/>
      <c r="D117" s="94"/>
      <c r="E117" s="94"/>
      <c r="F117" s="162" t="s">
        <v>72</v>
      </c>
      <c r="G117" s="94"/>
      <c r="H117" s="105">
        <f>H96+H116</f>
        <v>2123070538.3499999</v>
      </c>
      <c r="I117" s="100"/>
      <c r="J117" s="105">
        <f>J96+J116</f>
        <v>2653746158.2599998</v>
      </c>
      <c r="K117" s="100"/>
      <c r="L117" s="105">
        <f>L96+L116</f>
        <v>-530675619.91000015</v>
      </c>
      <c r="M117" s="100"/>
      <c r="N117" s="105">
        <f>N96+N116</f>
        <v>1684998398.0500002</v>
      </c>
      <c r="O117" s="100"/>
      <c r="P117" s="105">
        <f>P96+P116</f>
        <v>968747760.2099998</v>
      </c>
    </row>
    <row r="118" spans="1:16" ht="16.2" thickBot="1" x14ac:dyDescent="0.35">
      <c r="A118" s="128" t="s">
        <v>141</v>
      </c>
      <c r="B118" s="129"/>
      <c r="C118" s="129"/>
      <c r="D118" s="129"/>
      <c r="E118" s="129"/>
      <c r="F118" s="162">
        <v>35</v>
      </c>
      <c r="G118" s="129"/>
      <c r="H118" s="130">
        <f>H39-H117</f>
        <v>14136949.119999886</v>
      </c>
      <c r="I118" s="130"/>
      <c r="J118" s="130">
        <f>J39-J117</f>
        <v>1425514.0700001717</v>
      </c>
      <c r="K118" s="130">
        <f>+K39-K117</f>
        <v>0</v>
      </c>
      <c r="L118" s="130">
        <f>L39-L117</f>
        <v>12711435.050000191</v>
      </c>
      <c r="M118" s="130">
        <f>+M39-M117</f>
        <v>0</v>
      </c>
      <c r="N118" s="130">
        <f>N39-N117</f>
        <v>1017197244.1799998</v>
      </c>
      <c r="O118" s="130">
        <f>+O39-O117</f>
        <v>0</v>
      </c>
      <c r="P118" s="130">
        <f>P39-P117</f>
        <v>-1015771730.1099999</v>
      </c>
    </row>
    <row r="119" spans="1:16" ht="14.4" thickTop="1" x14ac:dyDescent="0.25"/>
    <row r="120" spans="1:16" ht="15.6" x14ac:dyDescent="0.3">
      <c r="A120" s="204" t="s">
        <v>35</v>
      </c>
      <c r="B120" s="204"/>
      <c r="C120" s="204"/>
      <c r="D120" s="204"/>
      <c r="E120" s="204"/>
      <c r="F120" s="204"/>
      <c r="G120" s="204"/>
      <c r="H120" s="204"/>
      <c r="I120" s="204"/>
      <c r="J120" s="204"/>
      <c r="K120" s="204"/>
      <c r="L120" s="204"/>
      <c r="M120" s="204"/>
      <c r="N120" s="204"/>
      <c r="O120" s="204"/>
      <c r="P120" s="204"/>
    </row>
    <row r="121" spans="1:16" x14ac:dyDescent="0.25">
      <c r="N121" s="131"/>
    </row>
    <row r="122" spans="1:16" x14ac:dyDescent="0.25">
      <c r="J122" s="132"/>
    </row>
    <row r="123" spans="1:16" x14ac:dyDescent="0.25">
      <c r="J123" s="132"/>
      <c r="N123" s="133"/>
      <c r="P123" s="157"/>
    </row>
    <row r="124" spans="1:16" x14ac:dyDescent="0.25">
      <c r="L124" s="133"/>
    </row>
    <row r="125" spans="1:16" x14ac:dyDescent="0.25">
      <c r="L125" s="133"/>
    </row>
    <row r="126" spans="1:16" x14ac:dyDescent="0.25">
      <c r="L126" s="133"/>
    </row>
  </sheetData>
  <sheetProtection algorithmName="SHA-512" hashValue="6A/CpsMgXRf0+b4IscZ0nCfLQu1zUa/rv1fdNRCzV8rdb2LunhrP4fG1dsVVKn6rSy3RiLQwoPT6SlId/eYeCw==" saltValue="BpzTvLQEj9LFD4QycAJ2/g==" spinCount="100000" sheet="1" objects="1" scenarios="1" selectLockedCells="1" selectUnlockedCells="1"/>
  <mergeCells count="13">
    <mergeCell ref="K8:L8"/>
    <mergeCell ref="K9:L9"/>
    <mergeCell ref="A120:P120"/>
    <mergeCell ref="A1:P1"/>
    <mergeCell ref="A2:P2"/>
    <mergeCell ref="A3:P3"/>
    <mergeCell ref="A4:P4"/>
    <mergeCell ref="A5:P5"/>
    <mergeCell ref="A7:E9"/>
    <mergeCell ref="F7:F9"/>
    <mergeCell ref="G7:J7"/>
    <mergeCell ref="K7:L7"/>
    <mergeCell ref="G8:J8"/>
  </mergeCells>
  <conditionalFormatting sqref="C109:C110">
    <cfRule type="duplicateValues" dxfId="2" priority="2" stopIfTrue="1"/>
  </conditionalFormatting>
  <conditionalFormatting sqref="C109:C111">
    <cfRule type="duplicateValues" dxfId="1" priority="3" stopIfTrue="1"/>
  </conditionalFormatting>
  <conditionalFormatting sqref="C111">
    <cfRule type="duplicateValues" dxfId="0" priority="1" stopIfTrue="1"/>
  </conditionalFormatting>
  <printOptions horizontalCentered="1"/>
  <pageMargins left="0.98425196850393704" right="0.98425196850393704" top="1.4960629921259843" bottom="0.98425196850393704" header="0.51181102362204722" footer="0.51181102362204722"/>
  <pageSetup scale="55" firstPageNumber="10" fitToHeight="0" orientation="landscape" useFirstPageNumber="1" r:id="rId1"/>
  <headerFooter>
    <oddFooter>&amp;C&amp;"Times New Roman,Regular"&amp;10&amp;P</oddFooter>
    <evenFooter>&amp;C&amp;"Times New Roman,Regular"&amp;12 10</evenFooter>
  </headerFooter>
  <rowBreaks count="2" manualBreakCount="2">
    <brk id="38" max="15" man="1"/>
    <brk id="74" max="1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SFPO</vt:lpstr>
      <vt:lpstr>SFPER</vt:lpstr>
      <vt:lpstr>SCNAE</vt:lpstr>
      <vt:lpstr>SCF</vt:lpstr>
      <vt:lpstr>SCBAA</vt:lpstr>
      <vt:lpstr>SCBAA!Print_Area</vt:lpstr>
      <vt:lpstr>SCF!Print_Area</vt:lpstr>
      <vt:lpstr>SCNAE!Print_Area</vt:lpstr>
      <vt:lpstr>SFPER!Print_Area</vt:lpstr>
      <vt:lpstr>SFPO!Print_Area</vt:lpstr>
      <vt:lpstr>SCBAA!Print_Titles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Financial Statements</dc:title>
  <dc:creator>COA - City of Panabo, Davao del Norte</dc:creator>
  <cp:lastModifiedBy>COA</cp:lastModifiedBy>
  <cp:lastPrinted>2023-06-27T00:29:46Z</cp:lastPrinted>
  <dcterms:created xsi:type="dcterms:W3CDTF">2015-06-05T18:17:20Z</dcterms:created>
  <dcterms:modified xsi:type="dcterms:W3CDTF">2023-08-03T00:31:50Z</dcterms:modified>
</cp:coreProperties>
</file>